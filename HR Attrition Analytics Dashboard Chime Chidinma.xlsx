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userName="hp" algorithmName="SHA-512" hashValue="aXTca98xXWRGW5V5JYxiA+ReSs3iBUCwr3CGU4uElxZ/hnnbzYM/SG0/3KCqNUR/HyR9QxWNx3xa5vC5x+SPSw==" saltValue="r+rwCOPcFOqJPDXTx2L26Q==" spinCount="100000"/>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51E48C74-4319-4349-9E91-26E78EABDAFF}" xr6:coauthVersionLast="47" xr6:coauthVersionMax="47" xr10:uidLastSave="{00000000-0000-0000-0000-000000000000}"/>
  <workbookProtection workbookAlgorithmName="SHA-512" workbookHashValue="A5K1kDJEKbcEm5K2WPLT3cKcbDTPEVdcvpa31hIHmRQfJBRmJpmACMz9P8X5ZKML/cdeIkulcTqO50t3o66/eQ==" workbookSaltValue="rO6ApjoUNgHTBn80A2kcQQ==" workbookSpinCount="100000" lockStructure="1"/>
  <bookViews>
    <workbookView xWindow="-120" yWindow="-120" windowWidth="20730" windowHeight="11160" firstSheet="4" activeTab="4" xr2:uid="{B5426143-3188-475F-B8F3-CB5E5B24A56C}"/>
  </bookViews>
  <sheets>
    <sheet name="Raw Data" sheetId="1" state="hidden" r:id="rId1"/>
    <sheet name="Data Cleaning" sheetId="3" state="hidden" r:id="rId2"/>
    <sheet name="Cleaned Data" sheetId="4" state="hidden" r:id="rId3"/>
    <sheet name="Pivot Tables" sheetId="5" state="hidden" r:id="rId4"/>
    <sheet name="Dashboard" sheetId="6" r:id="rId5"/>
  </sheets>
  <definedNames>
    <definedName name="_xlnm._FilterDatabase" localSheetId="1" hidden="1">'Data Cleaning'!$A$1:$G$1471</definedName>
    <definedName name="Attritionrate">'Pivot Tables'!$C$2</definedName>
    <definedName name="HighAttritionAge">'Pivot Tables'!$E$2</definedName>
    <definedName name="Slicer_Age_Group">#N/A</definedName>
    <definedName name="Slicer_Education">#N/A</definedName>
    <definedName name="Slicer_MaritalStatus">#N/A</definedName>
    <definedName name="Slicer_StockOption">#N/A</definedName>
    <definedName name="TotalEmployees">'Pivot Tables'!$B$2</definedName>
    <definedName name="TotalExits">'Pivot Tables'!$D$2</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2"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2" i="3"/>
</calcChain>
</file>

<file path=xl/sharedStrings.xml><?xml version="1.0" encoding="utf-8"?>
<sst xmlns="http://schemas.openxmlformats.org/spreadsheetml/2006/main" count="27781" uniqueCount="90">
  <si>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</si>
  <si>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</si>
  <si>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</si>
  <si>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</si>
  <si>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</si>
  <si>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</si>
  <si>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</si>
  <si>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</si>
  <si>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</si>
  <si>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</si>
  <si>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</si>
  <si>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</si>
  <si>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</si>
  <si>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</si>
  <si>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</si>
  <si>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</si>
  <si>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</si>
  <si>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</si>
  <si>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</si>
  <si>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</si>
  <si>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</si>
  <si>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</si>
  <si>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</si>
  <si>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</si>
  <si>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</si>
  <si>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</si>
  <si>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</si>
  <si>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DateBirth</t>
  </si>
  <si>
    <t>DateStart</t>
  </si>
  <si>
    <t>DateDeparture</t>
  </si>
  <si>
    <t>TerminationType</t>
  </si>
  <si>
    <t>EmploymentType</t>
  </si>
  <si>
    <t>Yes</t>
  </si>
  <si>
    <t>Travel_Rarely</t>
  </si>
  <si>
    <t>R&amp;D</t>
  </si>
  <si>
    <t>Master</t>
  </si>
  <si>
    <t>Low</t>
  </si>
  <si>
    <t>M</t>
  </si>
  <si>
    <t>Medium</t>
  </si>
  <si>
    <t>Research Scientist</t>
  </si>
  <si>
    <t>Bad</t>
  </si>
  <si>
    <t>Single</t>
  </si>
  <si>
    <t>None</t>
  </si>
  <si>
    <t>No</t>
  </si>
  <si>
    <t>1</t>
  </si>
  <si>
    <t>Full-time</t>
  </si>
  <si>
    <t>Travel_Frequently</t>
  </si>
  <si>
    <t>F</t>
  </si>
  <si>
    <t>Better</t>
  </si>
  <si>
    <t>Bachelor</t>
  </si>
  <si>
    <t>High</t>
  </si>
  <si>
    <t>Laboratory Technician</t>
  </si>
  <si>
    <t>Divorced</t>
  </si>
  <si>
    <t>Mid</t>
  </si>
  <si>
    <t>2</t>
  </si>
  <si>
    <t>Contractor</t>
  </si>
  <si>
    <t>Sales</t>
  </si>
  <si>
    <t>Sales Executive</t>
  </si>
  <si>
    <t>Best</t>
  </si>
  <si>
    <t>Very High</t>
  </si>
  <si>
    <t>Good</t>
  </si>
  <si>
    <t>Married</t>
  </si>
  <si>
    <t>Healthcare Representative</t>
  </si>
  <si>
    <t>Non-Travel</t>
  </si>
  <si>
    <t>Below College</t>
  </si>
  <si>
    <t>Manufacturing Director</t>
  </si>
  <si>
    <t>Sales Representative</t>
  </si>
  <si>
    <t>College</t>
  </si>
  <si>
    <t>Human Resources</t>
  </si>
  <si>
    <t>Manager</t>
  </si>
  <si>
    <t>Doctor</t>
  </si>
  <si>
    <t>Research Director</t>
  </si>
  <si>
    <t/>
  </si>
  <si>
    <t>Employee_ID</t>
  </si>
  <si>
    <t>Age Group</t>
  </si>
  <si>
    <t>Grouped years since last promotion</t>
  </si>
  <si>
    <t>Attrition Flag</t>
  </si>
  <si>
    <t>35-44</t>
  </si>
  <si>
    <t>25-34</t>
  </si>
  <si>
    <t>45-54</t>
  </si>
  <si>
    <t>18-24</t>
  </si>
  <si>
    <t>55-60</t>
  </si>
  <si>
    <t>Recently promoted</t>
  </si>
  <si>
    <t>Long Promotion gap</t>
  </si>
  <si>
    <t>Promoted in 1-3 years</t>
  </si>
  <si>
    <t>Row Labels</t>
  </si>
  <si>
    <t>Grand Total</t>
  </si>
  <si>
    <t>Sum of Attrition Flag</t>
  </si>
  <si>
    <t>Count of Employee_ID</t>
  </si>
  <si>
    <t>Average of Attrition Flag2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</si>
</sst>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 fontId="1" fillId="0" borderId="0" xfId="0" applyNumberFormat="1" applyFont="1"/>
    <xf numFmtId="1" fontId="0" fillId="0" borderId="0" xfId="0" applyNumberFormat="1"/>
    <xf numFmtId="49" fontId="1" fillId="0" borderId="0" xfId="0" applyNumberFormat="1" applyFont="1"/>
    <xf numFmtId="49" fontId="0" fillId="0" borderId="0" xfId="0" applyNumberFormat="1"/>
    <xf numFmtId="10" fontId="0" fillId="0" borderId="0" xfId="0" applyNumberFormat="1"/>
    <xf numFmtId="0" fontId="0" fillId="0" borderId="0" xfId="0" pivotButton="1"/>
    <xf numFmtId="0" fontId="0" fillId="0" borderId="0" xfId="0" applyAlignment="1">
      <alignment horizontal="left"/>
    </xf>
    <xf numFmtId="3" fontId="0" fillId="0" borderId="0" xfId="0" applyNumberFormat="1"/>
    <xf numFmtId="14" fontId="0" fillId="0" borderId="0" xfId="0" applyNumberFormat="1"/>
  </cellXfs>
  <cellStyles count="1">
    <cellStyle name="Normal" xfId="0" builtinId="0"/>
  </cellStyles>
  <dxfs count="16">
    <dxf>
      <numFmt numFmtId="1" formatCode="0"/>
    </dxf>
    <dxf>
      <numFmt numFmtId="14" formatCode="0.00%"/>
    </dxf>
    <dxf>
      <numFmt numFmtId="1" formatCode="0"/>
    </dxf>
    <dxf>
      <numFmt numFmtId="1" formatCode="0"/>
    </dxf>
    <dxf>
      <numFmt numFmtId="1" formatCode="0"/>
    </dxf>
    <dxf>
      <numFmt numFmtId="14" formatCode="0.00%"/>
    </dxf>
    <dxf>
      <numFmt numFmtId="3" formatCode="#,##0"/>
    </dxf>
    <dxf>
      <numFmt numFmtId="3" formatCode="#,##0"/>
    </dxf>
    <dxf>
      <numFmt numFmtId="14" formatCode="0.00%"/>
    </dxf>
    <dxf>
      <numFmt numFmtId="14" formatCode="0.00%"/>
    </dxf>
    <dxf>
      <numFmt numFmtId="1" formatCode="0"/>
    </dxf>
    <dxf>
      <numFmt numFmtId="14" formatCode="0.00%"/>
    </dxf>
    <dxf>
      <numFmt numFmtId="1" formatCode="0"/>
    </dxf>
    <dxf>
      <numFmt numFmtId="14" formatCode="0.00%"/>
    </dxf>
    <dxf>
      <font>
        <b/>
        <i val="0"/>
        <color theme="0"/>
      </font>
      <fill>
        <patternFill>
          <bgColor rgb="FF22405F"/>
        </patternFill>
      </fill>
    </dxf>
    <dxf>
      <font>
        <b/>
        <i val="0"/>
      </font>
      <fill>
        <patternFill>
          <bgColor rgb="FFF2F2F2"/>
        </patternFill>
      </fill>
    </dxf>
  </dxfs>
  <tableStyles count="1" defaultTableStyle="TableStyleMedium2" defaultPivotStyle="PivotStyleLight16">
    <tableStyle name="Slicer Style 1" pivot="0" table="0" count="5" xr9:uid="{DC83C2D6-DA7B-4716-864E-DF6349156875}">
      <tableStyleElement type="wholeTable" dxfId="15"/>
      <tableStyleElement type="headerRow" dxfId="14"/>
    </tableStyle>
  </tableStyles>
  <colors>
    <mruColors>
      <color rgb="FF22405F"/>
      <color rgb="FF00926E"/>
      <color rgb="FFD9D9D9"/>
      <color rgb="FFC8D6E5"/>
      <color rgb="FFF2F2F2"/>
      <color rgb="FF663399"/>
      <color rgb="FFCCFFCC"/>
      <color rgb="FF1414DA"/>
    </mruColors>
  </colors>
  <extLst>
    <ext xmlns:x14="http://schemas.microsoft.com/office/spreadsheetml/2009/9/main" uri="{46F421CA-312F-682f-3DD2-61675219B42D}">
      <x14:dxfs count="3">
        <dxf>
          <font>
            <b/>
            <i val="0"/>
            <color theme="0"/>
          </font>
          <fill>
            <patternFill>
              <bgColor rgb="FF00926E"/>
            </patternFill>
          </fill>
        </dxf>
        <dxf>
          <font>
            <b/>
            <i val="0"/>
          </font>
          <fill>
            <patternFill>
              <bgColor rgb="FFD9D9D9"/>
            </patternFill>
          </fill>
        </dxf>
        <dxf>
          <font>
            <b/>
            <i val="0"/>
          </font>
          <fill>
            <patternFill>
              <bgColor rgb="FFC8D6E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 Dashboard Chime Chidinma.xlsx]Pivot Tables!Education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2405F"/>
                </a:solidFill>
              </a:rPr>
              <a:t>Attrition</a:t>
            </a:r>
            <a:r>
              <a:rPr lang="en-US" sz="1800" b="1" baseline="0">
                <a:solidFill>
                  <a:srgbClr val="22405F"/>
                </a:solidFill>
              </a:rPr>
              <a:t>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40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c:f>
              <c:strCache>
                <c:ptCount val="1"/>
                <c:pt idx="0">
                  <c:v>Total</c:v>
                </c:pt>
              </c:strCache>
            </c:strRef>
          </c:tx>
          <c:spPr>
            <a:solidFill>
              <a:srgbClr val="2240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Tables'!$A$7:$A$12</c:f>
              <c:strCache>
                <c:ptCount val="5"/>
                <c:pt idx="0">
                  <c:v>Doctor</c:v>
                </c:pt>
                <c:pt idx="1">
                  <c:v>Below College</c:v>
                </c:pt>
                <c:pt idx="2">
                  <c:v>College</c:v>
                </c:pt>
                <c:pt idx="3">
                  <c:v>Master</c:v>
                </c:pt>
                <c:pt idx="4">
                  <c:v>Bachelor</c:v>
                </c:pt>
              </c:strCache>
            </c:strRef>
          </c:cat>
          <c:val>
            <c:numRef>
              <c:f>'Pivot Tables'!$B$7:$B$12</c:f>
              <c:numCache>
                <c:formatCode>0</c:formatCode>
                <c:ptCount val="5"/>
                <c:pt idx="0">
                  <c:v>5</c:v>
                </c:pt>
                <c:pt idx="1">
                  <c:v>31</c:v>
                </c:pt>
                <c:pt idx="2">
                  <c:v>44</c:v>
                </c:pt>
                <c:pt idx="3">
                  <c:v>58</c:v>
                </c:pt>
                <c:pt idx="4">
                  <c:v>99</c:v>
                </c:pt>
              </c:numCache>
            </c:numRef>
          </c:val>
          <c:extLst>
            <c:ext xmlns:c16="http://schemas.microsoft.com/office/drawing/2014/chart" uri="{C3380CC4-5D6E-409C-BE32-E72D297353CC}">
              <c16:uniqueId val="{00000000-07F7-4C8B-98E2-646B849E6DDC}"/>
            </c:ext>
          </c:extLst>
        </c:ser>
        <c:dLbls>
          <c:dLblPos val="outEnd"/>
          <c:showLegendKey val="0"/>
          <c:showVal val="1"/>
          <c:showCatName val="0"/>
          <c:showSerName val="0"/>
          <c:showPercent val="0"/>
          <c:showBubbleSize val="0"/>
        </c:dLbls>
        <c:gapWidth val="182"/>
        <c:axId val="1069452400"/>
        <c:axId val="1069453840"/>
      </c:barChart>
      <c:catAx>
        <c:axId val="1069452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rgbClr val="22405F"/>
                </a:solidFill>
                <a:latin typeface="+mn-lt"/>
                <a:ea typeface="+mn-ea"/>
                <a:cs typeface="+mn-cs"/>
              </a:defRPr>
            </a:pPr>
            <a:endParaRPr lang="en-US"/>
          </a:p>
        </c:txPr>
        <c:crossAx val="1069453840"/>
        <c:crosses val="autoZero"/>
        <c:auto val="1"/>
        <c:lblAlgn val="ctr"/>
        <c:lblOffset val="100"/>
        <c:noMultiLvlLbl val="0"/>
      </c:catAx>
      <c:valAx>
        <c:axId val="1069453840"/>
        <c:scaling>
          <c:orientation val="minMax"/>
        </c:scaling>
        <c:delete val="1"/>
        <c:axPos val="b"/>
        <c:numFmt formatCode="0" sourceLinked="1"/>
        <c:majorTickMark val="out"/>
        <c:minorTickMark val="none"/>
        <c:tickLblPos val="nextTo"/>
        <c:crossAx val="106945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 Dashboard Chime Chidinma.xlsx]Pivot Tables!M status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2405F"/>
                </a:solidFill>
              </a:rPr>
              <a:t>Attrition</a:t>
            </a:r>
            <a:r>
              <a:rPr lang="en-US" sz="1800" b="1" baseline="0">
                <a:solidFill>
                  <a:srgbClr val="22405F"/>
                </a:solidFill>
              </a:rPr>
              <a:t>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Tables'!$A$15:$A$18</c:f>
              <c:strCache>
                <c:ptCount val="3"/>
                <c:pt idx="0">
                  <c:v>Single</c:v>
                </c:pt>
                <c:pt idx="1">
                  <c:v>Married</c:v>
                </c:pt>
                <c:pt idx="2">
                  <c:v>Divorced</c:v>
                </c:pt>
              </c:strCache>
            </c:strRef>
          </c:cat>
          <c:val>
            <c:numRef>
              <c:f>'Pivot Tables'!$B$15:$B$18</c:f>
              <c:numCache>
                <c:formatCode>0</c:formatCode>
                <c:ptCount val="3"/>
                <c:pt idx="0">
                  <c:v>120</c:v>
                </c:pt>
                <c:pt idx="1">
                  <c:v>84</c:v>
                </c:pt>
                <c:pt idx="2">
                  <c:v>33</c:v>
                </c:pt>
              </c:numCache>
            </c:numRef>
          </c:val>
          <c:extLst>
            <c:ext xmlns:c16="http://schemas.microsoft.com/office/drawing/2014/chart" uri="{C3380CC4-5D6E-409C-BE32-E72D297353CC}">
              <c16:uniqueId val="{00000000-5CCE-4E2C-83B3-C9A948E6FB71}"/>
            </c:ext>
          </c:extLst>
        </c:ser>
        <c:dLbls>
          <c:dLblPos val="outEnd"/>
          <c:showLegendKey val="0"/>
          <c:showVal val="1"/>
          <c:showCatName val="0"/>
          <c:showSerName val="0"/>
          <c:showPercent val="0"/>
          <c:showBubbleSize val="0"/>
        </c:dLbls>
        <c:gapWidth val="219"/>
        <c:overlap val="-27"/>
        <c:axId val="2123760016"/>
        <c:axId val="2123756656"/>
      </c:barChart>
      <c:catAx>
        <c:axId val="21237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22405F"/>
                </a:solidFill>
                <a:latin typeface="+mn-lt"/>
                <a:ea typeface="+mn-ea"/>
                <a:cs typeface="+mn-cs"/>
              </a:defRPr>
            </a:pPr>
            <a:endParaRPr lang="en-US"/>
          </a:p>
        </c:txPr>
        <c:crossAx val="2123756656"/>
        <c:crosses val="autoZero"/>
        <c:auto val="1"/>
        <c:lblAlgn val="ctr"/>
        <c:lblOffset val="100"/>
        <c:noMultiLvlLbl val="0"/>
      </c:catAx>
      <c:valAx>
        <c:axId val="2123756656"/>
        <c:scaling>
          <c:orientation val="minMax"/>
        </c:scaling>
        <c:delete val="1"/>
        <c:axPos val="l"/>
        <c:numFmt formatCode="0" sourceLinked="1"/>
        <c:majorTickMark val="none"/>
        <c:minorTickMark val="none"/>
        <c:tickLblPos val="nextTo"/>
        <c:crossAx val="212376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Attrition Analytics Dashboard Chime Chidinma.xlsx]Pivot Tables!S. Option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2405F"/>
                </a:solidFill>
              </a:rPr>
              <a:t>Attrition</a:t>
            </a:r>
            <a:r>
              <a:rPr lang="en-US" sz="1800" b="1" baseline="0">
                <a:solidFill>
                  <a:srgbClr val="22405F"/>
                </a:solidFill>
              </a:rPr>
              <a:t> by Stock Option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pieChart>
        <c:varyColors val="1"/>
        <c:ser>
          <c:idx val="0"/>
          <c:order val="0"/>
          <c:tx>
            <c:strRef>
              <c:f>'Pivot Tables'!$E$10</c:f>
              <c:strCache>
                <c:ptCount val="1"/>
                <c:pt idx="0">
                  <c:v>Total</c:v>
                </c:pt>
              </c:strCache>
            </c:strRef>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DEBE-4288-96C6-28F8E448C752}"/>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DEBE-4288-96C6-28F8E448C752}"/>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DEBE-4288-96C6-28F8E448C752}"/>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DEBE-4288-96C6-28F8E448C75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Tables'!$D$11:$D$15</c:f>
              <c:strCache>
                <c:ptCount val="4"/>
                <c:pt idx="0">
                  <c:v>High</c:v>
                </c:pt>
                <c:pt idx="1">
                  <c:v>Low</c:v>
                </c:pt>
                <c:pt idx="2">
                  <c:v>Mid</c:v>
                </c:pt>
                <c:pt idx="3">
                  <c:v>None</c:v>
                </c:pt>
              </c:strCache>
            </c:strRef>
          </c:cat>
          <c:val>
            <c:numRef>
              <c:f>'Pivot Tables'!$E$11:$E$15</c:f>
              <c:numCache>
                <c:formatCode>0</c:formatCode>
                <c:ptCount val="4"/>
                <c:pt idx="0">
                  <c:v>15</c:v>
                </c:pt>
                <c:pt idx="1">
                  <c:v>56</c:v>
                </c:pt>
                <c:pt idx="2">
                  <c:v>12</c:v>
                </c:pt>
                <c:pt idx="3">
                  <c:v>154</c:v>
                </c:pt>
              </c:numCache>
            </c:numRef>
          </c:val>
          <c:extLst>
            <c:ext xmlns:c16="http://schemas.microsoft.com/office/drawing/2014/chart" uri="{C3380CC4-5D6E-409C-BE32-E72D297353CC}">
              <c16:uniqueId val="{00000008-DEBE-4288-96C6-28F8E448C75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300" b="1" i="0" u="none" strike="noStrike" kern="1200" baseline="0">
              <a:solidFill>
                <a:srgbClr val="2240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 Dashboard Chime Chidinma.xlsx]Pivot Tables!Age group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2405F"/>
                </a:solidFill>
              </a:rPr>
              <a:t>Age</a:t>
            </a:r>
            <a:r>
              <a:rPr lang="en-US" sz="1800" b="1" baseline="0">
                <a:solidFill>
                  <a:srgbClr val="22405F"/>
                </a:solidFill>
              </a:rPr>
              <a:t> Group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8403328154386325E-3"/>
              <c:y val="-0.1326315862760926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6806656308770439E-3"/>
              <c:y val="-7.859649557101784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8403328154384243E-3"/>
              <c:y val="-0.338947387150014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403328154385284E-3"/>
              <c:y val="-0.18666667698116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8403328154385284E-3"/>
              <c:y val="-0.1129824623833382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F5C1-429C-A0D6-614A73E735C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5C1-429C-A0D6-614A73E735C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F5C1-429C-A0D6-614A73E735C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F5C1-429C-A0D6-614A73E735C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F5C1-429C-A0D6-614A73E735C5}"/>
              </c:ext>
            </c:extLst>
          </c:dPt>
          <c:dLbls>
            <c:dLbl>
              <c:idx val="0"/>
              <c:layout>
                <c:manualLayout>
                  <c:x val="-2.8403328154384243E-3"/>
                  <c:y val="-0.338947387150014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C1-429C-A0D6-614A73E735C5}"/>
                </c:ext>
              </c:extLst>
            </c:dLbl>
            <c:dLbl>
              <c:idx val="1"/>
              <c:layout>
                <c:manualLayout>
                  <c:x val="-2.8403328154385284E-3"/>
                  <c:y val="-0.18666667698116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C1-429C-A0D6-614A73E735C5}"/>
                </c:ext>
              </c:extLst>
            </c:dLbl>
            <c:dLbl>
              <c:idx val="2"/>
              <c:layout>
                <c:manualLayout>
                  <c:x val="-2.8403328154386325E-3"/>
                  <c:y val="-0.132631586276092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C1-429C-A0D6-614A73E735C5}"/>
                </c:ext>
              </c:extLst>
            </c:dLbl>
            <c:dLbl>
              <c:idx val="3"/>
              <c:layout>
                <c:manualLayout>
                  <c:x val="-2.8403328154385284E-3"/>
                  <c:y val="-0.112982462383338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C1-429C-A0D6-614A73E735C5}"/>
                </c:ext>
              </c:extLst>
            </c:dLbl>
            <c:dLbl>
              <c:idx val="4"/>
              <c:layout>
                <c:manualLayout>
                  <c:x val="-5.6806656308770439E-3"/>
                  <c:y val="-7.859649557101784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C1-429C-A0D6-614A73E735C5}"/>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Tables'!$A$23:$A$28</c:f>
              <c:strCache>
                <c:ptCount val="5"/>
                <c:pt idx="0">
                  <c:v>25-34</c:v>
                </c:pt>
                <c:pt idx="1">
                  <c:v>35-44</c:v>
                </c:pt>
                <c:pt idx="2">
                  <c:v>18-24</c:v>
                </c:pt>
                <c:pt idx="3">
                  <c:v>45-54</c:v>
                </c:pt>
                <c:pt idx="4">
                  <c:v>55-60</c:v>
                </c:pt>
              </c:strCache>
            </c:strRef>
          </c:cat>
          <c:val>
            <c:numRef>
              <c:f>'Pivot Tables'!$B$23:$B$28</c:f>
              <c:numCache>
                <c:formatCode>0</c:formatCode>
                <c:ptCount val="5"/>
                <c:pt idx="0">
                  <c:v>110</c:v>
                </c:pt>
                <c:pt idx="1">
                  <c:v>54</c:v>
                </c:pt>
                <c:pt idx="2">
                  <c:v>37</c:v>
                </c:pt>
                <c:pt idx="3">
                  <c:v>25</c:v>
                </c:pt>
                <c:pt idx="4">
                  <c:v>11</c:v>
                </c:pt>
              </c:numCache>
            </c:numRef>
          </c:val>
          <c:extLst>
            <c:ext xmlns:c16="http://schemas.microsoft.com/office/drawing/2014/chart" uri="{C3380CC4-5D6E-409C-BE32-E72D297353CC}">
              <c16:uniqueId val="{00000000-BA30-495A-B630-257C28A51AEE}"/>
            </c:ext>
          </c:extLst>
        </c:ser>
        <c:dLbls>
          <c:dLblPos val="ctr"/>
          <c:showLegendKey val="0"/>
          <c:showVal val="1"/>
          <c:showCatName val="0"/>
          <c:showSerName val="0"/>
          <c:showPercent val="0"/>
          <c:showBubbleSize val="0"/>
        </c:dLbls>
        <c:gapWidth val="150"/>
        <c:overlap val="100"/>
        <c:axId val="2123767216"/>
        <c:axId val="2123758096"/>
      </c:barChart>
      <c:catAx>
        <c:axId val="212376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2405F"/>
                </a:solidFill>
                <a:latin typeface="+mn-lt"/>
                <a:ea typeface="+mn-ea"/>
                <a:cs typeface="+mn-cs"/>
              </a:defRPr>
            </a:pPr>
            <a:endParaRPr lang="en-US"/>
          </a:p>
        </c:txPr>
        <c:crossAx val="2123758096"/>
        <c:crosses val="autoZero"/>
        <c:auto val="1"/>
        <c:lblAlgn val="ctr"/>
        <c:lblOffset val="100"/>
        <c:noMultiLvlLbl val="0"/>
      </c:catAx>
      <c:valAx>
        <c:axId val="2123758096"/>
        <c:scaling>
          <c:orientation val="minMax"/>
        </c:scaling>
        <c:delete val="1"/>
        <c:axPos val="l"/>
        <c:numFmt formatCode="0" sourceLinked="1"/>
        <c:majorTickMark val="none"/>
        <c:minorTickMark val="none"/>
        <c:tickLblPos val="nextTo"/>
        <c:crossAx val="212376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Analytics Dashboard Chime Chidinma.xlsx]Pivot Tables!Ys. S.L. Promotion</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22405F"/>
                </a:solidFill>
              </a:rPr>
              <a:t>Attrition</a:t>
            </a:r>
            <a:r>
              <a:rPr lang="en-US" sz="1800" b="1" baseline="0">
                <a:solidFill>
                  <a:srgbClr val="22405F"/>
                </a:solidFill>
              </a:rPr>
              <a:t> by Last Promotion </a:t>
            </a:r>
            <a:endParaRPr lang="en-US" sz="1800" b="1">
              <a:solidFill>
                <a:srgbClr val="22405F"/>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22405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593834096741967"/>
              <c:y val="-0.1109909657961913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0912822530143721"/>
              <c:y val="0"/>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1964518919366304"/>
              <c:y val="-5.0450438998268796E-3"/>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22405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Tables'!$E$17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1EA6-4375-B627-9337FFCBAEA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1EA6-4375-B627-9337FFCBAEA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1EA6-4375-B627-9337FFCBAEA9}"/>
              </c:ext>
            </c:extLst>
          </c:dPt>
          <c:dLbls>
            <c:dLbl>
              <c:idx val="0"/>
              <c:layout>
                <c:manualLayout>
                  <c:x val="0.11964518919366304"/>
                  <c:y val="-5.045043899826879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A6-4375-B627-9337FFCBAEA9}"/>
                </c:ext>
              </c:extLst>
            </c:dLbl>
            <c:dLbl>
              <c:idx val="1"/>
              <c:layout>
                <c:manualLayout>
                  <c:x val="0.2091282253014372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A6-4375-B627-9337FFCBAEA9}"/>
                </c:ext>
              </c:extLst>
            </c:dLbl>
            <c:dLbl>
              <c:idx val="2"/>
              <c:layout>
                <c:manualLayout>
                  <c:x val="0.23593834096741967"/>
                  <c:y val="-0.110990965796191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A6-4375-B627-9337FFCBAEA9}"/>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22405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Tables'!$D$18:$D$21</c:f>
              <c:strCache>
                <c:ptCount val="3"/>
                <c:pt idx="0">
                  <c:v>Long Promotion gap</c:v>
                </c:pt>
                <c:pt idx="1">
                  <c:v>Promoted in 1-3 years</c:v>
                </c:pt>
                <c:pt idx="2">
                  <c:v>Recently promoted</c:v>
                </c:pt>
              </c:strCache>
            </c:strRef>
          </c:cat>
          <c:val>
            <c:numRef>
              <c:f>'Pivot Tables'!$E$18:$E$21</c:f>
              <c:numCache>
                <c:formatCode>0</c:formatCode>
                <c:ptCount val="3"/>
                <c:pt idx="0">
                  <c:v>41</c:v>
                </c:pt>
                <c:pt idx="1">
                  <c:v>82</c:v>
                </c:pt>
                <c:pt idx="2">
                  <c:v>114</c:v>
                </c:pt>
              </c:numCache>
            </c:numRef>
          </c:val>
          <c:extLst>
            <c:ext xmlns:c16="http://schemas.microsoft.com/office/drawing/2014/chart" uri="{C3380CC4-5D6E-409C-BE32-E72D297353CC}">
              <c16:uniqueId val="{00000000-B1EE-4373-8347-A8A6E9732B07}"/>
            </c:ext>
          </c:extLst>
        </c:ser>
        <c:dLbls>
          <c:dLblPos val="inEnd"/>
          <c:showLegendKey val="0"/>
          <c:showVal val="1"/>
          <c:showCatName val="0"/>
          <c:showSerName val="0"/>
          <c:showPercent val="0"/>
          <c:showBubbleSize val="0"/>
        </c:dLbls>
        <c:gapWidth val="150"/>
        <c:overlap val="100"/>
        <c:axId val="1069456240"/>
        <c:axId val="1069453840"/>
      </c:barChart>
      <c:catAx>
        <c:axId val="106945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rgbClr val="22405F"/>
                </a:solidFill>
                <a:latin typeface="+mn-lt"/>
                <a:ea typeface="+mn-ea"/>
                <a:cs typeface="+mn-cs"/>
              </a:defRPr>
            </a:pPr>
            <a:endParaRPr lang="en-US"/>
          </a:p>
        </c:txPr>
        <c:crossAx val="1069453840"/>
        <c:crosses val="autoZero"/>
        <c:auto val="1"/>
        <c:lblAlgn val="ctr"/>
        <c:lblOffset val="100"/>
        <c:noMultiLvlLbl val="0"/>
      </c:catAx>
      <c:valAx>
        <c:axId val="1069453840"/>
        <c:scaling>
          <c:orientation val="minMax"/>
        </c:scaling>
        <c:delete val="1"/>
        <c:axPos val="b"/>
        <c:numFmt formatCode="0" sourceLinked="1"/>
        <c:majorTickMark val="none"/>
        <c:minorTickMark val="none"/>
        <c:tickLblPos val="nextTo"/>
        <c:crossAx val="106945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176892</xdr:colOff>
      <xdr:row>1</xdr:row>
      <xdr:rowOff>122465</xdr:rowOff>
    </xdr:from>
    <xdr:to>
      <xdr:col>25</xdr:col>
      <xdr:colOff>204107</xdr:colOff>
      <xdr:row>41</xdr:row>
      <xdr:rowOff>1</xdr:rowOff>
    </xdr:to>
    <xdr:sp macro="" textlink="">
      <xdr:nvSpPr>
        <xdr:cNvPr id="2" name="Rectangle 1">
          <a:extLst>
            <a:ext uri="{FF2B5EF4-FFF2-40B4-BE49-F238E27FC236}">
              <a16:creationId xmlns:a16="http://schemas.microsoft.com/office/drawing/2014/main" id="{B7103876-1A14-577B-B7F7-C7C6F22F988B}"/>
            </a:ext>
          </a:extLst>
        </xdr:cNvPr>
        <xdr:cNvSpPr/>
      </xdr:nvSpPr>
      <xdr:spPr>
        <a:xfrm>
          <a:off x="857249" y="299358"/>
          <a:ext cx="16355787" cy="6953250"/>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204110</xdr:colOff>
      <xdr:row>12</xdr:row>
      <xdr:rowOff>149682</xdr:rowOff>
    </xdr:from>
    <xdr:to>
      <xdr:col>10</xdr:col>
      <xdr:colOff>166321</xdr:colOff>
      <xdr:row>40</xdr:row>
      <xdr:rowOff>108860</xdr:rowOff>
    </xdr:to>
    <xdr:sp macro="" textlink="">
      <xdr:nvSpPr>
        <xdr:cNvPr id="3" name="Rectangle: Rounded Corners 2">
          <a:extLst>
            <a:ext uri="{FF2B5EF4-FFF2-40B4-BE49-F238E27FC236}">
              <a16:creationId xmlns:a16="http://schemas.microsoft.com/office/drawing/2014/main" id="{CEBD82AA-9CE8-C788-7E9A-3333B823891D}"/>
            </a:ext>
          </a:extLst>
        </xdr:cNvPr>
        <xdr:cNvSpPr/>
      </xdr:nvSpPr>
      <xdr:spPr>
        <a:xfrm>
          <a:off x="3605896" y="2272396"/>
          <a:ext cx="3363996" cy="49121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272144</xdr:colOff>
      <xdr:row>13</xdr:row>
      <xdr:rowOff>81643</xdr:rowOff>
    </xdr:from>
    <xdr:to>
      <xdr:col>17</xdr:col>
      <xdr:colOff>285752</xdr:colOff>
      <xdr:row>26</xdr:row>
      <xdr:rowOff>68036</xdr:rowOff>
    </xdr:to>
    <xdr:sp macro="" textlink="">
      <xdr:nvSpPr>
        <xdr:cNvPr id="4" name="Rectangle: Rounded Corners 3">
          <a:extLst>
            <a:ext uri="{FF2B5EF4-FFF2-40B4-BE49-F238E27FC236}">
              <a16:creationId xmlns:a16="http://schemas.microsoft.com/office/drawing/2014/main" id="{1C7E5065-C365-2CE3-99A8-F3CFC08514C7}"/>
            </a:ext>
          </a:extLst>
        </xdr:cNvPr>
        <xdr:cNvSpPr/>
      </xdr:nvSpPr>
      <xdr:spPr>
        <a:xfrm>
          <a:off x="7075715" y="2381250"/>
          <a:ext cx="4776108" cy="2286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258536</xdr:colOff>
      <xdr:row>27</xdr:row>
      <xdr:rowOff>0</xdr:rowOff>
    </xdr:from>
    <xdr:to>
      <xdr:col>17</xdr:col>
      <xdr:colOff>285749</xdr:colOff>
      <xdr:row>40</xdr:row>
      <xdr:rowOff>83179</xdr:rowOff>
    </xdr:to>
    <xdr:sp macro="" textlink="">
      <xdr:nvSpPr>
        <xdr:cNvPr id="5" name="Rectangle: Rounded Corners 4">
          <a:extLst>
            <a:ext uri="{FF2B5EF4-FFF2-40B4-BE49-F238E27FC236}">
              <a16:creationId xmlns:a16="http://schemas.microsoft.com/office/drawing/2014/main" id="{8DFD8B1C-1522-40EF-4C86-18A2BE459F19}"/>
            </a:ext>
          </a:extLst>
        </xdr:cNvPr>
        <xdr:cNvSpPr/>
      </xdr:nvSpPr>
      <xdr:spPr>
        <a:xfrm>
          <a:off x="7062107" y="4776107"/>
          <a:ext cx="4789713" cy="238278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367393</xdr:colOff>
      <xdr:row>13</xdr:row>
      <xdr:rowOff>81643</xdr:rowOff>
    </xdr:from>
    <xdr:to>
      <xdr:col>25</xdr:col>
      <xdr:colOff>13608</xdr:colOff>
      <xdr:row>25</xdr:row>
      <xdr:rowOff>176892</xdr:rowOff>
    </xdr:to>
    <xdr:sp macro="" textlink="">
      <xdr:nvSpPr>
        <xdr:cNvPr id="6" name="Rectangle: Rounded Corners 5">
          <a:extLst>
            <a:ext uri="{FF2B5EF4-FFF2-40B4-BE49-F238E27FC236}">
              <a16:creationId xmlns:a16="http://schemas.microsoft.com/office/drawing/2014/main" id="{37E6702F-C38C-9AB8-289B-A3615D8AADE1}"/>
            </a:ext>
          </a:extLst>
        </xdr:cNvPr>
        <xdr:cNvSpPr/>
      </xdr:nvSpPr>
      <xdr:spPr>
        <a:xfrm>
          <a:off x="11933464" y="2381250"/>
          <a:ext cx="5089073" cy="221796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408215</xdr:colOff>
      <xdr:row>26</xdr:row>
      <xdr:rowOff>54429</xdr:rowOff>
    </xdr:from>
    <xdr:to>
      <xdr:col>24</xdr:col>
      <xdr:colOff>666750</xdr:colOff>
      <xdr:row>40</xdr:row>
      <xdr:rowOff>75805</xdr:rowOff>
    </xdr:to>
    <xdr:sp macro="" textlink="">
      <xdr:nvSpPr>
        <xdr:cNvPr id="7" name="Rectangle: Rounded Corners 6">
          <a:extLst>
            <a:ext uri="{FF2B5EF4-FFF2-40B4-BE49-F238E27FC236}">
              <a16:creationId xmlns:a16="http://schemas.microsoft.com/office/drawing/2014/main" id="{8FACADEE-2139-A5C7-C31D-2C97E0E5ADF9}"/>
            </a:ext>
          </a:extLst>
        </xdr:cNvPr>
        <xdr:cNvSpPr/>
      </xdr:nvSpPr>
      <xdr:spPr>
        <a:xfrm>
          <a:off x="11974286" y="4653643"/>
          <a:ext cx="5021035" cy="24978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122464</xdr:colOff>
      <xdr:row>2</xdr:row>
      <xdr:rowOff>11937</xdr:rowOff>
    </xdr:from>
    <xdr:to>
      <xdr:col>25</xdr:col>
      <xdr:colOff>163285</xdr:colOff>
      <xdr:row>5</xdr:row>
      <xdr:rowOff>40822</xdr:rowOff>
    </xdr:to>
    <xdr:sp macro="" textlink="">
      <xdr:nvSpPr>
        <xdr:cNvPr id="8" name="Rectangle: Rounded Corners 7">
          <a:extLst>
            <a:ext uri="{FF2B5EF4-FFF2-40B4-BE49-F238E27FC236}">
              <a16:creationId xmlns:a16="http://schemas.microsoft.com/office/drawing/2014/main" id="{53920283-BF20-9BFC-082A-099B6CE5EAD9}"/>
            </a:ext>
          </a:extLst>
        </xdr:cNvPr>
        <xdr:cNvSpPr/>
      </xdr:nvSpPr>
      <xdr:spPr>
        <a:xfrm>
          <a:off x="802821" y="365723"/>
          <a:ext cx="16369393" cy="5595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scene3d>
            <a:camera prst="orthographicFront"/>
            <a:lightRig rig="soft" dir="t">
              <a:rot lat="0" lon="0" rev="15600000"/>
            </a:lightRig>
          </a:scene3d>
          <a:sp3d extrusionH="57150" prstMaterial="softEdge">
            <a:bevelT w="25400" h="38100"/>
          </a:sp3d>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kern="1200" cap="none" spc="0">
              <a:ln/>
              <a:solidFill>
                <a:srgbClr val="22405F"/>
              </a:solidFill>
              <a:effectLst>
                <a:outerShdw blurRad="50800" dist="38100" dir="2700000" algn="tl" rotWithShape="0">
                  <a:prstClr val="black">
                    <a:alpha val="40000"/>
                  </a:prstClr>
                </a:outerShdw>
              </a:effectLst>
              <a:latin typeface="+mn-lt"/>
              <a:ea typeface="+mn-ea"/>
              <a:cs typeface="+mn-cs"/>
            </a:rPr>
            <a:t>HR</a:t>
          </a:r>
          <a:r>
            <a:rPr lang="en-US" sz="3200" b="1" kern="1200" cap="none" spc="0" baseline="0">
              <a:ln/>
              <a:solidFill>
                <a:srgbClr val="22405F"/>
              </a:solidFill>
              <a:effectLst>
                <a:outerShdw blurRad="50800" dist="38100" dir="2700000" algn="tl" rotWithShape="0">
                  <a:prstClr val="black">
                    <a:alpha val="40000"/>
                  </a:prstClr>
                </a:outerShdw>
              </a:effectLst>
              <a:latin typeface="+mn-lt"/>
              <a:ea typeface="+mn-ea"/>
              <a:cs typeface="+mn-cs"/>
            </a:rPr>
            <a:t> EMPLOYEE ATTRITION ANALYSIS  DASHBOARD</a:t>
          </a:r>
          <a:endParaRPr lang="en-US" sz="3200" b="1" cap="none" spc="0">
            <a:ln/>
            <a:solidFill>
              <a:srgbClr val="22405F"/>
            </a:solidFill>
            <a:effectLst>
              <a:outerShdw blurRad="50800" dist="38100" dir="2700000" algn="tl" rotWithShape="0">
                <a:prstClr val="black">
                  <a:alpha val="40000"/>
                </a:prstClr>
              </a:outerShdw>
            </a:effectLst>
          </a:endParaRPr>
        </a:p>
        <a:p>
          <a:pPr algn="ctr"/>
          <a:endParaRPr lang="en-US" b="1" cap="none" spc="0">
            <a:ln/>
            <a:solidFill>
              <a:schemeClr val="accent4"/>
            </a:solidFill>
            <a:effectLst/>
          </a:endParaRPr>
        </a:p>
      </xdr:txBody>
    </xdr:sp>
    <xdr:clientData/>
  </xdr:twoCellAnchor>
  <xdr:twoCellAnchor>
    <xdr:from>
      <xdr:col>5</xdr:col>
      <xdr:colOff>530679</xdr:colOff>
      <xdr:row>6</xdr:row>
      <xdr:rowOff>81644</xdr:rowOff>
    </xdr:from>
    <xdr:to>
      <xdr:col>9</xdr:col>
      <xdr:colOff>585107</xdr:colOff>
      <xdr:row>11</xdr:row>
      <xdr:rowOff>116144</xdr:rowOff>
    </xdr:to>
    <xdr:sp macro="" textlink="">
      <xdr:nvSpPr>
        <xdr:cNvPr id="9" name="Rectangle: Rounded Corners 8">
          <a:extLst>
            <a:ext uri="{FF2B5EF4-FFF2-40B4-BE49-F238E27FC236}">
              <a16:creationId xmlns:a16="http://schemas.microsoft.com/office/drawing/2014/main" id="{155DB62C-86B2-E6FF-0150-A1AA896EA424}"/>
            </a:ext>
          </a:extLst>
        </xdr:cNvPr>
        <xdr:cNvSpPr/>
      </xdr:nvSpPr>
      <xdr:spPr>
        <a:xfrm>
          <a:off x="3592286" y="1224644"/>
          <a:ext cx="2503714" cy="987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571499</xdr:colOff>
      <xdr:row>6</xdr:row>
      <xdr:rowOff>54429</xdr:rowOff>
    </xdr:from>
    <xdr:to>
      <xdr:col>14</xdr:col>
      <xdr:colOff>489857</xdr:colOff>
      <xdr:row>11</xdr:row>
      <xdr:rowOff>152135</xdr:rowOff>
    </xdr:to>
    <xdr:sp macro="" textlink="">
      <xdr:nvSpPr>
        <xdr:cNvPr id="10" name="Rectangle: Rounded Corners 9">
          <a:extLst>
            <a:ext uri="{FF2B5EF4-FFF2-40B4-BE49-F238E27FC236}">
              <a16:creationId xmlns:a16="http://schemas.microsoft.com/office/drawing/2014/main" id="{75515E21-6535-0537-B690-9E60CFBADAFB}"/>
            </a:ext>
          </a:extLst>
        </xdr:cNvPr>
        <xdr:cNvSpPr/>
      </xdr:nvSpPr>
      <xdr:spPr>
        <a:xfrm>
          <a:off x="7375070" y="1115786"/>
          <a:ext cx="2639787" cy="9821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20</xdr:col>
      <xdr:colOff>54428</xdr:colOff>
      <xdr:row>6</xdr:row>
      <xdr:rowOff>54428</xdr:rowOff>
    </xdr:from>
    <xdr:to>
      <xdr:col>24</xdr:col>
      <xdr:colOff>489856</xdr:colOff>
      <xdr:row>12</xdr:row>
      <xdr:rowOff>13607</xdr:rowOff>
    </xdr:to>
    <xdr:sp macro="" textlink="">
      <xdr:nvSpPr>
        <xdr:cNvPr id="11" name="Rectangle: Rounded Corners 10">
          <a:extLst>
            <a:ext uri="{FF2B5EF4-FFF2-40B4-BE49-F238E27FC236}">
              <a16:creationId xmlns:a16="http://schemas.microsoft.com/office/drawing/2014/main" id="{EF66D989-7763-75E1-BFFD-4ACB4D86A09A}"/>
            </a:ext>
          </a:extLst>
        </xdr:cNvPr>
        <xdr:cNvSpPr/>
      </xdr:nvSpPr>
      <xdr:spPr>
        <a:xfrm>
          <a:off x="12300857" y="1197428"/>
          <a:ext cx="2884713" cy="110217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410934</xdr:colOff>
      <xdr:row>6</xdr:row>
      <xdr:rowOff>68036</xdr:rowOff>
    </xdr:from>
    <xdr:to>
      <xdr:col>19</xdr:col>
      <xdr:colOff>340178</xdr:colOff>
      <xdr:row>11</xdr:row>
      <xdr:rowOff>168463</xdr:rowOff>
    </xdr:to>
    <xdr:sp macro="" textlink="">
      <xdr:nvSpPr>
        <xdr:cNvPr id="37" name="Rectangle: Rounded Corners 36">
          <a:extLst>
            <a:ext uri="{FF2B5EF4-FFF2-40B4-BE49-F238E27FC236}">
              <a16:creationId xmlns:a16="http://schemas.microsoft.com/office/drawing/2014/main" id="{93ECC19C-18C6-47EA-990A-51BBC39AAF15}"/>
            </a:ext>
          </a:extLst>
        </xdr:cNvPr>
        <xdr:cNvSpPr/>
      </xdr:nvSpPr>
      <xdr:spPr>
        <a:xfrm>
          <a:off x="10616291" y="1129393"/>
          <a:ext cx="2650673" cy="9848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367392</xdr:colOff>
      <xdr:row>13</xdr:row>
      <xdr:rowOff>81643</xdr:rowOff>
    </xdr:from>
    <xdr:to>
      <xdr:col>25</xdr:col>
      <xdr:colOff>-1</xdr:colOff>
      <xdr:row>25</xdr:row>
      <xdr:rowOff>108858</xdr:rowOff>
    </xdr:to>
    <xdr:graphicFrame macro="">
      <xdr:nvGraphicFramePr>
        <xdr:cNvPr id="12" name="Chart 11">
          <a:extLst>
            <a:ext uri="{FF2B5EF4-FFF2-40B4-BE49-F238E27FC236}">
              <a16:creationId xmlns:a16="http://schemas.microsoft.com/office/drawing/2014/main" id="{91E88AB0-D5C6-4A03-BFA4-0CCA94CA7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204110</xdr:colOff>
      <xdr:row>12</xdr:row>
      <xdr:rowOff>149681</xdr:rowOff>
    </xdr:from>
    <xdr:to>
      <xdr:col>10</xdr:col>
      <xdr:colOff>163286</xdr:colOff>
      <xdr:row>40</xdr:row>
      <xdr:rowOff>54428</xdr:rowOff>
    </xdr:to>
    <xdr:graphicFrame macro="">
      <xdr:nvGraphicFramePr>
        <xdr:cNvPr id="13" name="Chart 12">
          <a:extLst>
            <a:ext uri="{FF2B5EF4-FFF2-40B4-BE49-F238E27FC236}">
              <a16:creationId xmlns:a16="http://schemas.microsoft.com/office/drawing/2014/main" id="{87065282-CC61-4409-8DFF-D843FB729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272143</xdr:colOff>
      <xdr:row>13</xdr:row>
      <xdr:rowOff>40822</xdr:rowOff>
    </xdr:from>
    <xdr:to>
      <xdr:col>17</xdr:col>
      <xdr:colOff>231322</xdr:colOff>
      <xdr:row>26</xdr:row>
      <xdr:rowOff>40823</xdr:rowOff>
    </xdr:to>
    <xdr:graphicFrame macro="">
      <xdr:nvGraphicFramePr>
        <xdr:cNvPr id="14" name="Chart 13">
          <a:extLst>
            <a:ext uri="{FF2B5EF4-FFF2-40B4-BE49-F238E27FC236}">
              <a16:creationId xmlns:a16="http://schemas.microsoft.com/office/drawing/2014/main" id="{DA7E6387-D5F2-4B02-B60C-F4090D3A1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421822</xdr:colOff>
      <xdr:row>26</xdr:row>
      <xdr:rowOff>54430</xdr:rowOff>
    </xdr:from>
    <xdr:to>
      <xdr:col>24</xdr:col>
      <xdr:colOff>625929</xdr:colOff>
      <xdr:row>39</xdr:row>
      <xdr:rowOff>163287</xdr:rowOff>
    </xdr:to>
    <xdr:graphicFrame macro="">
      <xdr:nvGraphicFramePr>
        <xdr:cNvPr id="15" name="Chart 14">
          <a:extLst>
            <a:ext uri="{FF2B5EF4-FFF2-40B4-BE49-F238E27FC236}">
              <a16:creationId xmlns:a16="http://schemas.microsoft.com/office/drawing/2014/main" id="{78057A4A-D83F-4C66-9BC0-A012D3655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312965</xdr:colOff>
      <xdr:row>27</xdr:row>
      <xdr:rowOff>0</xdr:rowOff>
    </xdr:from>
    <xdr:to>
      <xdr:col>17</xdr:col>
      <xdr:colOff>231322</xdr:colOff>
      <xdr:row>40</xdr:row>
      <xdr:rowOff>40822</xdr:rowOff>
    </xdr:to>
    <xdr:graphicFrame macro="">
      <xdr:nvGraphicFramePr>
        <xdr:cNvPr id="16" name="Chart 15">
          <a:extLst>
            <a:ext uri="{FF2B5EF4-FFF2-40B4-BE49-F238E27FC236}">
              <a16:creationId xmlns:a16="http://schemas.microsoft.com/office/drawing/2014/main" id="{7A99A06F-DD86-403B-BFA0-C4D23790B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517074</xdr:colOff>
      <xdr:row>6</xdr:row>
      <xdr:rowOff>81644</xdr:rowOff>
    </xdr:from>
    <xdr:to>
      <xdr:col>9</xdr:col>
      <xdr:colOff>571501</xdr:colOff>
      <xdr:row>9</xdr:row>
      <xdr:rowOff>1</xdr:rowOff>
    </xdr:to>
    <xdr:sp macro="" textlink="">
      <xdr:nvSpPr>
        <xdr:cNvPr id="17" name="TextBox 16">
          <a:extLst>
            <a:ext uri="{FF2B5EF4-FFF2-40B4-BE49-F238E27FC236}">
              <a16:creationId xmlns:a16="http://schemas.microsoft.com/office/drawing/2014/main" id="{F0012380-26A6-3737-78DF-A5EAA361064F}"/>
            </a:ext>
          </a:extLst>
        </xdr:cNvPr>
        <xdr:cNvSpPr txBox="1"/>
      </xdr:nvSpPr>
      <xdr:spPr>
        <a:xfrm>
          <a:off x="3578681" y="1224644"/>
          <a:ext cx="2503713" cy="489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kern="1200">
              <a:solidFill>
                <a:srgbClr val="22405F"/>
              </a:solidFill>
            </a:rPr>
            <a:t>Overall </a:t>
          </a:r>
          <a:r>
            <a:rPr lang="en-US" sz="2200" b="1" kern="1200">
              <a:solidFill>
                <a:srgbClr val="22405F"/>
              </a:solidFill>
            </a:rPr>
            <a:t>Attrition</a:t>
          </a:r>
          <a:r>
            <a:rPr lang="en-US" sz="2000" b="1" kern="1200">
              <a:solidFill>
                <a:srgbClr val="22405F"/>
              </a:solidFill>
            </a:rPr>
            <a:t> Rate</a:t>
          </a:r>
        </a:p>
      </xdr:txBody>
    </xdr:sp>
    <xdr:clientData/>
  </xdr:twoCellAnchor>
  <xdr:twoCellAnchor>
    <xdr:from>
      <xdr:col>11</xdr:col>
      <xdr:colOff>204106</xdr:colOff>
      <xdr:row>6</xdr:row>
      <xdr:rowOff>108857</xdr:rowOff>
    </xdr:from>
    <xdr:to>
      <xdr:col>14</xdr:col>
      <xdr:colOff>449036</xdr:colOff>
      <xdr:row>8</xdr:row>
      <xdr:rowOff>163286</xdr:rowOff>
    </xdr:to>
    <xdr:sp macro="" textlink="">
      <xdr:nvSpPr>
        <xdr:cNvPr id="18" name="TextBox 17">
          <a:extLst>
            <a:ext uri="{FF2B5EF4-FFF2-40B4-BE49-F238E27FC236}">
              <a16:creationId xmlns:a16="http://schemas.microsoft.com/office/drawing/2014/main" id="{9FC9A98F-B4F1-E01E-9FAB-B88A9227AC15}"/>
            </a:ext>
          </a:extLst>
        </xdr:cNvPr>
        <xdr:cNvSpPr txBox="1"/>
      </xdr:nvSpPr>
      <xdr:spPr>
        <a:xfrm>
          <a:off x="6939642" y="1251857"/>
          <a:ext cx="2081894" cy="435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kern="1200">
              <a:solidFill>
                <a:srgbClr val="22405F"/>
              </a:solidFill>
            </a:rPr>
            <a:t>Total </a:t>
          </a:r>
          <a:r>
            <a:rPr lang="en-US" sz="2200" b="1" kern="1200">
              <a:solidFill>
                <a:srgbClr val="22405F"/>
              </a:solidFill>
            </a:rPr>
            <a:t>Employees</a:t>
          </a:r>
        </a:p>
      </xdr:txBody>
    </xdr:sp>
    <xdr:clientData/>
  </xdr:twoCellAnchor>
  <xdr:twoCellAnchor>
    <xdr:from>
      <xdr:col>16</xdr:col>
      <xdr:colOff>353787</xdr:colOff>
      <xdr:row>6</xdr:row>
      <xdr:rowOff>108856</xdr:rowOff>
    </xdr:from>
    <xdr:to>
      <xdr:col>18</xdr:col>
      <xdr:colOff>530678</xdr:colOff>
      <xdr:row>8</xdr:row>
      <xdr:rowOff>149677</xdr:rowOff>
    </xdr:to>
    <xdr:sp macro="" textlink="">
      <xdr:nvSpPr>
        <xdr:cNvPr id="19" name="TextBox 18">
          <a:extLst>
            <a:ext uri="{FF2B5EF4-FFF2-40B4-BE49-F238E27FC236}">
              <a16:creationId xmlns:a16="http://schemas.microsoft.com/office/drawing/2014/main" id="{D0CC5FAC-5ADC-3BF4-49A2-8D2E091B6237}"/>
            </a:ext>
          </a:extLst>
        </xdr:cNvPr>
        <xdr:cNvSpPr txBox="1"/>
      </xdr:nvSpPr>
      <xdr:spPr>
        <a:xfrm>
          <a:off x="10150930" y="1251856"/>
          <a:ext cx="1401534" cy="421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kern="1200">
              <a:solidFill>
                <a:srgbClr val="22405F"/>
              </a:solidFill>
            </a:rPr>
            <a:t>Total </a:t>
          </a:r>
          <a:r>
            <a:rPr lang="en-US" sz="2200" b="1" kern="1200">
              <a:solidFill>
                <a:srgbClr val="22405F"/>
              </a:solidFill>
            </a:rPr>
            <a:t>Exits</a:t>
          </a:r>
        </a:p>
      </xdr:txBody>
    </xdr:sp>
    <xdr:clientData/>
  </xdr:twoCellAnchor>
  <xdr:twoCellAnchor>
    <xdr:from>
      <xdr:col>20</xdr:col>
      <xdr:colOff>68036</xdr:colOff>
      <xdr:row>6</xdr:row>
      <xdr:rowOff>95250</xdr:rowOff>
    </xdr:from>
    <xdr:to>
      <xdr:col>24</xdr:col>
      <xdr:colOff>421822</xdr:colOff>
      <xdr:row>9</xdr:row>
      <xdr:rowOff>54429</xdr:rowOff>
    </xdr:to>
    <xdr:sp macro="" textlink="">
      <xdr:nvSpPr>
        <xdr:cNvPr id="20" name="TextBox 19">
          <a:extLst>
            <a:ext uri="{FF2B5EF4-FFF2-40B4-BE49-F238E27FC236}">
              <a16:creationId xmlns:a16="http://schemas.microsoft.com/office/drawing/2014/main" id="{E7383C18-3113-9C26-2295-8F9117ABB6B3}"/>
            </a:ext>
          </a:extLst>
        </xdr:cNvPr>
        <xdr:cNvSpPr txBox="1"/>
      </xdr:nvSpPr>
      <xdr:spPr>
        <a:xfrm>
          <a:off x="12314465" y="1238250"/>
          <a:ext cx="2803071" cy="530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kern="1200">
              <a:solidFill>
                <a:srgbClr val="22405F"/>
              </a:solidFill>
            </a:rPr>
            <a:t>High-Ris</a:t>
          </a:r>
          <a:r>
            <a:rPr lang="en-US" sz="2000" b="1" kern="1200" baseline="0">
              <a:solidFill>
                <a:srgbClr val="22405F"/>
              </a:solidFill>
            </a:rPr>
            <a:t>k Attrition Group</a:t>
          </a:r>
        </a:p>
      </xdr:txBody>
    </xdr:sp>
    <xdr:clientData/>
  </xdr:twoCellAnchor>
  <xdr:twoCellAnchor>
    <xdr:from>
      <xdr:col>6</xdr:col>
      <xdr:colOff>612320</xdr:colOff>
      <xdr:row>8</xdr:row>
      <xdr:rowOff>108857</xdr:rowOff>
    </xdr:from>
    <xdr:to>
      <xdr:col>9</xdr:col>
      <xdr:colOff>163286</xdr:colOff>
      <xdr:row>11</xdr:row>
      <xdr:rowOff>95251</xdr:rowOff>
    </xdr:to>
    <xdr:sp macro="" textlink="Attritionrate">
      <xdr:nvSpPr>
        <xdr:cNvPr id="22" name="TextBox 21">
          <a:extLst>
            <a:ext uri="{FF2B5EF4-FFF2-40B4-BE49-F238E27FC236}">
              <a16:creationId xmlns:a16="http://schemas.microsoft.com/office/drawing/2014/main" id="{EB846579-D0C7-A67D-59A8-59A63547E063}"/>
            </a:ext>
          </a:extLst>
        </xdr:cNvPr>
        <xdr:cNvSpPr txBox="1"/>
      </xdr:nvSpPr>
      <xdr:spPr>
        <a:xfrm>
          <a:off x="4286249" y="1632857"/>
          <a:ext cx="1387930" cy="557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12B2D0-DEE6-4BC6-B983-CC33BEAEC3B5}" type="TxLink">
            <a:rPr lang="en-US" sz="3000" b="1" i="0" u="none" strike="noStrike" kern="1200">
              <a:solidFill>
                <a:srgbClr val="00926E"/>
              </a:solidFill>
              <a:latin typeface="Aptos Narrow"/>
            </a:rPr>
            <a:pPr/>
            <a:t>16.12%</a:t>
          </a:fld>
          <a:endParaRPr lang="en-US" sz="3000" b="1" kern="1200">
            <a:solidFill>
              <a:srgbClr val="00926E"/>
            </a:solidFill>
          </a:endParaRPr>
        </a:p>
      </xdr:txBody>
    </xdr:sp>
    <xdr:clientData/>
  </xdr:twoCellAnchor>
  <xdr:twoCellAnchor>
    <xdr:from>
      <xdr:col>11</xdr:col>
      <xdr:colOff>666749</xdr:colOff>
      <xdr:row>8</xdr:row>
      <xdr:rowOff>122463</xdr:rowOff>
    </xdr:from>
    <xdr:to>
      <xdr:col>13</xdr:col>
      <xdr:colOff>462643</xdr:colOff>
      <xdr:row>11</xdr:row>
      <xdr:rowOff>81643</xdr:rowOff>
    </xdr:to>
    <xdr:sp macro="" textlink="TotalEmployees">
      <xdr:nvSpPr>
        <xdr:cNvPr id="23" name="TextBox 22">
          <a:extLst>
            <a:ext uri="{FF2B5EF4-FFF2-40B4-BE49-F238E27FC236}">
              <a16:creationId xmlns:a16="http://schemas.microsoft.com/office/drawing/2014/main" id="{7ABBF9B5-7A01-AADC-B94B-60454F8CE924}"/>
            </a:ext>
          </a:extLst>
        </xdr:cNvPr>
        <xdr:cNvSpPr txBox="1"/>
      </xdr:nvSpPr>
      <xdr:spPr>
        <a:xfrm>
          <a:off x="8150678" y="1537606"/>
          <a:ext cx="1156608" cy="4898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10364D-7474-4716-B854-772290DA9282}" type="TxLink">
            <a:rPr lang="en-US" sz="3000" b="1" i="0" u="none" strike="noStrike" kern="1200">
              <a:solidFill>
                <a:srgbClr val="00926E"/>
              </a:solidFill>
              <a:latin typeface="Aptos Narrow"/>
            </a:rPr>
            <a:pPr/>
            <a:t>1,470</a:t>
          </a:fld>
          <a:endParaRPr lang="en-US" sz="3000" b="1" kern="1200">
            <a:solidFill>
              <a:srgbClr val="00926E"/>
            </a:solidFill>
          </a:endParaRPr>
        </a:p>
      </xdr:txBody>
    </xdr:sp>
    <xdr:clientData/>
  </xdr:twoCellAnchor>
  <xdr:twoCellAnchor>
    <xdr:from>
      <xdr:col>16</xdr:col>
      <xdr:colOff>544285</xdr:colOff>
      <xdr:row>8</xdr:row>
      <xdr:rowOff>136071</xdr:rowOff>
    </xdr:from>
    <xdr:to>
      <xdr:col>18</xdr:col>
      <xdr:colOff>380999</xdr:colOff>
      <xdr:row>12</xdr:row>
      <xdr:rowOff>0</xdr:rowOff>
    </xdr:to>
    <xdr:sp macro="" textlink="TotalExits">
      <xdr:nvSpPr>
        <xdr:cNvPr id="24" name="TextBox 23">
          <a:extLst>
            <a:ext uri="{FF2B5EF4-FFF2-40B4-BE49-F238E27FC236}">
              <a16:creationId xmlns:a16="http://schemas.microsoft.com/office/drawing/2014/main" id="{992DBBAE-E20A-908B-1742-AF374C065889}"/>
            </a:ext>
          </a:extLst>
        </xdr:cNvPr>
        <xdr:cNvSpPr txBox="1"/>
      </xdr:nvSpPr>
      <xdr:spPr>
        <a:xfrm>
          <a:off x="11429999" y="1551214"/>
          <a:ext cx="1197429"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0852CF-3134-4579-815D-6669368A2552}" type="TxLink">
            <a:rPr lang="en-US" sz="3000" b="1" i="0" u="none" strike="noStrike" kern="1200">
              <a:solidFill>
                <a:srgbClr val="00926E"/>
              </a:solidFill>
              <a:latin typeface="Aptos Narrow"/>
            </a:rPr>
            <a:pPr/>
            <a:t>237</a:t>
          </a:fld>
          <a:endParaRPr lang="en-US" sz="3000" b="1" kern="1200">
            <a:solidFill>
              <a:srgbClr val="00926E"/>
            </a:solidFill>
          </a:endParaRPr>
        </a:p>
      </xdr:txBody>
    </xdr:sp>
    <xdr:clientData/>
  </xdr:twoCellAnchor>
  <xdr:twoCellAnchor>
    <xdr:from>
      <xdr:col>21</xdr:col>
      <xdr:colOff>272142</xdr:colOff>
      <xdr:row>8</xdr:row>
      <xdr:rowOff>95250</xdr:rowOff>
    </xdr:from>
    <xdr:to>
      <xdr:col>23</xdr:col>
      <xdr:colOff>122464</xdr:colOff>
      <xdr:row>11</xdr:row>
      <xdr:rowOff>163286</xdr:rowOff>
    </xdr:to>
    <xdr:sp macro="" textlink="HighAttritionAge">
      <xdr:nvSpPr>
        <xdr:cNvPr id="25" name="TextBox 24">
          <a:extLst>
            <a:ext uri="{FF2B5EF4-FFF2-40B4-BE49-F238E27FC236}">
              <a16:creationId xmlns:a16="http://schemas.microsoft.com/office/drawing/2014/main" id="{61AFD44C-8BD8-C59D-726F-3F437971EF43}"/>
            </a:ext>
          </a:extLst>
        </xdr:cNvPr>
        <xdr:cNvSpPr txBox="1"/>
      </xdr:nvSpPr>
      <xdr:spPr>
        <a:xfrm>
          <a:off x="13130892" y="1619250"/>
          <a:ext cx="1074965" cy="6395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8DEA21-63DE-4A1B-82A6-E2AB2D955878}" type="TxLink">
            <a:rPr lang="en-US" sz="3000" b="1" i="0" u="none" strike="noStrike" kern="1200">
              <a:solidFill>
                <a:srgbClr val="00926E"/>
              </a:solidFill>
              <a:latin typeface="Aptos Narrow"/>
            </a:rPr>
            <a:pPr/>
            <a:t>25-34</a:t>
          </a:fld>
          <a:endParaRPr lang="en-US" sz="3000" b="1" kern="1200">
            <a:solidFill>
              <a:srgbClr val="00926E"/>
            </a:solidFill>
          </a:endParaRPr>
        </a:p>
      </xdr:txBody>
    </xdr:sp>
    <xdr:clientData/>
  </xdr:twoCellAnchor>
  <xdr:twoCellAnchor editAs="absolute">
    <xdr:from>
      <xdr:col>1</xdr:col>
      <xdr:colOff>176890</xdr:colOff>
      <xdr:row>5</xdr:row>
      <xdr:rowOff>81643</xdr:rowOff>
    </xdr:from>
    <xdr:to>
      <xdr:col>5</xdr:col>
      <xdr:colOff>149678</xdr:colOff>
      <xdr:row>15</xdr:row>
      <xdr:rowOff>54428</xdr:rowOff>
    </xdr:to>
    <mc:AlternateContent xmlns:mc="http://schemas.openxmlformats.org/markup-compatibility/2006" xmlns:a14="http://schemas.microsoft.com/office/drawing/2010/main">
      <mc:Choice Requires="a14">
        <xdr:graphicFrame macro="">
          <xdr:nvGraphicFramePr>
            <xdr:cNvPr id="26" name="Age Group">
              <a:extLst>
                <a:ext uri="{FF2B5EF4-FFF2-40B4-BE49-F238E27FC236}">
                  <a16:creationId xmlns:a16="http://schemas.microsoft.com/office/drawing/2014/main" id="{F7E0EE1F-3983-44CB-9D69-ADEB5326A3F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89211" y="1034143"/>
              <a:ext cx="2422074" cy="1877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163282</xdr:colOff>
      <xdr:row>33</xdr:row>
      <xdr:rowOff>136072</xdr:rowOff>
    </xdr:from>
    <xdr:to>
      <xdr:col>5</xdr:col>
      <xdr:colOff>108856</xdr:colOff>
      <xdr:row>40</xdr:row>
      <xdr:rowOff>136072</xdr:rowOff>
    </xdr:to>
    <mc:AlternateContent xmlns:mc="http://schemas.openxmlformats.org/markup-compatibility/2006" xmlns:a14="http://schemas.microsoft.com/office/drawing/2010/main">
      <mc:Choice Requires="a14">
        <xdr:graphicFrame macro="">
          <xdr:nvGraphicFramePr>
            <xdr:cNvPr id="27" name="MaritalStatus">
              <a:extLst>
                <a:ext uri="{FF2B5EF4-FFF2-40B4-BE49-F238E27FC236}">
                  <a16:creationId xmlns:a16="http://schemas.microsoft.com/office/drawing/2014/main" id="{C3D21657-DB0D-4060-B2F7-6D5A2D689E18}"/>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75603" y="6422572"/>
              <a:ext cx="239486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163285</xdr:colOff>
      <xdr:row>25</xdr:row>
      <xdr:rowOff>13608</xdr:rowOff>
    </xdr:from>
    <xdr:to>
      <xdr:col>5</xdr:col>
      <xdr:colOff>95250</xdr:colOff>
      <xdr:row>33</xdr:row>
      <xdr:rowOff>136072</xdr:rowOff>
    </xdr:to>
    <mc:AlternateContent xmlns:mc="http://schemas.openxmlformats.org/markup-compatibility/2006" xmlns:a14="http://schemas.microsoft.com/office/drawing/2010/main">
      <mc:Choice Requires="a14">
        <xdr:graphicFrame macro="">
          <xdr:nvGraphicFramePr>
            <xdr:cNvPr id="28" name="StockOption">
              <a:extLst>
                <a:ext uri="{FF2B5EF4-FFF2-40B4-BE49-F238E27FC236}">
                  <a16:creationId xmlns:a16="http://schemas.microsoft.com/office/drawing/2014/main" id="{058C37FD-9AB9-4124-88B5-2D060FBE66BA}"/>
                </a:ext>
              </a:extLst>
            </xdr:cNvPr>
            <xdr:cNvGraphicFramePr/>
          </xdr:nvGraphicFramePr>
          <xdr:xfrm>
            <a:off x="0" y="0"/>
            <a:ext cx="0" cy="0"/>
          </xdr:xfrm>
          <a:graphic>
            <a:graphicData uri="http://schemas.microsoft.com/office/drawing/2010/slicer">
              <sle:slicer xmlns:sle="http://schemas.microsoft.com/office/drawing/2010/slicer" name="StockOption"/>
            </a:graphicData>
          </a:graphic>
        </xdr:graphicFrame>
      </mc:Choice>
      <mc:Fallback xmlns="">
        <xdr:sp macro="" textlink="">
          <xdr:nvSpPr>
            <xdr:cNvPr id="0" name=""/>
            <xdr:cNvSpPr>
              <a:spLocks noTextEdit="1"/>
            </xdr:cNvSpPr>
          </xdr:nvSpPr>
          <xdr:spPr>
            <a:xfrm>
              <a:off x="775606" y="4776108"/>
              <a:ext cx="2381251" cy="1646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176893</xdr:colOff>
      <xdr:row>14</xdr:row>
      <xdr:rowOff>163286</xdr:rowOff>
    </xdr:from>
    <xdr:to>
      <xdr:col>5</xdr:col>
      <xdr:colOff>122464</xdr:colOff>
      <xdr:row>25</xdr:row>
      <xdr:rowOff>0</xdr:rowOff>
    </xdr:to>
    <mc:AlternateContent xmlns:mc="http://schemas.openxmlformats.org/markup-compatibility/2006" xmlns:a14="http://schemas.microsoft.com/office/drawing/2010/main">
      <mc:Choice Requires="a14">
        <xdr:graphicFrame macro="">
          <xdr:nvGraphicFramePr>
            <xdr:cNvPr id="29" name="Education">
              <a:extLst>
                <a:ext uri="{FF2B5EF4-FFF2-40B4-BE49-F238E27FC236}">
                  <a16:creationId xmlns:a16="http://schemas.microsoft.com/office/drawing/2014/main" id="{F16B528B-D866-4580-9DE7-0C15811FCD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9214" y="2830286"/>
              <a:ext cx="2394857" cy="1932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585108</xdr:colOff>
      <xdr:row>2</xdr:row>
      <xdr:rowOff>27213</xdr:rowOff>
    </xdr:from>
    <xdr:to>
      <xdr:col>25</xdr:col>
      <xdr:colOff>27214</xdr:colOff>
      <xdr:row>4</xdr:row>
      <xdr:rowOff>149679</xdr:rowOff>
    </xdr:to>
    <xdr:sp macro="" textlink="">
      <xdr:nvSpPr>
        <xdr:cNvPr id="32" name="TextBox 31">
          <a:extLst>
            <a:ext uri="{FF2B5EF4-FFF2-40B4-BE49-F238E27FC236}">
              <a16:creationId xmlns:a16="http://schemas.microsoft.com/office/drawing/2014/main" id="{3435EF08-9726-EAC2-A5E6-84D9D5D24560}"/>
            </a:ext>
          </a:extLst>
        </xdr:cNvPr>
        <xdr:cNvSpPr txBox="1"/>
      </xdr:nvSpPr>
      <xdr:spPr>
        <a:xfrm>
          <a:off x="14056179" y="408213"/>
          <a:ext cx="1279071" cy="503466"/>
        </a:xfrm>
        <a:prstGeom prst="ellipse">
          <a:avLst/>
        </a:prstGeom>
        <a:solidFill>
          <a:srgbClr val="22405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kern="1200">
              <a:solidFill>
                <a:schemeClr val="bg1"/>
              </a:solidFill>
            </a:rPr>
            <a:t>ORACLE</a:t>
          </a:r>
        </a:p>
      </xdr:txBody>
    </xdr:sp>
    <xdr:clientData/>
  </xdr:twoCellAnchor>
  <xdr:twoCellAnchor editAs="oneCell">
    <xdr:from>
      <xdr:col>1</xdr:col>
      <xdr:colOff>231322</xdr:colOff>
      <xdr:row>1</xdr:row>
      <xdr:rowOff>95250</xdr:rowOff>
    </xdr:from>
    <xdr:to>
      <xdr:col>2</xdr:col>
      <xdr:colOff>204107</xdr:colOff>
      <xdr:row>5</xdr:row>
      <xdr:rowOff>40821</xdr:rowOff>
    </xdr:to>
    <xdr:pic>
      <xdr:nvPicPr>
        <xdr:cNvPr id="30" name="Picture 29">
          <a:extLst>
            <a:ext uri="{FF2B5EF4-FFF2-40B4-BE49-F238E27FC236}">
              <a16:creationId xmlns:a16="http://schemas.microsoft.com/office/drawing/2014/main" id="{BA65E524-FE02-4BE9-98B3-8BE17D07289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1679" y="272143"/>
          <a:ext cx="653142" cy="65314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1.775524074073" createdVersion="8" refreshedVersion="8" minRefreshableVersion="3" recordCount="1470" xr:uid="{8BE2C3E0-2BD4-4A03-8AB0-DE3096624225}">
  <cacheSource type="worksheet">
    <worksheetSource ref="A1:G1471" sheet="Cleaned Data"/>
  </cacheSource>
  <cacheFields count="7">
    <cacheField name="Employee_ID" numFmtId="1">
      <sharedItems containsSemiMixedTypes="0" containsString="0" containsNumber="1" containsInteger="1" minValue="1" maxValue="2068"/>
    </cacheField>
    <cacheField name="Age Group" numFmtId="1">
      <sharedItems count="5">
        <s v="35-44"/>
        <s v="25-34"/>
        <s v="45-54"/>
        <s v="18-24"/>
        <s v="55-60"/>
      </sharedItems>
    </cacheField>
    <cacheField name="Attrition Flag" numFmtId="0">
      <sharedItems containsSemiMixedTypes="0" containsString="0" containsNumber="1" containsInteger="1" minValue="0" maxValue="1"/>
    </cacheField>
    <cacheField name="Education" numFmtId="0">
      <sharedItems count="5">
        <s v="Master"/>
        <s v="Bachelor"/>
        <s v="Below College"/>
        <s v="College"/>
        <s v="Doctor"/>
      </sharedItems>
    </cacheField>
    <cacheField name="MaritalStatus" numFmtId="1">
      <sharedItems count="3">
        <s v="Single"/>
        <s v="Divorced"/>
        <s v="Married"/>
      </sharedItems>
    </cacheField>
    <cacheField name="StockOption" numFmtId="0">
      <sharedItems count="4">
        <s v="None"/>
        <s v="Mid"/>
        <s v="Low"/>
        <s v="High"/>
      </sharedItems>
    </cacheField>
    <cacheField name="Grouped years since last promotion" numFmtId="1">
      <sharedItems count="3">
        <s v="Recently promoted"/>
        <s v="Promoted in 1-3 years"/>
        <s v="Long Promotion gap"/>
      </sharedItems>
    </cacheField>
  </cacheFields>
  <extLst>
    <ext xmlns:x14="http://schemas.microsoft.com/office/spreadsheetml/2009/9/main" uri="{725AE2AE-9491-48be-B2B4-4EB974FC3084}">
      <x14:pivotCacheDefinition pivotCacheId="227429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x v="0"/>
    <n v="1"/>
    <x v="0"/>
    <x v="0"/>
    <x v="0"/>
    <x v="0"/>
  </r>
  <r>
    <n v="1101"/>
    <x v="0"/>
    <n v="1"/>
    <x v="0"/>
    <x v="0"/>
    <x v="0"/>
    <x v="1"/>
  </r>
  <r>
    <n v="1299"/>
    <x v="1"/>
    <n v="1"/>
    <x v="1"/>
    <x v="1"/>
    <x v="1"/>
    <x v="2"/>
  </r>
  <r>
    <n v="1457"/>
    <x v="2"/>
    <n v="1"/>
    <x v="1"/>
    <x v="1"/>
    <x v="2"/>
    <x v="2"/>
  </r>
  <r>
    <n v="1807"/>
    <x v="1"/>
    <n v="1"/>
    <x v="0"/>
    <x v="2"/>
    <x v="2"/>
    <x v="0"/>
  </r>
  <r>
    <n v="299"/>
    <x v="1"/>
    <n v="1"/>
    <x v="0"/>
    <x v="0"/>
    <x v="0"/>
    <x v="0"/>
  </r>
  <r>
    <n v="300"/>
    <x v="1"/>
    <n v="1"/>
    <x v="1"/>
    <x v="0"/>
    <x v="0"/>
    <x v="1"/>
  </r>
  <r>
    <n v="1200"/>
    <x v="0"/>
    <n v="1"/>
    <x v="0"/>
    <x v="0"/>
    <x v="0"/>
    <x v="0"/>
  </r>
  <r>
    <n v="1295"/>
    <x v="0"/>
    <n v="1"/>
    <x v="1"/>
    <x v="2"/>
    <x v="2"/>
    <x v="0"/>
  </r>
  <r>
    <n v="647"/>
    <x v="1"/>
    <n v="1"/>
    <x v="1"/>
    <x v="2"/>
    <x v="2"/>
    <x v="1"/>
  </r>
  <r>
    <n v="401"/>
    <x v="0"/>
    <n v="1"/>
    <x v="0"/>
    <x v="0"/>
    <x v="0"/>
    <x v="2"/>
  </r>
  <r>
    <n v="190"/>
    <x v="1"/>
    <n v="1"/>
    <x v="1"/>
    <x v="0"/>
    <x v="0"/>
    <x v="0"/>
  </r>
  <r>
    <n v="325"/>
    <x v="1"/>
    <n v="1"/>
    <x v="1"/>
    <x v="2"/>
    <x v="2"/>
    <x v="0"/>
  </r>
  <r>
    <n v="1310"/>
    <x v="0"/>
    <n v="1"/>
    <x v="1"/>
    <x v="0"/>
    <x v="0"/>
    <x v="0"/>
  </r>
  <r>
    <n v="1004"/>
    <x v="1"/>
    <n v="1"/>
    <x v="1"/>
    <x v="2"/>
    <x v="0"/>
    <x v="0"/>
  </r>
  <r>
    <n v="147"/>
    <x v="1"/>
    <n v="1"/>
    <x v="1"/>
    <x v="0"/>
    <x v="0"/>
    <x v="0"/>
  </r>
  <r>
    <n v="1042"/>
    <x v="0"/>
    <n v="1"/>
    <x v="0"/>
    <x v="0"/>
    <x v="0"/>
    <x v="2"/>
  </r>
  <r>
    <n v="502"/>
    <x v="1"/>
    <n v="1"/>
    <x v="1"/>
    <x v="0"/>
    <x v="0"/>
    <x v="0"/>
  </r>
  <r>
    <n v="967"/>
    <x v="0"/>
    <n v="1"/>
    <x v="2"/>
    <x v="2"/>
    <x v="2"/>
    <x v="1"/>
  </r>
  <r>
    <n v="1157"/>
    <x v="1"/>
    <n v="1"/>
    <x v="0"/>
    <x v="0"/>
    <x v="0"/>
    <x v="0"/>
  </r>
  <r>
    <n v="1573"/>
    <x v="0"/>
    <n v="1"/>
    <x v="1"/>
    <x v="2"/>
    <x v="1"/>
    <x v="1"/>
  </r>
  <r>
    <n v="554"/>
    <x v="3"/>
    <n v="1"/>
    <x v="2"/>
    <x v="0"/>
    <x v="0"/>
    <x v="1"/>
  </r>
  <r>
    <n v="161"/>
    <x v="4"/>
    <n v="1"/>
    <x v="0"/>
    <x v="2"/>
    <x v="3"/>
    <x v="2"/>
  </r>
  <r>
    <n v="297"/>
    <x v="1"/>
    <n v="1"/>
    <x v="1"/>
    <x v="0"/>
    <x v="0"/>
    <x v="0"/>
  </r>
  <r>
    <n v="1905"/>
    <x v="1"/>
    <n v="1"/>
    <x v="0"/>
    <x v="2"/>
    <x v="2"/>
    <x v="1"/>
  </r>
  <r>
    <n v="1489"/>
    <x v="1"/>
    <n v="1"/>
    <x v="0"/>
    <x v="0"/>
    <x v="0"/>
    <x v="2"/>
  </r>
  <r>
    <n v="785"/>
    <x v="2"/>
    <n v="1"/>
    <x v="3"/>
    <x v="0"/>
    <x v="0"/>
    <x v="1"/>
  </r>
  <r>
    <n v="1389"/>
    <x v="1"/>
    <n v="1"/>
    <x v="0"/>
    <x v="2"/>
    <x v="1"/>
    <x v="2"/>
  </r>
  <r>
    <n v="1318"/>
    <x v="0"/>
    <n v="1"/>
    <x v="0"/>
    <x v="0"/>
    <x v="0"/>
    <x v="1"/>
  </r>
  <r>
    <n v="1684"/>
    <x v="3"/>
    <n v="1"/>
    <x v="2"/>
    <x v="0"/>
    <x v="0"/>
    <x v="1"/>
  </r>
  <r>
    <n v="1487"/>
    <x v="1"/>
    <n v="1"/>
    <x v="1"/>
    <x v="0"/>
    <x v="0"/>
    <x v="0"/>
  </r>
  <r>
    <n v="27"/>
    <x v="0"/>
    <n v="1"/>
    <x v="0"/>
    <x v="0"/>
    <x v="0"/>
    <x v="0"/>
  </r>
  <r>
    <n v="1818"/>
    <x v="1"/>
    <n v="1"/>
    <x v="3"/>
    <x v="2"/>
    <x v="0"/>
    <x v="1"/>
  </r>
  <r>
    <n v="1809"/>
    <x v="0"/>
    <n v="1"/>
    <x v="0"/>
    <x v="0"/>
    <x v="0"/>
    <x v="0"/>
  </r>
  <r>
    <n v="1792"/>
    <x v="0"/>
    <n v="1"/>
    <x v="3"/>
    <x v="1"/>
    <x v="3"/>
    <x v="1"/>
  </r>
  <r>
    <n v="433"/>
    <x v="2"/>
    <n v="1"/>
    <x v="0"/>
    <x v="2"/>
    <x v="0"/>
    <x v="2"/>
  </r>
  <r>
    <n v="842"/>
    <x v="4"/>
    <n v="1"/>
    <x v="2"/>
    <x v="0"/>
    <x v="0"/>
    <x v="2"/>
  </r>
  <r>
    <n v="1534"/>
    <x v="0"/>
    <n v="1"/>
    <x v="0"/>
    <x v="0"/>
    <x v="0"/>
    <x v="1"/>
  </r>
  <r>
    <n v="787"/>
    <x v="4"/>
    <n v="1"/>
    <x v="1"/>
    <x v="2"/>
    <x v="2"/>
    <x v="1"/>
  </r>
  <r>
    <n v="1127"/>
    <x v="0"/>
    <n v="1"/>
    <x v="1"/>
    <x v="1"/>
    <x v="3"/>
    <x v="2"/>
  </r>
  <r>
    <n v="1188"/>
    <x v="0"/>
    <n v="1"/>
    <x v="1"/>
    <x v="0"/>
    <x v="0"/>
    <x v="1"/>
  </r>
  <r>
    <n v="1420"/>
    <x v="2"/>
    <n v="1"/>
    <x v="3"/>
    <x v="0"/>
    <x v="0"/>
    <x v="1"/>
  </r>
  <r>
    <n v="2032"/>
    <x v="4"/>
    <n v="1"/>
    <x v="3"/>
    <x v="2"/>
    <x v="2"/>
    <x v="2"/>
  </r>
  <r>
    <n v="1869"/>
    <x v="2"/>
    <n v="1"/>
    <x v="1"/>
    <x v="2"/>
    <x v="3"/>
    <x v="0"/>
  </r>
  <r>
    <n v="315"/>
    <x v="1"/>
    <n v="1"/>
    <x v="2"/>
    <x v="0"/>
    <x v="0"/>
    <x v="0"/>
  </r>
  <r>
    <n v="142"/>
    <x v="1"/>
    <n v="1"/>
    <x v="1"/>
    <x v="0"/>
    <x v="0"/>
    <x v="0"/>
  </r>
  <r>
    <n v="796"/>
    <x v="1"/>
    <n v="1"/>
    <x v="1"/>
    <x v="0"/>
    <x v="0"/>
    <x v="1"/>
  </r>
  <r>
    <n v="1106"/>
    <x v="1"/>
    <n v="1"/>
    <x v="2"/>
    <x v="2"/>
    <x v="2"/>
    <x v="2"/>
  </r>
  <r>
    <n v="291"/>
    <x v="1"/>
    <n v="1"/>
    <x v="0"/>
    <x v="2"/>
    <x v="0"/>
    <x v="2"/>
  </r>
  <r>
    <n v="492"/>
    <x v="0"/>
    <n v="1"/>
    <x v="3"/>
    <x v="2"/>
    <x v="1"/>
    <x v="1"/>
  </r>
  <r>
    <n v="1939"/>
    <x v="1"/>
    <n v="1"/>
    <x v="3"/>
    <x v="0"/>
    <x v="0"/>
    <x v="0"/>
  </r>
  <r>
    <n v="510"/>
    <x v="1"/>
    <n v="1"/>
    <x v="2"/>
    <x v="0"/>
    <x v="0"/>
    <x v="0"/>
  </r>
  <r>
    <n v="1747"/>
    <x v="1"/>
    <n v="1"/>
    <x v="1"/>
    <x v="1"/>
    <x v="2"/>
    <x v="1"/>
  </r>
  <r>
    <n v="1081"/>
    <x v="2"/>
    <n v="1"/>
    <x v="0"/>
    <x v="2"/>
    <x v="3"/>
    <x v="1"/>
  </r>
  <r>
    <n v="1038"/>
    <x v="2"/>
    <n v="1"/>
    <x v="2"/>
    <x v="2"/>
    <x v="2"/>
    <x v="2"/>
  </r>
  <r>
    <n v="1277"/>
    <x v="2"/>
    <n v="1"/>
    <x v="1"/>
    <x v="0"/>
    <x v="0"/>
    <x v="1"/>
  </r>
  <r>
    <n v="667"/>
    <x v="1"/>
    <n v="1"/>
    <x v="2"/>
    <x v="1"/>
    <x v="2"/>
    <x v="0"/>
  </r>
  <r>
    <n v="454"/>
    <x v="1"/>
    <n v="1"/>
    <x v="0"/>
    <x v="2"/>
    <x v="0"/>
    <x v="0"/>
  </r>
  <r>
    <n v="1907"/>
    <x v="4"/>
    <n v="1"/>
    <x v="3"/>
    <x v="0"/>
    <x v="0"/>
    <x v="1"/>
  </r>
  <r>
    <n v="248"/>
    <x v="0"/>
    <n v="1"/>
    <x v="3"/>
    <x v="0"/>
    <x v="0"/>
    <x v="0"/>
  </r>
  <r>
    <n v="328"/>
    <x v="1"/>
    <n v="1"/>
    <x v="3"/>
    <x v="2"/>
    <x v="0"/>
    <x v="1"/>
  </r>
  <r>
    <n v="31"/>
    <x v="1"/>
    <n v="1"/>
    <x v="2"/>
    <x v="0"/>
    <x v="0"/>
    <x v="1"/>
  </r>
  <r>
    <n v="631"/>
    <x v="1"/>
    <n v="1"/>
    <x v="0"/>
    <x v="2"/>
    <x v="0"/>
    <x v="1"/>
  </r>
  <r>
    <n v="1691"/>
    <x v="2"/>
    <n v="1"/>
    <x v="3"/>
    <x v="2"/>
    <x v="1"/>
    <x v="2"/>
  </r>
  <r>
    <n v="1100"/>
    <x v="0"/>
    <n v="1"/>
    <x v="1"/>
    <x v="0"/>
    <x v="0"/>
    <x v="2"/>
  </r>
  <r>
    <n v="1797"/>
    <x v="0"/>
    <n v="1"/>
    <x v="1"/>
    <x v="0"/>
    <x v="0"/>
    <x v="2"/>
  </r>
  <r>
    <n v="582"/>
    <x v="1"/>
    <n v="1"/>
    <x v="2"/>
    <x v="2"/>
    <x v="0"/>
    <x v="1"/>
  </r>
  <r>
    <n v="1967"/>
    <x v="1"/>
    <n v="1"/>
    <x v="0"/>
    <x v="2"/>
    <x v="0"/>
    <x v="0"/>
  </r>
  <r>
    <n v="118"/>
    <x v="2"/>
    <n v="1"/>
    <x v="3"/>
    <x v="0"/>
    <x v="0"/>
    <x v="2"/>
  </r>
  <r>
    <n v="1082"/>
    <x v="1"/>
    <n v="1"/>
    <x v="3"/>
    <x v="0"/>
    <x v="0"/>
    <x v="1"/>
  </r>
  <r>
    <n v="1010"/>
    <x v="0"/>
    <n v="1"/>
    <x v="0"/>
    <x v="1"/>
    <x v="2"/>
    <x v="0"/>
  </r>
  <r>
    <n v="1380"/>
    <x v="0"/>
    <n v="1"/>
    <x v="0"/>
    <x v="2"/>
    <x v="2"/>
    <x v="1"/>
  </r>
  <r>
    <n v="970"/>
    <x v="0"/>
    <n v="1"/>
    <x v="0"/>
    <x v="2"/>
    <x v="0"/>
    <x v="2"/>
  </r>
  <r>
    <n v="1459"/>
    <x v="1"/>
    <n v="1"/>
    <x v="4"/>
    <x v="0"/>
    <x v="0"/>
    <x v="2"/>
  </r>
  <r>
    <n v="283"/>
    <x v="1"/>
    <n v="1"/>
    <x v="1"/>
    <x v="2"/>
    <x v="3"/>
    <x v="1"/>
  </r>
  <r>
    <n v="584"/>
    <x v="1"/>
    <n v="1"/>
    <x v="2"/>
    <x v="1"/>
    <x v="3"/>
    <x v="1"/>
  </r>
  <r>
    <n v="179"/>
    <x v="2"/>
    <n v="1"/>
    <x v="0"/>
    <x v="0"/>
    <x v="0"/>
    <x v="0"/>
  </r>
  <r>
    <n v="608"/>
    <x v="1"/>
    <n v="1"/>
    <x v="0"/>
    <x v="1"/>
    <x v="2"/>
    <x v="1"/>
  </r>
  <r>
    <n v="1960"/>
    <x v="1"/>
    <n v="1"/>
    <x v="1"/>
    <x v="1"/>
    <x v="2"/>
    <x v="0"/>
  </r>
  <r>
    <n v="1639"/>
    <x v="0"/>
    <n v="1"/>
    <x v="1"/>
    <x v="2"/>
    <x v="0"/>
    <x v="2"/>
  </r>
  <r>
    <n v="163"/>
    <x v="1"/>
    <n v="1"/>
    <x v="0"/>
    <x v="2"/>
    <x v="0"/>
    <x v="2"/>
  </r>
  <r>
    <n v="440"/>
    <x v="1"/>
    <n v="1"/>
    <x v="0"/>
    <x v="2"/>
    <x v="0"/>
    <x v="1"/>
  </r>
  <r>
    <n v="650"/>
    <x v="1"/>
    <n v="1"/>
    <x v="0"/>
    <x v="1"/>
    <x v="0"/>
    <x v="1"/>
  </r>
  <r>
    <n v="991"/>
    <x v="1"/>
    <n v="1"/>
    <x v="3"/>
    <x v="0"/>
    <x v="0"/>
    <x v="1"/>
  </r>
  <r>
    <n v="1537"/>
    <x v="1"/>
    <n v="1"/>
    <x v="1"/>
    <x v="0"/>
    <x v="0"/>
    <x v="2"/>
  </r>
  <r>
    <n v="19"/>
    <x v="1"/>
    <n v="1"/>
    <x v="1"/>
    <x v="0"/>
    <x v="0"/>
    <x v="0"/>
  </r>
  <r>
    <n v="2055"/>
    <x v="2"/>
    <n v="1"/>
    <x v="1"/>
    <x v="1"/>
    <x v="2"/>
    <x v="1"/>
  </r>
  <r>
    <n v="1053"/>
    <x v="1"/>
    <n v="1"/>
    <x v="1"/>
    <x v="2"/>
    <x v="2"/>
    <x v="1"/>
  </r>
  <r>
    <n v="1319"/>
    <x v="2"/>
    <n v="1"/>
    <x v="1"/>
    <x v="0"/>
    <x v="0"/>
    <x v="2"/>
  </r>
  <r>
    <n v="1309"/>
    <x v="1"/>
    <n v="1"/>
    <x v="3"/>
    <x v="2"/>
    <x v="2"/>
    <x v="1"/>
  </r>
  <r>
    <n v="1"/>
    <x v="0"/>
    <n v="1"/>
    <x v="3"/>
    <x v="0"/>
    <x v="0"/>
    <x v="0"/>
  </r>
  <r>
    <n v="840"/>
    <x v="2"/>
    <n v="1"/>
    <x v="1"/>
    <x v="2"/>
    <x v="1"/>
    <x v="2"/>
  </r>
  <r>
    <n v="1017"/>
    <x v="1"/>
    <n v="1"/>
    <x v="1"/>
    <x v="0"/>
    <x v="0"/>
    <x v="1"/>
  </r>
  <r>
    <n v="848"/>
    <x v="1"/>
    <n v="1"/>
    <x v="3"/>
    <x v="2"/>
    <x v="2"/>
    <x v="1"/>
  </r>
  <r>
    <n v="2044"/>
    <x v="2"/>
    <n v="1"/>
    <x v="0"/>
    <x v="1"/>
    <x v="1"/>
    <x v="0"/>
  </r>
  <r>
    <n v="33"/>
    <x v="1"/>
    <n v="1"/>
    <x v="1"/>
    <x v="0"/>
    <x v="0"/>
    <x v="2"/>
  </r>
  <r>
    <n v="376"/>
    <x v="2"/>
    <n v="1"/>
    <x v="1"/>
    <x v="0"/>
    <x v="0"/>
    <x v="2"/>
  </r>
  <r>
    <n v="741"/>
    <x v="1"/>
    <n v="1"/>
    <x v="2"/>
    <x v="0"/>
    <x v="0"/>
    <x v="0"/>
  </r>
  <r>
    <n v="819"/>
    <x v="1"/>
    <n v="1"/>
    <x v="1"/>
    <x v="2"/>
    <x v="2"/>
    <x v="1"/>
  </r>
  <r>
    <n v="394"/>
    <x v="1"/>
    <n v="1"/>
    <x v="0"/>
    <x v="1"/>
    <x v="2"/>
    <x v="0"/>
  </r>
  <r>
    <n v="478"/>
    <x v="3"/>
    <n v="1"/>
    <x v="2"/>
    <x v="0"/>
    <x v="0"/>
    <x v="1"/>
  </r>
  <r>
    <n v="165"/>
    <x v="4"/>
    <n v="1"/>
    <x v="1"/>
    <x v="1"/>
    <x v="3"/>
    <x v="0"/>
  </r>
  <r>
    <n v="47"/>
    <x v="2"/>
    <n v="1"/>
    <x v="0"/>
    <x v="1"/>
    <x v="0"/>
    <x v="0"/>
  </r>
  <r>
    <n v="65"/>
    <x v="1"/>
    <n v="1"/>
    <x v="3"/>
    <x v="0"/>
    <x v="0"/>
    <x v="0"/>
  </r>
  <r>
    <n v="590"/>
    <x v="1"/>
    <n v="1"/>
    <x v="3"/>
    <x v="0"/>
    <x v="0"/>
    <x v="1"/>
  </r>
  <r>
    <n v="488"/>
    <x v="0"/>
    <n v="1"/>
    <x v="3"/>
    <x v="2"/>
    <x v="0"/>
    <x v="1"/>
  </r>
  <r>
    <n v="133"/>
    <x v="0"/>
    <n v="1"/>
    <x v="1"/>
    <x v="1"/>
    <x v="2"/>
    <x v="0"/>
  </r>
  <r>
    <n v="555"/>
    <x v="1"/>
    <n v="1"/>
    <x v="1"/>
    <x v="1"/>
    <x v="3"/>
    <x v="0"/>
  </r>
  <r>
    <n v="720"/>
    <x v="3"/>
    <n v="1"/>
    <x v="1"/>
    <x v="2"/>
    <x v="0"/>
    <x v="1"/>
  </r>
  <r>
    <n v="881"/>
    <x v="0"/>
    <n v="1"/>
    <x v="3"/>
    <x v="0"/>
    <x v="0"/>
    <x v="0"/>
  </r>
  <r>
    <n v="926"/>
    <x v="3"/>
    <n v="1"/>
    <x v="2"/>
    <x v="0"/>
    <x v="0"/>
    <x v="2"/>
  </r>
  <r>
    <n v="932"/>
    <x v="0"/>
    <n v="1"/>
    <x v="1"/>
    <x v="0"/>
    <x v="0"/>
    <x v="0"/>
  </r>
  <r>
    <n v="1439"/>
    <x v="1"/>
    <n v="1"/>
    <x v="1"/>
    <x v="2"/>
    <x v="2"/>
    <x v="2"/>
  </r>
  <r>
    <n v="1037"/>
    <x v="1"/>
    <n v="1"/>
    <x v="1"/>
    <x v="0"/>
    <x v="0"/>
    <x v="1"/>
  </r>
  <r>
    <n v="1160"/>
    <x v="1"/>
    <n v="1"/>
    <x v="3"/>
    <x v="2"/>
    <x v="0"/>
    <x v="0"/>
  </r>
  <r>
    <n v="896"/>
    <x v="1"/>
    <n v="1"/>
    <x v="0"/>
    <x v="1"/>
    <x v="2"/>
    <x v="2"/>
  </r>
  <r>
    <n v="922"/>
    <x v="3"/>
    <n v="1"/>
    <x v="2"/>
    <x v="2"/>
    <x v="2"/>
    <x v="0"/>
  </r>
  <r>
    <n v="1167"/>
    <x v="0"/>
    <n v="1"/>
    <x v="0"/>
    <x v="2"/>
    <x v="2"/>
    <x v="2"/>
  </r>
  <r>
    <n v="1331"/>
    <x v="1"/>
    <n v="1"/>
    <x v="3"/>
    <x v="0"/>
    <x v="0"/>
    <x v="0"/>
  </r>
  <r>
    <n v="1333"/>
    <x v="0"/>
    <n v="1"/>
    <x v="1"/>
    <x v="2"/>
    <x v="0"/>
    <x v="1"/>
  </r>
  <r>
    <n v="1156"/>
    <x v="3"/>
    <n v="1"/>
    <x v="0"/>
    <x v="0"/>
    <x v="0"/>
    <x v="1"/>
  </r>
  <r>
    <n v="1372"/>
    <x v="4"/>
    <n v="1"/>
    <x v="0"/>
    <x v="0"/>
    <x v="0"/>
    <x v="1"/>
  </r>
  <r>
    <n v="1405"/>
    <x v="1"/>
    <n v="1"/>
    <x v="1"/>
    <x v="0"/>
    <x v="0"/>
    <x v="0"/>
  </r>
  <r>
    <n v="1467"/>
    <x v="1"/>
    <n v="1"/>
    <x v="3"/>
    <x v="2"/>
    <x v="2"/>
    <x v="1"/>
  </r>
  <r>
    <n v="1486"/>
    <x v="1"/>
    <n v="1"/>
    <x v="3"/>
    <x v="0"/>
    <x v="0"/>
    <x v="1"/>
  </r>
  <r>
    <n v="1504"/>
    <x v="1"/>
    <n v="1"/>
    <x v="3"/>
    <x v="0"/>
    <x v="0"/>
    <x v="1"/>
  </r>
  <r>
    <n v="1562"/>
    <x v="1"/>
    <n v="1"/>
    <x v="0"/>
    <x v="2"/>
    <x v="3"/>
    <x v="1"/>
  </r>
  <r>
    <n v="1624"/>
    <x v="3"/>
    <n v="1"/>
    <x v="0"/>
    <x v="2"/>
    <x v="2"/>
    <x v="2"/>
  </r>
  <r>
    <n v="1649"/>
    <x v="0"/>
    <n v="1"/>
    <x v="0"/>
    <x v="2"/>
    <x v="0"/>
    <x v="1"/>
  </r>
  <r>
    <n v="1421"/>
    <x v="1"/>
    <n v="1"/>
    <x v="1"/>
    <x v="1"/>
    <x v="3"/>
    <x v="1"/>
  </r>
  <r>
    <n v="1702"/>
    <x v="3"/>
    <n v="1"/>
    <x v="3"/>
    <x v="1"/>
    <x v="2"/>
    <x v="1"/>
  </r>
  <r>
    <n v="1734"/>
    <x v="1"/>
    <n v="1"/>
    <x v="3"/>
    <x v="0"/>
    <x v="0"/>
    <x v="1"/>
  </r>
  <r>
    <n v="1758"/>
    <x v="1"/>
    <n v="1"/>
    <x v="1"/>
    <x v="0"/>
    <x v="0"/>
    <x v="0"/>
  </r>
  <r>
    <n v="1844"/>
    <x v="1"/>
    <n v="1"/>
    <x v="2"/>
    <x v="0"/>
    <x v="0"/>
    <x v="2"/>
  </r>
  <r>
    <n v="1821"/>
    <x v="2"/>
    <n v="1"/>
    <x v="1"/>
    <x v="2"/>
    <x v="2"/>
    <x v="1"/>
  </r>
  <r>
    <n v="1933"/>
    <x v="1"/>
    <n v="1"/>
    <x v="0"/>
    <x v="0"/>
    <x v="0"/>
    <x v="2"/>
  </r>
  <r>
    <n v="2027"/>
    <x v="1"/>
    <n v="1"/>
    <x v="1"/>
    <x v="0"/>
    <x v="0"/>
    <x v="0"/>
  </r>
  <r>
    <n v="752"/>
    <x v="0"/>
    <n v="1"/>
    <x v="1"/>
    <x v="1"/>
    <x v="0"/>
    <x v="1"/>
  </r>
  <r>
    <n v="593"/>
    <x v="3"/>
    <n v="1"/>
    <x v="2"/>
    <x v="0"/>
    <x v="0"/>
    <x v="1"/>
  </r>
  <r>
    <n v="1645"/>
    <x v="0"/>
    <n v="1"/>
    <x v="3"/>
    <x v="1"/>
    <x v="1"/>
    <x v="1"/>
  </r>
  <r>
    <n v="828"/>
    <x v="1"/>
    <n v="1"/>
    <x v="0"/>
    <x v="0"/>
    <x v="0"/>
    <x v="1"/>
  </r>
  <r>
    <n v="235"/>
    <x v="3"/>
    <n v="1"/>
    <x v="2"/>
    <x v="0"/>
    <x v="0"/>
    <x v="0"/>
  </r>
  <r>
    <n v="1464"/>
    <x v="1"/>
    <n v="1"/>
    <x v="1"/>
    <x v="2"/>
    <x v="2"/>
    <x v="1"/>
  </r>
  <r>
    <n v="825"/>
    <x v="4"/>
    <n v="1"/>
    <x v="0"/>
    <x v="0"/>
    <x v="0"/>
    <x v="2"/>
  </r>
  <r>
    <n v="927"/>
    <x v="0"/>
    <n v="1"/>
    <x v="0"/>
    <x v="1"/>
    <x v="2"/>
    <x v="1"/>
  </r>
  <r>
    <n v="1108"/>
    <x v="1"/>
    <n v="1"/>
    <x v="1"/>
    <x v="0"/>
    <x v="0"/>
    <x v="1"/>
  </r>
  <r>
    <n v="1077"/>
    <x v="3"/>
    <n v="1"/>
    <x v="1"/>
    <x v="0"/>
    <x v="0"/>
    <x v="0"/>
  </r>
  <r>
    <n v="1752"/>
    <x v="1"/>
    <n v="1"/>
    <x v="1"/>
    <x v="0"/>
    <x v="0"/>
    <x v="1"/>
  </r>
  <r>
    <n v="565"/>
    <x v="1"/>
    <n v="1"/>
    <x v="4"/>
    <x v="2"/>
    <x v="0"/>
    <x v="1"/>
  </r>
  <r>
    <n v="1968"/>
    <x v="2"/>
    <n v="1"/>
    <x v="0"/>
    <x v="0"/>
    <x v="0"/>
    <x v="1"/>
  </r>
  <r>
    <n v="1175"/>
    <x v="1"/>
    <n v="1"/>
    <x v="2"/>
    <x v="2"/>
    <x v="0"/>
    <x v="0"/>
  </r>
  <r>
    <n v="58"/>
    <x v="0"/>
    <n v="1"/>
    <x v="1"/>
    <x v="2"/>
    <x v="0"/>
    <x v="2"/>
  </r>
  <r>
    <n v="405"/>
    <x v="3"/>
    <n v="1"/>
    <x v="1"/>
    <x v="0"/>
    <x v="0"/>
    <x v="0"/>
  </r>
  <r>
    <n v="1279"/>
    <x v="3"/>
    <n v="1"/>
    <x v="3"/>
    <x v="0"/>
    <x v="0"/>
    <x v="1"/>
  </r>
  <r>
    <n v="45"/>
    <x v="3"/>
    <n v="1"/>
    <x v="1"/>
    <x v="2"/>
    <x v="2"/>
    <x v="1"/>
  </r>
  <r>
    <n v="1203"/>
    <x v="3"/>
    <n v="1"/>
    <x v="0"/>
    <x v="2"/>
    <x v="2"/>
    <x v="0"/>
  </r>
  <r>
    <n v="1113"/>
    <x v="2"/>
    <n v="1"/>
    <x v="0"/>
    <x v="0"/>
    <x v="0"/>
    <x v="0"/>
  </r>
  <r>
    <n v="1219"/>
    <x v="3"/>
    <n v="1"/>
    <x v="3"/>
    <x v="2"/>
    <x v="2"/>
    <x v="0"/>
  </r>
  <r>
    <n v="175"/>
    <x v="1"/>
    <n v="1"/>
    <x v="1"/>
    <x v="2"/>
    <x v="2"/>
    <x v="1"/>
  </r>
  <r>
    <n v="538"/>
    <x v="1"/>
    <n v="1"/>
    <x v="1"/>
    <x v="2"/>
    <x v="2"/>
    <x v="0"/>
  </r>
  <r>
    <n v="1733"/>
    <x v="0"/>
    <n v="1"/>
    <x v="4"/>
    <x v="1"/>
    <x v="3"/>
    <x v="1"/>
  </r>
  <r>
    <n v="1862"/>
    <x v="1"/>
    <n v="1"/>
    <x v="0"/>
    <x v="0"/>
    <x v="0"/>
    <x v="1"/>
  </r>
  <r>
    <n v="1667"/>
    <x v="0"/>
    <n v="1"/>
    <x v="0"/>
    <x v="0"/>
    <x v="0"/>
    <x v="2"/>
  </r>
  <r>
    <n v="1944"/>
    <x v="1"/>
    <n v="1"/>
    <x v="1"/>
    <x v="2"/>
    <x v="0"/>
    <x v="0"/>
  </r>
  <r>
    <n v="331"/>
    <x v="1"/>
    <n v="1"/>
    <x v="1"/>
    <x v="0"/>
    <x v="0"/>
    <x v="1"/>
  </r>
  <r>
    <n v="1604"/>
    <x v="1"/>
    <n v="1"/>
    <x v="1"/>
    <x v="2"/>
    <x v="3"/>
    <x v="0"/>
  </r>
  <r>
    <n v="1098"/>
    <x v="0"/>
    <n v="1"/>
    <x v="3"/>
    <x v="2"/>
    <x v="2"/>
    <x v="1"/>
  </r>
  <r>
    <n v="977"/>
    <x v="4"/>
    <n v="1"/>
    <x v="1"/>
    <x v="0"/>
    <x v="0"/>
    <x v="0"/>
  </r>
  <r>
    <n v="1052"/>
    <x v="0"/>
    <n v="1"/>
    <x v="1"/>
    <x v="1"/>
    <x v="2"/>
    <x v="0"/>
  </r>
  <r>
    <n v="1427"/>
    <x v="1"/>
    <n v="1"/>
    <x v="0"/>
    <x v="0"/>
    <x v="0"/>
    <x v="0"/>
  </r>
  <r>
    <n v="723"/>
    <x v="2"/>
    <n v="1"/>
    <x v="3"/>
    <x v="2"/>
    <x v="2"/>
    <x v="1"/>
  </r>
  <r>
    <n v="701"/>
    <x v="3"/>
    <n v="1"/>
    <x v="2"/>
    <x v="0"/>
    <x v="0"/>
    <x v="0"/>
  </r>
  <r>
    <n v="923"/>
    <x v="3"/>
    <n v="1"/>
    <x v="2"/>
    <x v="0"/>
    <x v="0"/>
    <x v="0"/>
  </r>
  <r>
    <n v="1458"/>
    <x v="0"/>
    <n v="1"/>
    <x v="1"/>
    <x v="0"/>
    <x v="0"/>
    <x v="0"/>
  </r>
  <r>
    <n v="1494"/>
    <x v="3"/>
    <n v="1"/>
    <x v="1"/>
    <x v="0"/>
    <x v="0"/>
    <x v="0"/>
  </r>
  <r>
    <n v="42"/>
    <x v="0"/>
    <n v="1"/>
    <x v="1"/>
    <x v="2"/>
    <x v="2"/>
    <x v="0"/>
  </r>
  <r>
    <n v="1716"/>
    <x v="2"/>
    <n v="1"/>
    <x v="1"/>
    <x v="2"/>
    <x v="0"/>
    <x v="2"/>
  </r>
  <r>
    <n v="2023"/>
    <x v="3"/>
    <n v="1"/>
    <x v="1"/>
    <x v="2"/>
    <x v="2"/>
    <x v="1"/>
  </r>
  <r>
    <n v="986"/>
    <x v="0"/>
    <n v="1"/>
    <x v="1"/>
    <x v="0"/>
    <x v="0"/>
    <x v="0"/>
  </r>
  <r>
    <n v="1761"/>
    <x v="1"/>
    <n v="1"/>
    <x v="0"/>
    <x v="2"/>
    <x v="3"/>
    <x v="0"/>
  </r>
  <r>
    <n v="1360"/>
    <x v="4"/>
    <n v="1"/>
    <x v="0"/>
    <x v="2"/>
    <x v="0"/>
    <x v="2"/>
  </r>
  <r>
    <n v="684"/>
    <x v="2"/>
    <n v="1"/>
    <x v="0"/>
    <x v="2"/>
    <x v="1"/>
    <x v="0"/>
  </r>
  <r>
    <n v="1572"/>
    <x v="2"/>
    <n v="1"/>
    <x v="4"/>
    <x v="2"/>
    <x v="2"/>
    <x v="1"/>
  </r>
  <r>
    <n v="1273"/>
    <x v="1"/>
    <n v="1"/>
    <x v="2"/>
    <x v="0"/>
    <x v="0"/>
    <x v="1"/>
  </r>
  <r>
    <n v="587"/>
    <x v="1"/>
    <n v="1"/>
    <x v="1"/>
    <x v="2"/>
    <x v="0"/>
    <x v="0"/>
  </r>
  <r>
    <n v="494"/>
    <x v="3"/>
    <n v="1"/>
    <x v="1"/>
    <x v="0"/>
    <x v="0"/>
    <x v="0"/>
  </r>
  <r>
    <n v="952"/>
    <x v="1"/>
    <n v="1"/>
    <x v="3"/>
    <x v="2"/>
    <x v="3"/>
    <x v="0"/>
  </r>
  <r>
    <n v="1165"/>
    <x v="1"/>
    <n v="1"/>
    <x v="2"/>
    <x v="2"/>
    <x v="2"/>
    <x v="1"/>
  </r>
  <r>
    <n v="1079"/>
    <x v="3"/>
    <n v="1"/>
    <x v="1"/>
    <x v="0"/>
    <x v="0"/>
    <x v="0"/>
  </r>
  <r>
    <n v="1107"/>
    <x v="1"/>
    <n v="1"/>
    <x v="1"/>
    <x v="1"/>
    <x v="2"/>
    <x v="0"/>
  </r>
  <r>
    <n v="959"/>
    <x v="3"/>
    <n v="1"/>
    <x v="1"/>
    <x v="0"/>
    <x v="0"/>
    <x v="0"/>
  </r>
  <r>
    <n v="702"/>
    <x v="1"/>
    <n v="1"/>
    <x v="1"/>
    <x v="0"/>
    <x v="0"/>
    <x v="2"/>
  </r>
  <r>
    <n v="445"/>
    <x v="0"/>
    <n v="1"/>
    <x v="3"/>
    <x v="2"/>
    <x v="0"/>
    <x v="0"/>
  </r>
  <r>
    <n v="1928"/>
    <x v="1"/>
    <n v="1"/>
    <x v="1"/>
    <x v="0"/>
    <x v="0"/>
    <x v="0"/>
  </r>
  <r>
    <n v="282"/>
    <x v="0"/>
    <n v="1"/>
    <x v="2"/>
    <x v="2"/>
    <x v="0"/>
    <x v="0"/>
  </r>
  <r>
    <n v="137"/>
    <x v="3"/>
    <n v="1"/>
    <x v="1"/>
    <x v="0"/>
    <x v="0"/>
    <x v="0"/>
  </r>
  <r>
    <n v="780"/>
    <x v="1"/>
    <n v="1"/>
    <x v="0"/>
    <x v="0"/>
    <x v="0"/>
    <x v="2"/>
  </r>
  <r>
    <n v="1780"/>
    <x v="3"/>
    <n v="1"/>
    <x v="2"/>
    <x v="0"/>
    <x v="0"/>
    <x v="0"/>
  </r>
  <r>
    <n v="1210"/>
    <x v="0"/>
    <n v="1"/>
    <x v="3"/>
    <x v="1"/>
    <x v="2"/>
    <x v="0"/>
  </r>
  <r>
    <n v="364"/>
    <x v="1"/>
    <n v="1"/>
    <x v="0"/>
    <x v="0"/>
    <x v="0"/>
    <x v="0"/>
  </r>
  <r>
    <n v="918"/>
    <x v="4"/>
    <n v="1"/>
    <x v="2"/>
    <x v="1"/>
    <x v="2"/>
    <x v="0"/>
  </r>
  <r>
    <n v="614"/>
    <x v="3"/>
    <n v="1"/>
    <x v="1"/>
    <x v="0"/>
    <x v="0"/>
    <x v="0"/>
  </r>
  <r>
    <n v="4"/>
    <x v="0"/>
    <n v="1"/>
    <x v="3"/>
    <x v="0"/>
    <x v="0"/>
    <x v="0"/>
  </r>
  <r>
    <n v="90"/>
    <x v="0"/>
    <n v="1"/>
    <x v="1"/>
    <x v="2"/>
    <x v="2"/>
    <x v="0"/>
  </r>
  <r>
    <n v="960"/>
    <x v="3"/>
    <n v="1"/>
    <x v="1"/>
    <x v="0"/>
    <x v="0"/>
    <x v="0"/>
  </r>
  <r>
    <n v="1783"/>
    <x v="3"/>
    <n v="1"/>
    <x v="2"/>
    <x v="2"/>
    <x v="0"/>
    <x v="0"/>
  </r>
  <r>
    <n v="64"/>
    <x v="2"/>
    <n v="1"/>
    <x v="3"/>
    <x v="0"/>
    <x v="0"/>
    <x v="0"/>
  </r>
  <r>
    <n v="1876"/>
    <x v="1"/>
    <n v="1"/>
    <x v="1"/>
    <x v="0"/>
    <x v="0"/>
    <x v="0"/>
  </r>
  <r>
    <n v="167"/>
    <x v="3"/>
    <n v="1"/>
    <x v="2"/>
    <x v="0"/>
    <x v="0"/>
    <x v="0"/>
  </r>
  <r>
    <n v="1379"/>
    <x v="1"/>
    <n v="1"/>
    <x v="1"/>
    <x v="0"/>
    <x v="0"/>
    <x v="0"/>
  </r>
  <r>
    <n v="648"/>
    <x v="1"/>
    <n v="1"/>
    <x v="0"/>
    <x v="2"/>
    <x v="2"/>
    <x v="0"/>
  </r>
  <r>
    <n v="243"/>
    <x v="3"/>
    <n v="1"/>
    <x v="1"/>
    <x v="0"/>
    <x v="0"/>
    <x v="1"/>
  </r>
  <r>
    <n v="811"/>
    <x v="3"/>
    <n v="1"/>
    <x v="1"/>
    <x v="2"/>
    <x v="1"/>
    <x v="0"/>
  </r>
  <r>
    <n v="994"/>
    <x v="1"/>
    <n v="1"/>
    <x v="1"/>
    <x v="0"/>
    <x v="0"/>
    <x v="0"/>
  </r>
  <r>
    <n v="1569"/>
    <x v="0"/>
    <n v="1"/>
    <x v="1"/>
    <x v="1"/>
    <x v="2"/>
    <x v="0"/>
  </r>
  <r>
    <n v="622"/>
    <x v="1"/>
    <n v="1"/>
    <x v="1"/>
    <x v="0"/>
    <x v="0"/>
    <x v="0"/>
  </r>
  <r>
    <n v="1111"/>
    <x v="1"/>
    <n v="1"/>
    <x v="1"/>
    <x v="1"/>
    <x v="1"/>
    <x v="0"/>
  </r>
  <r>
    <n v="342"/>
    <x v="0"/>
    <n v="1"/>
    <x v="1"/>
    <x v="1"/>
    <x v="1"/>
    <x v="0"/>
  </r>
  <r>
    <n v="261"/>
    <x v="0"/>
    <n v="1"/>
    <x v="3"/>
    <x v="2"/>
    <x v="0"/>
    <x v="0"/>
  </r>
  <r>
    <n v="1868"/>
    <x v="1"/>
    <n v="1"/>
    <x v="3"/>
    <x v="0"/>
    <x v="0"/>
    <x v="1"/>
  </r>
  <r>
    <n v="1433"/>
    <x v="1"/>
    <n v="1"/>
    <x v="1"/>
    <x v="0"/>
    <x v="0"/>
    <x v="0"/>
  </r>
  <r>
    <n v="1878"/>
    <x v="3"/>
    <n v="1"/>
    <x v="2"/>
    <x v="0"/>
    <x v="0"/>
    <x v="0"/>
  </r>
  <r>
    <n v="1692"/>
    <x v="1"/>
    <n v="1"/>
    <x v="0"/>
    <x v="0"/>
    <x v="0"/>
    <x v="0"/>
  </r>
  <r>
    <n v="514"/>
    <x v="1"/>
    <n v="1"/>
    <x v="1"/>
    <x v="0"/>
    <x v="0"/>
    <x v="0"/>
  </r>
  <r>
    <n v="55"/>
    <x v="1"/>
    <n v="1"/>
    <x v="1"/>
    <x v="0"/>
    <x v="0"/>
    <x v="0"/>
  </r>
  <r>
    <n v="485"/>
    <x v="1"/>
    <n v="1"/>
    <x v="1"/>
    <x v="0"/>
    <x v="0"/>
    <x v="0"/>
  </r>
  <r>
    <n v="911"/>
    <x v="1"/>
    <n v="1"/>
    <x v="0"/>
    <x v="0"/>
    <x v="0"/>
    <x v="0"/>
  </r>
  <r>
    <n v="1016"/>
    <x v="3"/>
    <n v="1"/>
    <x v="1"/>
    <x v="0"/>
    <x v="0"/>
    <x v="0"/>
  </r>
  <r>
    <n v="566"/>
    <x v="3"/>
    <n v="1"/>
    <x v="3"/>
    <x v="0"/>
    <x v="0"/>
    <x v="0"/>
  </r>
  <r>
    <n v="1033"/>
    <x v="0"/>
    <n v="1"/>
    <x v="3"/>
    <x v="2"/>
    <x v="0"/>
    <x v="0"/>
  </r>
  <r>
    <n v="1248"/>
    <x v="3"/>
    <n v="1"/>
    <x v="1"/>
    <x v="0"/>
    <x v="0"/>
    <x v="0"/>
  </r>
  <r>
    <n v="392"/>
    <x v="0"/>
    <n v="1"/>
    <x v="1"/>
    <x v="1"/>
    <x v="2"/>
    <x v="0"/>
  </r>
  <r>
    <n v="1842"/>
    <x v="1"/>
    <n v="1"/>
    <x v="4"/>
    <x v="2"/>
    <x v="0"/>
    <x v="0"/>
  </r>
  <r>
    <n v="1767"/>
    <x v="0"/>
    <n v="1"/>
    <x v="1"/>
    <x v="2"/>
    <x v="2"/>
    <x v="0"/>
  </r>
  <r>
    <n v="1714"/>
    <x v="3"/>
    <n v="1"/>
    <x v="2"/>
    <x v="2"/>
    <x v="2"/>
    <x v="0"/>
  </r>
  <r>
    <n v="816"/>
    <x v="1"/>
    <n v="1"/>
    <x v="3"/>
    <x v="2"/>
    <x v="2"/>
    <x v="0"/>
  </r>
  <r>
    <n v="355"/>
    <x v="1"/>
    <n v="1"/>
    <x v="3"/>
    <x v="0"/>
    <x v="0"/>
    <x v="1"/>
  </r>
  <r>
    <n v="2019"/>
    <x v="2"/>
    <n v="0"/>
    <x v="0"/>
    <x v="1"/>
    <x v="1"/>
    <x v="0"/>
  </r>
  <r>
    <n v="1374"/>
    <x v="1"/>
    <n v="0"/>
    <x v="2"/>
    <x v="1"/>
    <x v="3"/>
    <x v="0"/>
  </r>
  <r>
    <n v="900"/>
    <x v="0"/>
    <n v="0"/>
    <x v="3"/>
    <x v="2"/>
    <x v="2"/>
    <x v="0"/>
  </r>
  <r>
    <n v="1340"/>
    <x v="0"/>
    <n v="0"/>
    <x v="3"/>
    <x v="1"/>
    <x v="2"/>
    <x v="0"/>
  </r>
  <r>
    <n v="2060"/>
    <x v="1"/>
    <n v="0"/>
    <x v="1"/>
    <x v="0"/>
    <x v="0"/>
    <x v="0"/>
  </r>
  <r>
    <n v="1839"/>
    <x v="3"/>
    <n v="0"/>
    <x v="1"/>
    <x v="0"/>
    <x v="0"/>
    <x v="0"/>
  </r>
  <r>
    <n v="113"/>
    <x v="3"/>
    <n v="0"/>
    <x v="2"/>
    <x v="1"/>
    <x v="2"/>
    <x v="0"/>
  </r>
  <r>
    <n v="850"/>
    <x v="1"/>
    <n v="0"/>
    <x v="1"/>
    <x v="2"/>
    <x v="3"/>
    <x v="0"/>
  </r>
  <r>
    <n v="1860"/>
    <x v="0"/>
    <n v="0"/>
    <x v="1"/>
    <x v="0"/>
    <x v="0"/>
    <x v="0"/>
  </r>
  <r>
    <n v="1012"/>
    <x v="3"/>
    <n v="0"/>
    <x v="3"/>
    <x v="0"/>
    <x v="0"/>
    <x v="0"/>
  </r>
  <r>
    <n v="834"/>
    <x v="2"/>
    <n v="0"/>
    <x v="1"/>
    <x v="0"/>
    <x v="0"/>
    <x v="0"/>
  </r>
  <r>
    <n v="1581"/>
    <x v="1"/>
    <n v="0"/>
    <x v="1"/>
    <x v="2"/>
    <x v="0"/>
    <x v="0"/>
  </r>
  <r>
    <n v="134"/>
    <x v="1"/>
    <n v="0"/>
    <x v="2"/>
    <x v="0"/>
    <x v="0"/>
    <x v="0"/>
  </r>
  <r>
    <n v="1542"/>
    <x v="0"/>
    <n v="0"/>
    <x v="1"/>
    <x v="2"/>
    <x v="2"/>
    <x v="0"/>
  </r>
  <r>
    <n v="1994"/>
    <x v="1"/>
    <n v="0"/>
    <x v="3"/>
    <x v="1"/>
    <x v="3"/>
    <x v="0"/>
  </r>
  <r>
    <n v="1762"/>
    <x v="1"/>
    <n v="0"/>
    <x v="1"/>
    <x v="1"/>
    <x v="2"/>
    <x v="0"/>
  </r>
  <r>
    <n v="1364"/>
    <x v="1"/>
    <n v="0"/>
    <x v="1"/>
    <x v="2"/>
    <x v="2"/>
    <x v="0"/>
  </r>
  <r>
    <n v="704"/>
    <x v="0"/>
    <n v="0"/>
    <x v="1"/>
    <x v="2"/>
    <x v="1"/>
    <x v="0"/>
  </r>
  <r>
    <n v="353"/>
    <x v="2"/>
    <n v="0"/>
    <x v="1"/>
    <x v="2"/>
    <x v="0"/>
    <x v="0"/>
  </r>
  <r>
    <n v="933"/>
    <x v="1"/>
    <n v="0"/>
    <x v="1"/>
    <x v="0"/>
    <x v="0"/>
    <x v="0"/>
  </r>
  <r>
    <n v="11"/>
    <x v="1"/>
    <n v="0"/>
    <x v="2"/>
    <x v="1"/>
    <x v="2"/>
    <x v="0"/>
  </r>
  <r>
    <n v="1193"/>
    <x v="3"/>
    <n v="0"/>
    <x v="3"/>
    <x v="0"/>
    <x v="0"/>
    <x v="0"/>
  </r>
  <r>
    <n v="657"/>
    <x v="3"/>
    <n v="0"/>
    <x v="1"/>
    <x v="0"/>
    <x v="0"/>
    <x v="0"/>
  </r>
  <r>
    <n v="309"/>
    <x v="4"/>
    <n v="0"/>
    <x v="1"/>
    <x v="2"/>
    <x v="2"/>
    <x v="0"/>
  </r>
  <r>
    <n v="1265"/>
    <x v="1"/>
    <n v="0"/>
    <x v="1"/>
    <x v="2"/>
    <x v="0"/>
    <x v="0"/>
  </r>
  <r>
    <n v="1577"/>
    <x v="1"/>
    <n v="0"/>
    <x v="0"/>
    <x v="0"/>
    <x v="0"/>
    <x v="0"/>
  </r>
  <r>
    <n v="812"/>
    <x v="3"/>
    <n v="0"/>
    <x v="1"/>
    <x v="1"/>
    <x v="3"/>
    <x v="0"/>
  </r>
  <r>
    <n v="680"/>
    <x v="1"/>
    <n v="0"/>
    <x v="1"/>
    <x v="1"/>
    <x v="2"/>
    <x v="0"/>
  </r>
  <r>
    <n v="1482"/>
    <x v="1"/>
    <n v="0"/>
    <x v="1"/>
    <x v="1"/>
    <x v="1"/>
    <x v="0"/>
  </r>
  <r>
    <n v="1495"/>
    <x v="3"/>
    <n v="0"/>
    <x v="3"/>
    <x v="2"/>
    <x v="2"/>
    <x v="0"/>
  </r>
  <r>
    <n v="144"/>
    <x v="3"/>
    <n v="0"/>
    <x v="1"/>
    <x v="0"/>
    <x v="0"/>
    <x v="0"/>
  </r>
  <r>
    <n v="1056"/>
    <x v="1"/>
    <n v="0"/>
    <x v="2"/>
    <x v="2"/>
    <x v="0"/>
    <x v="0"/>
  </r>
  <r>
    <n v="1551"/>
    <x v="3"/>
    <n v="0"/>
    <x v="3"/>
    <x v="1"/>
    <x v="3"/>
    <x v="0"/>
  </r>
  <r>
    <n v="61"/>
    <x v="0"/>
    <n v="0"/>
    <x v="3"/>
    <x v="2"/>
    <x v="0"/>
    <x v="0"/>
  </r>
  <r>
    <n v="53"/>
    <x v="0"/>
    <n v="0"/>
    <x v="3"/>
    <x v="1"/>
    <x v="2"/>
    <x v="0"/>
  </r>
  <r>
    <n v="407"/>
    <x v="0"/>
    <n v="0"/>
    <x v="0"/>
    <x v="2"/>
    <x v="1"/>
    <x v="0"/>
  </r>
  <r>
    <n v="1506"/>
    <x v="1"/>
    <n v="0"/>
    <x v="1"/>
    <x v="1"/>
    <x v="2"/>
    <x v="0"/>
  </r>
  <r>
    <n v="30"/>
    <x v="3"/>
    <n v="0"/>
    <x v="3"/>
    <x v="0"/>
    <x v="0"/>
    <x v="0"/>
  </r>
  <r>
    <n v="1875"/>
    <x v="1"/>
    <n v="0"/>
    <x v="1"/>
    <x v="2"/>
    <x v="2"/>
    <x v="0"/>
  </r>
  <r>
    <n v="1270"/>
    <x v="3"/>
    <n v="0"/>
    <x v="3"/>
    <x v="2"/>
    <x v="2"/>
    <x v="0"/>
  </r>
  <r>
    <n v="97"/>
    <x v="0"/>
    <n v="0"/>
    <x v="1"/>
    <x v="2"/>
    <x v="0"/>
    <x v="0"/>
  </r>
  <r>
    <n v="63"/>
    <x v="0"/>
    <n v="0"/>
    <x v="2"/>
    <x v="2"/>
    <x v="0"/>
    <x v="0"/>
  </r>
  <r>
    <n v="945"/>
    <x v="2"/>
    <n v="0"/>
    <x v="0"/>
    <x v="2"/>
    <x v="1"/>
    <x v="0"/>
  </r>
  <r>
    <n v="1206"/>
    <x v="0"/>
    <n v="0"/>
    <x v="1"/>
    <x v="0"/>
    <x v="0"/>
    <x v="0"/>
  </r>
  <r>
    <n v="1258"/>
    <x v="2"/>
    <n v="0"/>
    <x v="3"/>
    <x v="0"/>
    <x v="0"/>
    <x v="0"/>
  </r>
  <r>
    <n v="201"/>
    <x v="3"/>
    <n v="0"/>
    <x v="2"/>
    <x v="0"/>
    <x v="0"/>
    <x v="0"/>
  </r>
  <r>
    <n v="508"/>
    <x v="1"/>
    <n v="0"/>
    <x v="2"/>
    <x v="2"/>
    <x v="2"/>
    <x v="0"/>
  </r>
  <r>
    <n v="1558"/>
    <x v="1"/>
    <n v="0"/>
    <x v="1"/>
    <x v="2"/>
    <x v="1"/>
    <x v="0"/>
  </r>
  <r>
    <n v="54"/>
    <x v="1"/>
    <n v="0"/>
    <x v="0"/>
    <x v="1"/>
    <x v="2"/>
    <x v="0"/>
  </r>
  <r>
    <n v="95"/>
    <x v="1"/>
    <n v="0"/>
    <x v="0"/>
    <x v="0"/>
    <x v="0"/>
    <x v="0"/>
  </r>
  <r>
    <n v="1492"/>
    <x v="0"/>
    <n v="0"/>
    <x v="2"/>
    <x v="2"/>
    <x v="2"/>
    <x v="0"/>
  </r>
  <r>
    <n v="1961"/>
    <x v="0"/>
    <n v="0"/>
    <x v="1"/>
    <x v="0"/>
    <x v="0"/>
    <x v="0"/>
  </r>
  <r>
    <n v="155"/>
    <x v="0"/>
    <n v="0"/>
    <x v="3"/>
    <x v="1"/>
    <x v="2"/>
    <x v="0"/>
  </r>
  <r>
    <n v="662"/>
    <x v="0"/>
    <n v="0"/>
    <x v="2"/>
    <x v="0"/>
    <x v="0"/>
    <x v="0"/>
  </r>
  <r>
    <n v="1115"/>
    <x v="1"/>
    <n v="0"/>
    <x v="0"/>
    <x v="2"/>
    <x v="3"/>
    <x v="0"/>
  </r>
  <r>
    <n v="1190"/>
    <x v="1"/>
    <n v="0"/>
    <x v="2"/>
    <x v="1"/>
    <x v="3"/>
    <x v="0"/>
  </r>
  <r>
    <n v="39"/>
    <x v="1"/>
    <n v="0"/>
    <x v="1"/>
    <x v="0"/>
    <x v="0"/>
    <x v="0"/>
  </r>
  <r>
    <n v="934"/>
    <x v="1"/>
    <n v="0"/>
    <x v="1"/>
    <x v="1"/>
    <x v="1"/>
    <x v="0"/>
  </r>
  <r>
    <n v="715"/>
    <x v="0"/>
    <n v="0"/>
    <x v="3"/>
    <x v="0"/>
    <x v="0"/>
    <x v="0"/>
  </r>
  <r>
    <n v="1030"/>
    <x v="2"/>
    <n v="0"/>
    <x v="1"/>
    <x v="2"/>
    <x v="0"/>
    <x v="0"/>
  </r>
  <r>
    <n v="1687"/>
    <x v="0"/>
    <n v="0"/>
    <x v="3"/>
    <x v="2"/>
    <x v="2"/>
    <x v="0"/>
  </r>
  <r>
    <n v="643"/>
    <x v="3"/>
    <n v="0"/>
    <x v="3"/>
    <x v="2"/>
    <x v="2"/>
    <x v="0"/>
  </r>
  <r>
    <n v="749"/>
    <x v="1"/>
    <n v="0"/>
    <x v="1"/>
    <x v="0"/>
    <x v="0"/>
    <x v="0"/>
  </r>
  <r>
    <n v="1368"/>
    <x v="3"/>
    <n v="0"/>
    <x v="1"/>
    <x v="0"/>
    <x v="0"/>
    <x v="0"/>
  </r>
  <r>
    <n v="2012"/>
    <x v="0"/>
    <n v="0"/>
    <x v="0"/>
    <x v="2"/>
    <x v="1"/>
    <x v="0"/>
  </r>
  <r>
    <n v="1865"/>
    <x v="1"/>
    <n v="0"/>
    <x v="2"/>
    <x v="2"/>
    <x v="0"/>
    <x v="0"/>
  </r>
  <r>
    <n v="411"/>
    <x v="3"/>
    <n v="0"/>
    <x v="1"/>
    <x v="0"/>
    <x v="0"/>
    <x v="0"/>
  </r>
  <r>
    <n v="556"/>
    <x v="0"/>
    <n v="0"/>
    <x v="3"/>
    <x v="2"/>
    <x v="2"/>
    <x v="0"/>
  </r>
  <r>
    <n v="1158"/>
    <x v="0"/>
    <n v="0"/>
    <x v="0"/>
    <x v="2"/>
    <x v="2"/>
    <x v="0"/>
  </r>
  <r>
    <n v="1055"/>
    <x v="1"/>
    <n v="0"/>
    <x v="0"/>
    <x v="2"/>
    <x v="2"/>
    <x v="0"/>
  </r>
  <r>
    <n v="10"/>
    <x v="4"/>
    <n v="0"/>
    <x v="1"/>
    <x v="2"/>
    <x v="3"/>
    <x v="0"/>
  </r>
  <r>
    <n v="1974"/>
    <x v="1"/>
    <n v="0"/>
    <x v="2"/>
    <x v="1"/>
    <x v="3"/>
    <x v="0"/>
  </r>
  <r>
    <n v="22"/>
    <x v="3"/>
    <n v="0"/>
    <x v="3"/>
    <x v="1"/>
    <x v="1"/>
    <x v="0"/>
  </r>
  <r>
    <n v="964"/>
    <x v="0"/>
    <n v="0"/>
    <x v="0"/>
    <x v="1"/>
    <x v="2"/>
    <x v="0"/>
  </r>
  <r>
    <n v="51"/>
    <x v="0"/>
    <n v="0"/>
    <x v="0"/>
    <x v="2"/>
    <x v="2"/>
    <x v="0"/>
  </r>
  <r>
    <n v="1893"/>
    <x v="1"/>
    <n v="0"/>
    <x v="3"/>
    <x v="2"/>
    <x v="2"/>
    <x v="0"/>
  </r>
  <r>
    <n v="773"/>
    <x v="0"/>
    <n v="0"/>
    <x v="4"/>
    <x v="2"/>
    <x v="2"/>
    <x v="0"/>
  </r>
  <r>
    <n v="214"/>
    <x v="4"/>
    <n v="0"/>
    <x v="1"/>
    <x v="2"/>
    <x v="2"/>
    <x v="0"/>
  </r>
  <r>
    <n v="947"/>
    <x v="1"/>
    <n v="0"/>
    <x v="3"/>
    <x v="2"/>
    <x v="2"/>
    <x v="0"/>
  </r>
  <r>
    <n v="448"/>
    <x v="0"/>
    <n v="0"/>
    <x v="0"/>
    <x v="1"/>
    <x v="2"/>
    <x v="0"/>
  </r>
  <r>
    <n v="867"/>
    <x v="2"/>
    <n v="0"/>
    <x v="0"/>
    <x v="2"/>
    <x v="0"/>
    <x v="0"/>
  </r>
  <r>
    <n v="1369"/>
    <x v="0"/>
    <n v="0"/>
    <x v="1"/>
    <x v="2"/>
    <x v="2"/>
    <x v="0"/>
  </r>
  <r>
    <n v="1677"/>
    <x v="2"/>
    <n v="0"/>
    <x v="1"/>
    <x v="0"/>
    <x v="0"/>
    <x v="0"/>
  </r>
  <r>
    <n v="586"/>
    <x v="0"/>
    <n v="0"/>
    <x v="1"/>
    <x v="2"/>
    <x v="0"/>
    <x v="0"/>
  </r>
  <r>
    <n v="1424"/>
    <x v="4"/>
    <n v="0"/>
    <x v="0"/>
    <x v="1"/>
    <x v="1"/>
    <x v="0"/>
  </r>
  <r>
    <n v="2045"/>
    <x v="0"/>
    <n v="0"/>
    <x v="0"/>
    <x v="2"/>
    <x v="2"/>
    <x v="0"/>
  </r>
  <r>
    <n v="1371"/>
    <x v="1"/>
    <n v="0"/>
    <x v="2"/>
    <x v="0"/>
    <x v="0"/>
    <x v="0"/>
  </r>
  <r>
    <n v="1516"/>
    <x v="1"/>
    <n v="0"/>
    <x v="1"/>
    <x v="0"/>
    <x v="0"/>
    <x v="0"/>
  </r>
  <r>
    <n v="499"/>
    <x v="2"/>
    <n v="0"/>
    <x v="1"/>
    <x v="0"/>
    <x v="0"/>
    <x v="0"/>
  </r>
  <r>
    <n v="1622"/>
    <x v="1"/>
    <n v="0"/>
    <x v="1"/>
    <x v="1"/>
    <x v="2"/>
    <x v="0"/>
  </r>
  <r>
    <n v="1212"/>
    <x v="0"/>
    <n v="0"/>
    <x v="0"/>
    <x v="2"/>
    <x v="3"/>
    <x v="0"/>
  </r>
  <r>
    <n v="467"/>
    <x v="2"/>
    <n v="0"/>
    <x v="2"/>
    <x v="0"/>
    <x v="0"/>
    <x v="0"/>
  </r>
  <r>
    <n v="366"/>
    <x v="1"/>
    <n v="0"/>
    <x v="1"/>
    <x v="2"/>
    <x v="1"/>
    <x v="0"/>
  </r>
  <r>
    <n v="618"/>
    <x v="1"/>
    <n v="0"/>
    <x v="3"/>
    <x v="1"/>
    <x v="1"/>
    <x v="0"/>
  </r>
  <r>
    <n v="1853"/>
    <x v="1"/>
    <n v="0"/>
    <x v="0"/>
    <x v="0"/>
    <x v="0"/>
    <x v="0"/>
  </r>
  <r>
    <n v="72"/>
    <x v="1"/>
    <n v="0"/>
    <x v="1"/>
    <x v="2"/>
    <x v="2"/>
    <x v="0"/>
  </r>
  <r>
    <n v="1935"/>
    <x v="4"/>
    <n v="0"/>
    <x v="4"/>
    <x v="2"/>
    <x v="2"/>
    <x v="0"/>
  </r>
  <r>
    <n v="775"/>
    <x v="1"/>
    <n v="0"/>
    <x v="4"/>
    <x v="1"/>
    <x v="2"/>
    <x v="0"/>
  </r>
  <r>
    <n v="1306"/>
    <x v="2"/>
    <n v="0"/>
    <x v="1"/>
    <x v="0"/>
    <x v="0"/>
    <x v="0"/>
  </r>
  <r>
    <n v="1943"/>
    <x v="0"/>
    <n v="0"/>
    <x v="0"/>
    <x v="1"/>
    <x v="1"/>
    <x v="0"/>
  </r>
  <r>
    <n v="1036"/>
    <x v="0"/>
    <n v="0"/>
    <x v="0"/>
    <x v="0"/>
    <x v="0"/>
    <x v="0"/>
  </r>
  <r>
    <n v="271"/>
    <x v="0"/>
    <n v="0"/>
    <x v="0"/>
    <x v="2"/>
    <x v="0"/>
    <x v="0"/>
  </r>
  <r>
    <n v="1263"/>
    <x v="2"/>
    <n v="0"/>
    <x v="1"/>
    <x v="0"/>
    <x v="0"/>
    <x v="0"/>
  </r>
  <r>
    <n v="86"/>
    <x v="2"/>
    <n v="0"/>
    <x v="1"/>
    <x v="1"/>
    <x v="2"/>
    <x v="0"/>
  </r>
  <r>
    <n v="521"/>
    <x v="0"/>
    <n v="0"/>
    <x v="1"/>
    <x v="2"/>
    <x v="2"/>
    <x v="0"/>
  </r>
  <r>
    <n v="1591"/>
    <x v="2"/>
    <n v="0"/>
    <x v="1"/>
    <x v="2"/>
    <x v="2"/>
    <x v="0"/>
  </r>
  <r>
    <n v="1242"/>
    <x v="0"/>
    <n v="0"/>
    <x v="4"/>
    <x v="2"/>
    <x v="0"/>
    <x v="0"/>
  </r>
  <r>
    <n v="139"/>
    <x v="0"/>
    <n v="0"/>
    <x v="3"/>
    <x v="1"/>
    <x v="2"/>
    <x v="0"/>
  </r>
  <r>
    <n v="1966"/>
    <x v="1"/>
    <n v="0"/>
    <x v="0"/>
    <x v="0"/>
    <x v="0"/>
    <x v="0"/>
  </r>
  <r>
    <n v="477"/>
    <x v="0"/>
    <n v="0"/>
    <x v="0"/>
    <x v="0"/>
    <x v="0"/>
    <x v="0"/>
  </r>
  <r>
    <n v="298"/>
    <x v="0"/>
    <n v="0"/>
    <x v="1"/>
    <x v="0"/>
    <x v="0"/>
    <x v="0"/>
  </r>
  <r>
    <n v="634"/>
    <x v="0"/>
    <n v="0"/>
    <x v="1"/>
    <x v="2"/>
    <x v="2"/>
    <x v="0"/>
  </r>
  <r>
    <n v="151"/>
    <x v="1"/>
    <n v="0"/>
    <x v="0"/>
    <x v="1"/>
    <x v="2"/>
    <x v="0"/>
  </r>
  <r>
    <n v="487"/>
    <x v="2"/>
    <n v="0"/>
    <x v="0"/>
    <x v="2"/>
    <x v="0"/>
    <x v="0"/>
  </r>
  <r>
    <n v="1847"/>
    <x v="0"/>
    <n v="0"/>
    <x v="0"/>
    <x v="2"/>
    <x v="2"/>
    <x v="0"/>
  </r>
  <r>
    <n v="868"/>
    <x v="0"/>
    <n v="0"/>
    <x v="0"/>
    <x v="1"/>
    <x v="1"/>
    <x v="0"/>
  </r>
  <r>
    <n v="1256"/>
    <x v="2"/>
    <n v="0"/>
    <x v="3"/>
    <x v="2"/>
    <x v="2"/>
    <x v="0"/>
  </r>
  <r>
    <n v="920"/>
    <x v="0"/>
    <n v="0"/>
    <x v="1"/>
    <x v="1"/>
    <x v="2"/>
    <x v="0"/>
  </r>
  <r>
    <n v="1076"/>
    <x v="0"/>
    <n v="0"/>
    <x v="1"/>
    <x v="1"/>
    <x v="2"/>
    <x v="0"/>
  </r>
  <r>
    <n v="211"/>
    <x v="2"/>
    <n v="0"/>
    <x v="0"/>
    <x v="2"/>
    <x v="0"/>
    <x v="0"/>
  </r>
  <r>
    <n v="1105"/>
    <x v="0"/>
    <n v="0"/>
    <x v="0"/>
    <x v="1"/>
    <x v="3"/>
    <x v="0"/>
  </r>
  <r>
    <n v="1938"/>
    <x v="4"/>
    <n v="0"/>
    <x v="1"/>
    <x v="2"/>
    <x v="2"/>
    <x v="0"/>
  </r>
  <r>
    <n v="1029"/>
    <x v="0"/>
    <n v="0"/>
    <x v="3"/>
    <x v="2"/>
    <x v="0"/>
    <x v="0"/>
  </r>
  <r>
    <n v="1180"/>
    <x v="0"/>
    <n v="0"/>
    <x v="3"/>
    <x v="2"/>
    <x v="2"/>
    <x v="0"/>
  </r>
  <r>
    <n v="1803"/>
    <x v="0"/>
    <n v="0"/>
    <x v="1"/>
    <x v="2"/>
    <x v="1"/>
    <x v="0"/>
  </r>
  <r>
    <n v="743"/>
    <x v="0"/>
    <n v="0"/>
    <x v="1"/>
    <x v="0"/>
    <x v="0"/>
    <x v="0"/>
  </r>
  <r>
    <n v="833"/>
    <x v="1"/>
    <n v="0"/>
    <x v="1"/>
    <x v="0"/>
    <x v="0"/>
    <x v="0"/>
  </r>
  <r>
    <n v="771"/>
    <x v="0"/>
    <n v="0"/>
    <x v="0"/>
    <x v="1"/>
    <x v="2"/>
    <x v="0"/>
  </r>
  <r>
    <n v="1724"/>
    <x v="0"/>
    <n v="0"/>
    <x v="3"/>
    <x v="2"/>
    <x v="2"/>
    <x v="0"/>
  </r>
  <r>
    <n v="661"/>
    <x v="0"/>
    <n v="0"/>
    <x v="0"/>
    <x v="1"/>
    <x v="2"/>
    <x v="0"/>
  </r>
  <r>
    <n v="1125"/>
    <x v="0"/>
    <n v="0"/>
    <x v="3"/>
    <x v="0"/>
    <x v="0"/>
    <x v="0"/>
  </r>
  <r>
    <n v="334"/>
    <x v="0"/>
    <n v="0"/>
    <x v="3"/>
    <x v="1"/>
    <x v="1"/>
    <x v="0"/>
  </r>
  <r>
    <n v="568"/>
    <x v="4"/>
    <n v="0"/>
    <x v="1"/>
    <x v="1"/>
    <x v="2"/>
    <x v="0"/>
  </r>
  <r>
    <n v="1292"/>
    <x v="0"/>
    <n v="0"/>
    <x v="0"/>
    <x v="2"/>
    <x v="0"/>
    <x v="0"/>
  </r>
  <r>
    <n v="101"/>
    <x v="2"/>
    <n v="0"/>
    <x v="0"/>
    <x v="2"/>
    <x v="0"/>
    <x v="0"/>
  </r>
  <r>
    <n v="479"/>
    <x v="0"/>
    <n v="0"/>
    <x v="4"/>
    <x v="0"/>
    <x v="0"/>
    <x v="0"/>
  </r>
  <r>
    <n v="1595"/>
    <x v="0"/>
    <n v="0"/>
    <x v="3"/>
    <x v="0"/>
    <x v="0"/>
    <x v="0"/>
  </r>
  <r>
    <n v="468"/>
    <x v="0"/>
    <n v="0"/>
    <x v="4"/>
    <x v="0"/>
    <x v="0"/>
    <x v="0"/>
  </r>
  <r>
    <n v="1481"/>
    <x v="0"/>
    <n v="0"/>
    <x v="4"/>
    <x v="2"/>
    <x v="2"/>
    <x v="0"/>
  </r>
  <r>
    <n v="1770"/>
    <x v="4"/>
    <n v="0"/>
    <x v="1"/>
    <x v="2"/>
    <x v="3"/>
    <x v="0"/>
  </r>
  <r>
    <n v="1515"/>
    <x v="1"/>
    <n v="0"/>
    <x v="4"/>
    <x v="0"/>
    <x v="0"/>
    <x v="0"/>
  </r>
  <r>
    <n v="1731"/>
    <x v="2"/>
    <n v="0"/>
    <x v="0"/>
    <x v="2"/>
    <x v="2"/>
    <x v="0"/>
  </r>
  <r>
    <n v="954"/>
    <x v="0"/>
    <n v="0"/>
    <x v="0"/>
    <x v="1"/>
    <x v="2"/>
    <x v="0"/>
  </r>
  <r>
    <n v="518"/>
    <x v="0"/>
    <n v="0"/>
    <x v="0"/>
    <x v="0"/>
    <x v="0"/>
    <x v="0"/>
  </r>
  <r>
    <n v="473"/>
    <x v="2"/>
    <n v="0"/>
    <x v="2"/>
    <x v="2"/>
    <x v="2"/>
    <x v="0"/>
  </r>
  <r>
    <n v="496"/>
    <x v="0"/>
    <n v="0"/>
    <x v="0"/>
    <x v="0"/>
    <x v="0"/>
    <x v="0"/>
  </r>
  <r>
    <n v="1697"/>
    <x v="4"/>
    <n v="0"/>
    <x v="0"/>
    <x v="1"/>
    <x v="2"/>
    <x v="0"/>
  </r>
  <r>
    <n v="1585"/>
    <x v="0"/>
    <n v="0"/>
    <x v="0"/>
    <x v="0"/>
    <x v="0"/>
    <x v="0"/>
  </r>
  <r>
    <n v="832"/>
    <x v="0"/>
    <n v="0"/>
    <x v="0"/>
    <x v="0"/>
    <x v="0"/>
    <x v="0"/>
  </r>
  <r>
    <n v="1148"/>
    <x v="0"/>
    <n v="0"/>
    <x v="1"/>
    <x v="0"/>
    <x v="0"/>
    <x v="0"/>
  </r>
  <r>
    <n v="451"/>
    <x v="0"/>
    <n v="0"/>
    <x v="1"/>
    <x v="2"/>
    <x v="2"/>
    <x v="0"/>
  </r>
  <r>
    <n v="578"/>
    <x v="2"/>
    <n v="0"/>
    <x v="0"/>
    <x v="0"/>
    <x v="0"/>
    <x v="0"/>
  </r>
  <r>
    <n v="1040"/>
    <x v="2"/>
    <n v="0"/>
    <x v="1"/>
    <x v="2"/>
    <x v="2"/>
    <x v="0"/>
  </r>
  <r>
    <n v="1133"/>
    <x v="0"/>
    <n v="0"/>
    <x v="0"/>
    <x v="0"/>
    <x v="0"/>
    <x v="0"/>
  </r>
  <r>
    <n v="1890"/>
    <x v="0"/>
    <n v="0"/>
    <x v="2"/>
    <x v="0"/>
    <x v="0"/>
    <x v="0"/>
  </r>
  <r>
    <n v="208"/>
    <x v="1"/>
    <n v="0"/>
    <x v="2"/>
    <x v="2"/>
    <x v="2"/>
    <x v="0"/>
  </r>
  <r>
    <n v="159"/>
    <x v="1"/>
    <n v="0"/>
    <x v="1"/>
    <x v="1"/>
    <x v="3"/>
    <x v="0"/>
  </r>
  <r>
    <n v="62"/>
    <x v="2"/>
    <n v="0"/>
    <x v="0"/>
    <x v="0"/>
    <x v="0"/>
    <x v="0"/>
  </r>
  <r>
    <n v="742"/>
    <x v="0"/>
    <n v="0"/>
    <x v="1"/>
    <x v="2"/>
    <x v="2"/>
    <x v="0"/>
  </r>
  <r>
    <n v="1103"/>
    <x v="1"/>
    <n v="0"/>
    <x v="2"/>
    <x v="0"/>
    <x v="0"/>
    <x v="0"/>
  </r>
  <r>
    <n v="714"/>
    <x v="1"/>
    <n v="0"/>
    <x v="2"/>
    <x v="1"/>
    <x v="1"/>
    <x v="0"/>
  </r>
  <r>
    <n v="1397"/>
    <x v="0"/>
    <n v="0"/>
    <x v="3"/>
    <x v="2"/>
    <x v="2"/>
    <x v="0"/>
  </r>
  <r>
    <n v="1401"/>
    <x v="2"/>
    <n v="0"/>
    <x v="3"/>
    <x v="2"/>
    <x v="2"/>
    <x v="0"/>
  </r>
  <r>
    <n v="1471"/>
    <x v="0"/>
    <n v="0"/>
    <x v="1"/>
    <x v="0"/>
    <x v="0"/>
    <x v="0"/>
  </r>
  <r>
    <n v="359"/>
    <x v="1"/>
    <n v="0"/>
    <x v="1"/>
    <x v="2"/>
    <x v="0"/>
    <x v="0"/>
  </r>
  <r>
    <n v="1949"/>
    <x v="0"/>
    <n v="0"/>
    <x v="0"/>
    <x v="2"/>
    <x v="0"/>
    <x v="0"/>
  </r>
  <r>
    <n v="1775"/>
    <x v="2"/>
    <n v="0"/>
    <x v="0"/>
    <x v="2"/>
    <x v="3"/>
    <x v="0"/>
  </r>
  <r>
    <n v="951"/>
    <x v="1"/>
    <n v="0"/>
    <x v="1"/>
    <x v="2"/>
    <x v="0"/>
    <x v="0"/>
  </r>
  <r>
    <n v="1753"/>
    <x v="1"/>
    <n v="0"/>
    <x v="1"/>
    <x v="0"/>
    <x v="0"/>
    <x v="0"/>
  </r>
  <r>
    <n v="1937"/>
    <x v="0"/>
    <n v="0"/>
    <x v="1"/>
    <x v="1"/>
    <x v="2"/>
    <x v="0"/>
  </r>
  <r>
    <n v="999"/>
    <x v="0"/>
    <n v="0"/>
    <x v="1"/>
    <x v="1"/>
    <x v="2"/>
    <x v="0"/>
  </r>
  <r>
    <n v="1774"/>
    <x v="1"/>
    <n v="0"/>
    <x v="1"/>
    <x v="1"/>
    <x v="2"/>
    <x v="0"/>
  </r>
  <r>
    <n v="1257"/>
    <x v="0"/>
    <n v="0"/>
    <x v="1"/>
    <x v="2"/>
    <x v="0"/>
    <x v="0"/>
  </r>
  <r>
    <n v="1642"/>
    <x v="0"/>
    <n v="0"/>
    <x v="4"/>
    <x v="2"/>
    <x v="0"/>
    <x v="0"/>
  </r>
  <r>
    <n v="2049"/>
    <x v="0"/>
    <n v="0"/>
    <x v="0"/>
    <x v="2"/>
    <x v="1"/>
    <x v="0"/>
  </r>
  <r>
    <n v="1220"/>
    <x v="1"/>
    <n v="0"/>
    <x v="1"/>
    <x v="2"/>
    <x v="2"/>
    <x v="0"/>
  </r>
  <r>
    <n v="789"/>
    <x v="0"/>
    <n v="0"/>
    <x v="0"/>
    <x v="0"/>
    <x v="0"/>
    <x v="0"/>
  </r>
  <r>
    <n v="904"/>
    <x v="0"/>
    <n v="0"/>
    <x v="3"/>
    <x v="0"/>
    <x v="0"/>
    <x v="0"/>
  </r>
  <r>
    <n v="306"/>
    <x v="0"/>
    <n v="0"/>
    <x v="1"/>
    <x v="1"/>
    <x v="3"/>
    <x v="0"/>
  </r>
  <r>
    <n v="388"/>
    <x v="1"/>
    <n v="0"/>
    <x v="3"/>
    <x v="0"/>
    <x v="0"/>
    <x v="0"/>
  </r>
  <r>
    <n v="314"/>
    <x v="0"/>
    <n v="0"/>
    <x v="1"/>
    <x v="0"/>
    <x v="0"/>
    <x v="0"/>
  </r>
  <r>
    <n v="419"/>
    <x v="0"/>
    <n v="0"/>
    <x v="0"/>
    <x v="2"/>
    <x v="2"/>
    <x v="0"/>
  </r>
  <r>
    <n v="972"/>
    <x v="2"/>
    <n v="0"/>
    <x v="3"/>
    <x v="2"/>
    <x v="0"/>
    <x v="0"/>
  </r>
  <r>
    <n v="2065"/>
    <x v="2"/>
    <n v="0"/>
    <x v="1"/>
    <x v="2"/>
    <x v="0"/>
    <x v="0"/>
  </r>
  <r>
    <n v="1745"/>
    <x v="1"/>
    <n v="0"/>
    <x v="0"/>
    <x v="0"/>
    <x v="0"/>
    <x v="0"/>
  </r>
  <r>
    <n v="1002"/>
    <x v="2"/>
    <n v="0"/>
    <x v="3"/>
    <x v="2"/>
    <x v="2"/>
    <x v="0"/>
  </r>
  <r>
    <n v="616"/>
    <x v="0"/>
    <n v="0"/>
    <x v="0"/>
    <x v="0"/>
    <x v="0"/>
    <x v="0"/>
  </r>
  <r>
    <n v="1126"/>
    <x v="0"/>
    <n v="0"/>
    <x v="1"/>
    <x v="2"/>
    <x v="2"/>
    <x v="0"/>
  </r>
  <r>
    <n v="1235"/>
    <x v="1"/>
    <n v="0"/>
    <x v="3"/>
    <x v="0"/>
    <x v="0"/>
    <x v="0"/>
  </r>
  <r>
    <n v="141"/>
    <x v="2"/>
    <n v="0"/>
    <x v="1"/>
    <x v="2"/>
    <x v="0"/>
    <x v="0"/>
  </r>
  <r>
    <n v="602"/>
    <x v="0"/>
    <n v="0"/>
    <x v="2"/>
    <x v="2"/>
    <x v="2"/>
    <x v="0"/>
  </r>
  <r>
    <n v="195"/>
    <x v="1"/>
    <n v="0"/>
    <x v="3"/>
    <x v="1"/>
    <x v="3"/>
    <x v="0"/>
  </r>
  <r>
    <n v="1449"/>
    <x v="0"/>
    <n v="0"/>
    <x v="0"/>
    <x v="1"/>
    <x v="1"/>
    <x v="0"/>
  </r>
  <r>
    <n v="990"/>
    <x v="0"/>
    <n v="0"/>
    <x v="0"/>
    <x v="1"/>
    <x v="1"/>
    <x v="0"/>
  </r>
  <r>
    <n v="956"/>
    <x v="1"/>
    <n v="0"/>
    <x v="1"/>
    <x v="0"/>
    <x v="0"/>
    <x v="0"/>
  </r>
  <r>
    <n v="160"/>
    <x v="1"/>
    <n v="0"/>
    <x v="3"/>
    <x v="2"/>
    <x v="2"/>
    <x v="0"/>
  </r>
  <r>
    <n v="1764"/>
    <x v="1"/>
    <n v="0"/>
    <x v="0"/>
    <x v="0"/>
    <x v="0"/>
    <x v="0"/>
  </r>
  <r>
    <n v="1653"/>
    <x v="1"/>
    <n v="0"/>
    <x v="2"/>
    <x v="1"/>
    <x v="1"/>
    <x v="0"/>
  </r>
  <r>
    <n v="446"/>
    <x v="1"/>
    <n v="0"/>
    <x v="1"/>
    <x v="0"/>
    <x v="0"/>
    <x v="0"/>
  </r>
  <r>
    <n v="293"/>
    <x v="1"/>
    <n v="0"/>
    <x v="1"/>
    <x v="0"/>
    <x v="0"/>
    <x v="0"/>
  </r>
  <r>
    <n v="1927"/>
    <x v="1"/>
    <n v="0"/>
    <x v="3"/>
    <x v="2"/>
    <x v="2"/>
    <x v="0"/>
  </r>
  <r>
    <n v="1760"/>
    <x v="0"/>
    <n v="0"/>
    <x v="3"/>
    <x v="2"/>
    <x v="2"/>
    <x v="0"/>
  </r>
  <r>
    <n v="85"/>
    <x v="0"/>
    <n v="0"/>
    <x v="1"/>
    <x v="0"/>
    <x v="0"/>
    <x v="0"/>
  </r>
  <r>
    <n v="551"/>
    <x v="0"/>
    <n v="0"/>
    <x v="0"/>
    <x v="2"/>
    <x v="3"/>
    <x v="0"/>
  </r>
  <r>
    <n v="2061"/>
    <x v="0"/>
    <n v="0"/>
    <x v="3"/>
    <x v="2"/>
    <x v="2"/>
    <x v="0"/>
  </r>
  <r>
    <n v="547"/>
    <x v="0"/>
    <n v="0"/>
    <x v="3"/>
    <x v="1"/>
    <x v="2"/>
    <x v="0"/>
  </r>
  <r>
    <n v="129"/>
    <x v="1"/>
    <n v="0"/>
    <x v="1"/>
    <x v="2"/>
    <x v="0"/>
    <x v="0"/>
  </r>
  <r>
    <n v="1613"/>
    <x v="1"/>
    <n v="0"/>
    <x v="0"/>
    <x v="0"/>
    <x v="0"/>
    <x v="0"/>
  </r>
  <r>
    <n v="1132"/>
    <x v="0"/>
    <n v="0"/>
    <x v="1"/>
    <x v="0"/>
    <x v="0"/>
    <x v="0"/>
  </r>
  <r>
    <n v="380"/>
    <x v="0"/>
    <n v="0"/>
    <x v="0"/>
    <x v="1"/>
    <x v="1"/>
    <x v="0"/>
  </r>
  <r>
    <n v="861"/>
    <x v="1"/>
    <n v="0"/>
    <x v="0"/>
    <x v="1"/>
    <x v="2"/>
    <x v="0"/>
  </r>
  <r>
    <n v="1137"/>
    <x v="0"/>
    <n v="0"/>
    <x v="3"/>
    <x v="1"/>
    <x v="2"/>
    <x v="0"/>
  </r>
  <r>
    <n v="1071"/>
    <x v="4"/>
    <n v="0"/>
    <x v="1"/>
    <x v="2"/>
    <x v="2"/>
    <x v="0"/>
  </r>
  <r>
    <n v="1850"/>
    <x v="1"/>
    <n v="0"/>
    <x v="3"/>
    <x v="0"/>
    <x v="0"/>
    <x v="0"/>
  </r>
  <r>
    <n v="270"/>
    <x v="0"/>
    <n v="0"/>
    <x v="3"/>
    <x v="1"/>
    <x v="2"/>
    <x v="0"/>
  </r>
  <r>
    <n v="1922"/>
    <x v="2"/>
    <n v="0"/>
    <x v="0"/>
    <x v="0"/>
    <x v="0"/>
    <x v="0"/>
  </r>
  <r>
    <n v="2025"/>
    <x v="0"/>
    <n v="0"/>
    <x v="3"/>
    <x v="1"/>
    <x v="3"/>
    <x v="0"/>
  </r>
  <r>
    <n v="1011"/>
    <x v="1"/>
    <n v="0"/>
    <x v="2"/>
    <x v="2"/>
    <x v="2"/>
    <x v="0"/>
  </r>
  <r>
    <n v="1382"/>
    <x v="0"/>
    <n v="0"/>
    <x v="1"/>
    <x v="1"/>
    <x v="3"/>
    <x v="0"/>
  </r>
  <r>
    <n v="469"/>
    <x v="1"/>
    <n v="0"/>
    <x v="1"/>
    <x v="2"/>
    <x v="2"/>
    <x v="0"/>
  </r>
  <r>
    <n v="450"/>
    <x v="2"/>
    <n v="0"/>
    <x v="0"/>
    <x v="0"/>
    <x v="0"/>
    <x v="0"/>
  </r>
  <r>
    <n v="1231"/>
    <x v="0"/>
    <n v="0"/>
    <x v="4"/>
    <x v="2"/>
    <x v="2"/>
    <x v="0"/>
  </r>
  <r>
    <n v="1477"/>
    <x v="1"/>
    <n v="0"/>
    <x v="1"/>
    <x v="2"/>
    <x v="1"/>
    <x v="0"/>
  </r>
  <r>
    <n v="1286"/>
    <x v="1"/>
    <n v="0"/>
    <x v="0"/>
    <x v="0"/>
    <x v="0"/>
    <x v="0"/>
  </r>
  <r>
    <n v="341"/>
    <x v="2"/>
    <n v="0"/>
    <x v="0"/>
    <x v="2"/>
    <x v="2"/>
    <x v="0"/>
  </r>
  <r>
    <n v="882"/>
    <x v="1"/>
    <n v="0"/>
    <x v="1"/>
    <x v="1"/>
    <x v="2"/>
    <x v="0"/>
  </r>
  <r>
    <n v="287"/>
    <x v="0"/>
    <n v="0"/>
    <x v="4"/>
    <x v="2"/>
    <x v="2"/>
    <x v="0"/>
  </r>
  <r>
    <n v="1513"/>
    <x v="1"/>
    <n v="0"/>
    <x v="2"/>
    <x v="2"/>
    <x v="3"/>
    <x v="0"/>
  </r>
  <r>
    <n v="1114"/>
    <x v="1"/>
    <n v="0"/>
    <x v="1"/>
    <x v="2"/>
    <x v="2"/>
    <x v="0"/>
  </r>
  <r>
    <n v="974"/>
    <x v="1"/>
    <n v="0"/>
    <x v="1"/>
    <x v="2"/>
    <x v="2"/>
    <x v="0"/>
  </r>
  <r>
    <n v="1140"/>
    <x v="1"/>
    <n v="0"/>
    <x v="3"/>
    <x v="0"/>
    <x v="0"/>
    <x v="0"/>
  </r>
  <r>
    <n v="1594"/>
    <x v="0"/>
    <n v="0"/>
    <x v="0"/>
    <x v="2"/>
    <x v="2"/>
    <x v="0"/>
  </r>
  <r>
    <n v="1154"/>
    <x v="1"/>
    <n v="0"/>
    <x v="1"/>
    <x v="1"/>
    <x v="2"/>
    <x v="0"/>
  </r>
  <r>
    <n v="1006"/>
    <x v="0"/>
    <n v="0"/>
    <x v="2"/>
    <x v="2"/>
    <x v="2"/>
    <x v="0"/>
  </r>
  <r>
    <n v="615"/>
    <x v="0"/>
    <n v="0"/>
    <x v="1"/>
    <x v="1"/>
    <x v="2"/>
    <x v="0"/>
  </r>
  <r>
    <n v="224"/>
    <x v="1"/>
    <n v="0"/>
    <x v="1"/>
    <x v="1"/>
    <x v="2"/>
    <x v="0"/>
  </r>
  <r>
    <n v="2034"/>
    <x v="0"/>
    <n v="0"/>
    <x v="0"/>
    <x v="2"/>
    <x v="2"/>
    <x v="0"/>
  </r>
  <r>
    <n v="1408"/>
    <x v="0"/>
    <n v="0"/>
    <x v="1"/>
    <x v="2"/>
    <x v="2"/>
    <x v="0"/>
  </r>
  <r>
    <n v="581"/>
    <x v="1"/>
    <n v="0"/>
    <x v="2"/>
    <x v="1"/>
    <x v="2"/>
    <x v="0"/>
  </r>
  <r>
    <n v="1669"/>
    <x v="1"/>
    <n v="0"/>
    <x v="1"/>
    <x v="1"/>
    <x v="2"/>
    <x v="0"/>
  </r>
  <r>
    <n v="942"/>
    <x v="0"/>
    <n v="0"/>
    <x v="2"/>
    <x v="2"/>
    <x v="2"/>
    <x v="0"/>
  </r>
  <r>
    <n v="1085"/>
    <x v="0"/>
    <n v="0"/>
    <x v="3"/>
    <x v="2"/>
    <x v="0"/>
    <x v="0"/>
  </r>
  <r>
    <n v="824"/>
    <x v="1"/>
    <n v="0"/>
    <x v="3"/>
    <x v="2"/>
    <x v="2"/>
    <x v="0"/>
  </r>
  <r>
    <n v="1881"/>
    <x v="1"/>
    <n v="0"/>
    <x v="1"/>
    <x v="1"/>
    <x v="2"/>
    <x v="0"/>
  </r>
  <r>
    <n v="855"/>
    <x v="1"/>
    <n v="0"/>
    <x v="1"/>
    <x v="1"/>
    <x v="2"/>
    <x v="0"/>
  </r>
  <r>
    <n v="15"/>
    <x v="1"/>
    <n v="0"/>
    <x v="3"/>
    <x v="0"/>
    <x v="0"/>
    <x v="0"/>
  </r>
  <r>
    <n v="725"/>
    <x v="1"/>
    <n v="0"/>
    <x v="3"/>
    <x v="2"/>
    <x v="0"/>
    <x v="0"/>
  </r>
  <r>
    <n v="1321"/>
    <x v="1"/>
    <n v="0"/>
    <x v="0"/>
    <x v="2"/>
    <x v="1"/>
    <x v="0"/>
  </r>
  <r>
    <n v="1177"/>
    <x v="1"/>
    <n v="0"/>
    <x v="0"/>
    <x v="2"/>
    <x v="2"/>
    <x v="0"/>
  </r>
  <r>
    <n v="230"/>
    <x v="0"/>
    <n v="0"/>
    <x v="0"/>
    <x v="0"/>
    <x v="0"/>
    <x v="0"/>
  </r>
  <r>
    <n v="985"/>
    <x v="0"/>
    <n v="0"/>
    <x v="4"/>
    <x v="0"/>
    <x v="0"/>
    <x v="0"/>
  </r>
  <r>
    <n v="1728"/>
    <x v="0"/>
    <n v="0"/>
    <x v="0"/>
    <x v="2"/>
    <x v="2"/>
    <x v="0"/>
  </r>
  <r>
    <n v="709"/>
    <x v="0"/>
    <n v="0"/>
    <x v="0"/>
    <x v="0"/>
    <x v="0"/>
    <x v="0"/>
  </r>
  <r>
    <n v="1619"/>
    <x v="1"/>
    <n v="0"/>
    <x v="1"/>
    <x v="1"/>
    <x v="1"/>
    <x v="0"/>
  </r>
  <r>
    <n v="764"/>
    <x v="1"/>
    <n v="0"/>
    <x v="1"/>
    <x v="0"/>
    <x v="0"/>
    <x v="0"/>
  </r>
  <r>
    <n v="1049"/>
    <x v="2"/>
    <n v="0"/>
    <x v="0"/>
    <x v="0"/>
    <x v="0"/>
    <x v="0"/>
  </r>
  <r>
    <n v="1599"/>
    <x v="0"/>
    <n v="0"/>
    <x v="1"/>
    <x v="1"/>
    <x v="2"/>
    <x v="0"/>
  </r>
  <r>
    <n v="1084"/>
    <x v="1"/>
    <n v="0"/>
    <x v="1"/>
    <x v="2"/>
    <x v="2"/>
    <x v="0"/>
  </r>
  <r>
    <n v="1251"/>
    <x v="1"/>
    <n v="0"/>
    <x v="3"/>
    <x v="2"/>
    <x v="0"/>
    <x v="0"/>
  </r>
  <r>
    <n v="2064"/>
    <x v="1"/>
    <n v="0"/>
    <x v="1"/>
    <x v="2"/>
    <x v="2"/>
    <x v="0"/>
  </r>
  <r>
    <n v="949"/>
    <x v="0"/>
    <n v="0"/>
    <x v="0"/>
    <x v="0"/>
    <x v="0"/>
    <x v="0"/>
  </r>
  <r>
    <n v="895"/>
    <x v="1"/>
    <n v="0"/>
    <x v="0"/>
    <x v="2"/>
    <x v="2"/>
    <x v="0"/>
  </r>
  <r>
    <n v="1721"/>
    <x v="1"/>
    <n v="0"/>
    <x v="0"/>
    <x v="2"/>
    <x v="2"/>
    <x v="0"/>
  </r>
  <r>
    <n v="1873"/>
    <x v="4"/>
    <n v="0"/>
    <x v="0"/>
    <x v="2"/>
    <x v="2"/>
    <x v="0"/>
  </r>
  <r>
    <n v="1367"/>
    <x v="2"/>
    <n v="0"/>
    <x v="3"/>
    <x v="0"/>
    <x v="0"/>
    <x v="0"/>
  </r>
  <r>
    <n v="1744"/>
    <x v="2"/>
    <n v="0"/>
    <x v="1"/>
    <x v="2"/>
    <x v="1"/>
    <x v="0"/>
  </r>
  <r>
    <n v="862"/>
    <x v="2"/>
    <n v="0"/>
    <x v="3"/>
    <x v="2"/>
    <x v="2"/>
    <x v="0"/>
  </r>
  <r>
    <n v="829"/>
    <x v="0"/>
    <n v="0"/>
    <x v="1"/>
    <x v="2"/>
    <x v="2"/>
    <x v="0"/>
  </r>
  <r>
    <n v="1664"/>
    <x v="0"/>
    <n v="0"/>
    <x v="3"/>
    <x v="1"/>
    <x v="2"/>
    <x v="0"/>
  </r>
  <r>
    <n v="240"/>
    <x v="2"/>
    <n v="0"/>
    <x v="3"/>
    <x v="1"/>
    <x v="2"/>
    <x v="0"/>
  </r>
  <r>
    <n v="486"/>
    <x v="0"/>
    <n v="0"/>
    <x v="1"/>
    <x v="2"/>
    <x v="2"/>
    <x v="0"/>
  </r>
  <r>
    <n v="1409"/>
    <x v="2"/>
    <n v="0"/>
    <x v="0"/>
    <x v="2"/>
    <x v="0"/>
    <x v="0"/>
  </r>
  <r>
    <n v="2018"/>
    <x v="1"/>
    <n v="0"/>
    <x v="3"/>
    <x v="1"/>
    <x v="2"/>
    <x v="0"/>
  </r>
  <r>
    <n v="1387"/>
    <x v="1"/>
    <n v="0"/>
    <x v="1"/>
    <x v="2"/>
    <x v="2"/>
    <x v="0"/>
  </r>
  <r>
    <n v="377"/>
    <x v="1"/>
    <n v="0"/>
    <x v="1"/>
    <x v="2"/>
    <x v="2"/>
    <x v="0"/>
  </r>
  <r>
    <n v="1546"/>
    <x v="2"/>
    <n v="0"/>
    <x v="1"/>
    <x v="2"/>
    <x v="2"/>
    <x v="0"/>
  </r>
  <r>
    <n v="878"/>
    <x v="0"/>
    <n v="0"/>
    <x v="1"/>
    <x v="2"/>
    <x v="0"/>
    <x v="0"/>
  </r>
  <r>
    <n v="1772"/>
    <x v="0"/>
    <n v="0"/>
    <x v="0"/>
    <x v="1"/>
    <x v="1"/>
    <x v="0"/>
  </r>
  <r>
    <n v="1768"/>
    <x v="0"/>
    <n v="0"/>
    <x v="1"/>
    <x v="1"/>
    <x v="3"/>
    <x v="0"/>
  </r>
  <r>
    <n v="94"/>
    <x v="1"/>
    <n v="0"/>
    <x v="1"/>
    <x v="2"/>
    <x v="2"/>
    <x v="0"/>
  </r>
  <r>
    <n v="395"/>
    <x v="1"/>
    <n v="0"/>
    <x v="3"/>
    <x v="0"/>
    <x v="0"/>
    <x v="0"/>
  </r>
  <r>
    <n v="613"/>
    <x v="1"/>
    <n v="0"/>
    <x v="1"/>
    <x v="1"/>
    <x v="2"/>
    <x v="0"/>
  </r>
  <r>
    <n v="1885"/>
    <x v="0"/>
    <n v="0"/>
    <x v="0"/>
    <x v="2"/>
    <x v="2"/>
    <x v="0"/>
  </r>
  <r>
    <n v="548"/>
    <x v="1"/>
    <n v="0"/>
    <x v="1"/>
    <x v="0"/>
    <x v="0"/>
    <x v="0"/>
  </r>
  <r>
    <n v="246"/>
    <x v="1"/>
    <n v="0"/>
    <x v="2"/>
    <x v="2"/>
    <x v="2"/>
    <x v="0"/>
  </r>
  <r>
    <n v="116"/>
    <x v="2"/>
    <n v="0"/>
    <x v="0"/>
    <x v="2"/>
    <x v="1"/>
    <x v="0"/>
  </r>
  <r>
    <n v="1631"/>
    <x v="0"/>
    <n v="0"/>
    <x v="1"/>
    <x v="2"/>
    <x v="3"/>
    <x v="0"/>
  </r>
  <r>
    <n v="453"/>
    <x v="0"/>
    <n v="0"/>
    <x v="3"/>
    <x v="2"/>
    <x v="3"/>
    <x v="0"/>
  </r>
  <r>
    <n v="103"/>
    <x v="2"/>
    <n v="0"/>
    <x v="3"/>
    <x v="1"/>
    <x v="2"/>
    <x v="0"/>
  </r>
  <r>
    <n v="1361"/>
    <x v="0"/>
    <n v="0"/>
    <x v="0"/>
    <x v="2"/>
    <x v="2"/>
    <x v="0"/>
  </r>
  <r>
    <n v="1062"/>
    <x v="0"/>
    <n v="0"/>
    <x v="1"/>
    <x v="0"/>
    <x v="0"/>
    <x v="0"/>
  </r>
  <r>
    <n v="1802"/>
    <x v="0"/>
    <n v="0"/>
    <x v="3"/>
    <x v="2"/>
    <x v="2"/>
    <x v="0"/>
  </r>
  <r>
    <n v="1835"/>
    <x v="0"/>
    <n v="0"/>
    <x v="0"/>
    <x v="2"/>
    <x v="1"/>
    <x v="0"/>
  </r>
  <r>
    <n v="560"/>
    <x v="1"/>
    <n v="0"/>
    <x v="1"/>
    <x v="1"/>
    <x v="1"/>
    <x v="0"/>
  </r>
  <r>
    <n v="1718"/>
    <x v="1"/>
    <n v="0"/>
    <x v="0"/>
    <x v="2"/>
    <x v="3"/>
    <x v="0"/>
  </r>
  <r>
    <n v="128"/>
    <x v="3"/>
    <n v="0"/>
    <x v="3"/>
    <x v="2"/>
    <x v="2"/>
    <x v="0"/>
  </r>
  <r>
    <n v="249"/>
    <x v="2"/>
    <n v="0"/>
    <x v="1"/>
    <x v="2"/>
    <x v="2"/>
    <x v="0"/>
  </r>
  <r>
    <n v="1428"/>
    <x v="1"/>
    <n v="0"/>
    <x v="0"/>
    <x v="1"/>
    <x v="1"/>
    <x v="0"/>
  </r>
  <r>
    <n v="874"/>
    <x v="0"/>
    <n v="0"/>
    <x v="0"/>
    <x v="2"/>
    <x v="2"/>
    <x v="0"/>
  </r>
  <r>
    <n v="178"/>
    <x v="0"/>
    <n v="0"/>
    <x v="3"/>
    <x v="1"/>
    <x v="1"/>
    <x v="0"/>
  </r>
  <r>
    <n v="805"/>
    <x v="0"/>
    <n v="0"/>
    <x v="0"/>
    <x v="2"/>
    <x v="2"/>
    <x v="0"/>
  </r>
  <r>
    <n v="1195"/>
    <x v="2"/>
    <n v="0"/>
    <x v="1"/>
    <x v="2"/>
    <x v="2"/>
    <x v="0"/>
  </r>
  <r>
    <n v="544"/>
    <x v="2"/>
    <n v="0"/>
    <x v="3"/>
    <x v="2"/>
    <x v="1"/>
    <x v="0"/>
  </r>
  <r>
    <n v="806"/>
    <x v="1"/>
    <n v="0"/>
    <x v="1"/>
    <x v="2"/>
    <x v="1"/>
    <x v="0"/>
  </r>
  <r>
    <n v="1992"/>
    <x v="1"/>
    <n v="0"/>
    <x v="2"/>
    <x v="1"/>
    <x v="2"/>
    <x v="0"/>
  </r>
  <r>
    <n v="1678"/>
    <x v="0"/>
    <n v="0"/>
    <x v="3"/>
    <x v="0"/>
    <x v="0"/>
    <x v="0"/>
  </r>
  <r>
    <n v="1352"/>
    <x v="2"/>
    <n v="0"/>
    <x v="1"/>
    <x v="1"/>
    <x v="2"/>
    <x v="0"/>
  </r>
  <r>
    <n v="638"/>
    <x v="2"/>
    <n v="0"/>
    <x v="0"/>
    <x v="1"/>
    <x v="2"/>
    <x v="0"/>
  </r>
  <r>
    <n v="1602"/>
    <x v="2"/>
    <n v="0"/>
    <x v="0"/>
    <x v="0"/>
    <x v="0"/>
    <x v="0"/>
  </r>
  <r>
    <n v="410"/>
    <x v="0"/>
    <n v="0"/>
    <x v="0"/>
    <x v="0"/>
    <x v="0"/>
    <x v="0"/>
  </r>
  <r>
    <n v="206"/>
    <x v="2"/>
    <n v="0"/>
    <x v="1"/>
    <x v="1"/>
    <x v="2"/>
    <x v="0"/>
  </r>
  <r>
    <n v="464"/>
    <x v="0"/>
    <n v="0"/>
    <x v="0"/>
    <x v="0"/>
    <x v="0"/>
    <x v="0"/>
  </r>
  <r>
    <n v="1047"/>
    <x v="1"/>
    <n v="0"/>
    <x v="0"/>
    <x v="1"/>
    <x v="2"/>
    <x v="0"/>
  </r>
  <r>
    <n v="1280"/>
    <x v="2"/>
    <n v="0"/>
    <x v="3"/>
    <x v="2"/>
    <x v="2"/>
    <x v="0"/>
  </r>
  <r>
    <n v="534"/>
    <x v="0"/>
    <n v="0"/>
    <x v="1"/>
    <x v="2"/>
    <x v="2"/>
    <x v="0"/>
  </r>
  <r>
    <n v="722"/>
    <x v="1"/>
    <n v="0"/>
    <x v="1"/>
    <x v="0"/>
    <x v="0"/>
    <x v="0"/>
  </r>
  <r>
    <n v="1363"/>
    <x v="2"/>
    <n v="0"/>
    <x v="1"/>
    <x v="0"/>
    <x v="0"/>
    <x v="0"/>
  </r>
  <r>
    <n v="1971"/>
    <x v="0"/>
    <n v="0"/>
    <x v="1"/>
    <x v="2"/>
    <x v="2"/>
    <x v="0"/>
  </r>
  <r>
    <n v="564"/>
    <x v="1"/>
    <n v="0"/>
    <x v="0"/>
    <x v="2"/>
    <x v="0"/>
    <x v="0"/>
  </r>
  <r>
    <n v="1732"/>
    <x v="2"/>
    <n v="0"/>
    <x v="1"/>
    <x v="1"/>
    <x v="2"/>
    <x v="0"/>
  </r>
  <r>
    <n v="1304"/>
    <x v="1"/>
    <n v="0"/>
    <x v="1"/>
    <x v="2"/>
    <x v="1"/>
    <x v="0"/>
  </r>
  <r>
    <n v="1497"/>
    <x v="1"/>
    <n v="0"/>
    <x v="1"/>
    <x v="1"/>
    <x v="1"/>
    <x v="0"/>
  </r>
  <r>
    <n v="421"/>
    <x v="0"/>
    <n v="0"/>
    <x v="3"/>
    <x v="2"/>
    <x v="2"/>
    <x v="0"/>
  </r>
  <r>
    <n v="96"/>
    <x v="1"/>
    <n v="0"/>
    <x v="1"/>
    <x v="2"/>
    <x v="1"/>
    <x v="0"/>
  </r>
  <r>
    <n v="1729"/>
    <x v="1"/>
    <n v="0"/>
    <x v="2"/>
    <x v="2"/>
    <x v="2"/>
    <x v="0"/>
  </r>
  <r>
    <n v="1013"/>
    <x v="2"/>
    <n v="0"/>
    <x v="1"/>
    <x v="2"/>
    <x v="2"/>
    <x v="0"/>
  </r>
  <r>
    <n v="1419"/>
    <x v="1"/>
    <n v="0"/>
    <x v="1"/>
    <x v="0"/>
    <x v="0"/>
    <x v="0"/>
  </r>
  <r>
    <n v="2008"/>
    <x v="0"/>
    <n v="0"/>
    <x v="0"/>
    <x v="0"/>
    <x v="0"/>
    <x v="0"/>
  </r>
  <r>
    <n v="1727"/>
    <x v="2"/>
    <n v="0"/>
    <x v="0"/>
    <x v="0"/>
    <x v="0"/>
    <x v="0"/>
  </r>
  <r>
    <n v="1673"/>
    <x v="1"/>
    <n v="0"/>
    <x v="0"/>
    <x v="2"/>
    <x v="1"/>
    <x v="0"/>
  </r>
  <r>
    <n v="1627"/>
    <x v="0"/>
    <n v="0"/>
    <x v="3"/>
    <x v="1"/>
    <x v="2"/>
    <x v="0"/>
  </r>
  <r>
    <n v="550"/>
    <x v="2"/>
    <n v="0"/>
    <x v="1"/>
    <x v="1"/>
    <x v="2"/>
    <x v="0"/>
  </r>
  <r>
    <n v="389"/>
    <x v="4"/>
    <n v="0"/>
    <x v="3"/>
    <x v="2"/>
    <x v="2"/>
    <x v="0"/>
  </r>
  <r>
    <n v="1250"/>
    <x v="2"/>
    <n v="0"/>
    <x v="1"/>
    <x v="2"/>
    <x v="0"/>
    <x v="0"/>
  </r>
  <r>
    <n v="1962"/>
    <x v="0"/>
    <n v="0"/>
    <x v="0"/>
    <x v="2"/>
    <x v="0"/>
    <x v="0"/>
  </r>
  <r>
    <n v="984"/>
    <x v="0"/>
    <n v="0"/>
    <x v="0"/>
    <x v="1"/>
    <x v="2"/>
    <x v="0"/>
  </r>
  <r>
    <n v="204"/>
    <x v="0"/>
    <n v="0"/>
    <x v="4"/>
    <x v="2"/>
    <x v="1"/>
    <x v="0"/>
  </r>
  <r>
    <n v="1924"/>
    <x v="1"/>
    <n v="0"/>
    <x v="0"/>
    <x v="0"/>
    <x v="0"/>
    <x v="0"/>
  </r>
  <r>
    <n v="1192"/>
    <x v="1"/>
    <n v="0"/>
    <x v="2"/>
    <x v="2"/>
    <x v="2"/>
    <x v="0"/>
  </r>
  <r>
    <n v="844"/>
    <x v="1"/>
    <n v="0"/>
    <x v="2"/>
    <x v="1"/>
    <x v="2"/>
    <x v="0"/>
  </r>
  <r>
    <n v="1268"/>
    <x v="1"/>
    <n v="0"/>
    <x v="4"/>
    <x v="1"/>
    <x v="1"/>
    <x v="0"/>
  </r>
  <r>
    <n v="823"/>
    <x v="0"/>
    <n v="0"/>
    <x v="1"/>
    <x v="2"/>
    <x v="2"/>
    <x v="0"/>
  </r>
  <r>
    <n v="1003"/>
    <x v="2"/>
    <n v="0"/>
    <x v="3"/>
    <x v="0"/>
    <x v="0"/>
    <x v="0"/>
  </r>
  <r>
    <n v="176"/>
    <x v="0"/>
    <n v="0"/>
    <x v="2"/>
    <x v="1"/>
    <x v="2"/>
    <x v="0"/>
  </r>
  <r>
    <n v="412"/>
    <x v="1"/>
    <n v="0"/>
    <x v="3"/>
    <x v="0"/>
    <x v="0"/>
    <x v="0"/>
  </r>
  <r>
    <n v="1255"/>
    <x v="0"/>
    <n v="0"/>
    <x v="1"/>
    <x v="2"/>
    <x v="2"/>
    <x v="0"/>
  </r>
  <r>
    <n v="1007"/>
    <x v="2"/>
    <n v="0"/>
    <x v="3"/>
    <x v="1"/>
    <x v="2"/>
    <x v="0"/>
  </r>
  <r>
    <n v="458"/>
    <x v="1"/>
    <n v="0"/>
    <x v="0"/>
    <x v="2"/>
    <x v="2"/>
    <x v="0"/>
  </r>
  <r>
    <n v="1484"/>
    <x v="2"/>
    <n v="0"/>
    <x v="0"/>
    <x v="1"/>
    <x v="1"/>
    <x v="0"/>
  </r>
  <r>
    <n v="471"/>
    <x v="1"/>
    <n v="0"/>
    <x v="1"/>
    <x v="2"/>
    <x v="2"/>
    <x v="0"/>
  </r>
  <r>
    <n v="666"/>
    <x v="1"/>
    <n v="0"/>
    <x v="1"/>
    <x v="1"/>
    <x v="1"/>
    <x v="0"/>
  </r>
  <r>
    <n v="1898"/>
    <x v="1"/>
    <n v="0"/>
    <x v="3"/>
    <x v="0"/>
    <x v="0"/>
    <x v="0"/>
  </r>
  <r>
    <n v="1417"/>
    <x v="1"/>
    <n v="0"/>
    <x v="1"/>
    <x v="0"/>
    <x v="0"/>
    <x v="0"/>
  </r>
  <r>
    <n v="431"/>
    <x v="2"/>
    <n v="0"/>
    <x v="3"/>
    <x v="0"/>
    <x v="0"/>
    <x v="0"/>
  </r>
  <r>
    <n v="323"/>
    <x v="2"/>
    <n v="0"/>
    <x v="0"/>
    <x v="1"/>
    <x v="2"/>
    <x v="0"/>
  </r>
  <r>
    <n v="1965"/>
    <x v="1"/>
    <n v="0"/>
    <x v="1"/>
    <x v="0"/>
    <x v="0"/>
    <x v="0"/>
  </r>
  <r>
    <n v="1816"/>
    <x v="1"/>
    <n v="0"/>
    <x v="1"/>
    <x v="0"/>
    <x v="0"/>
    <x v="0"/>
  </r>
  <r>
    <n v="1544"/>
    <x v="1"/>
    <n v="0"/>
    <x v="2"/>
    <x v="2"/>
    <x v="2"/>
    <x v="0"/>
  </r>
  <r>
    <n v="439"/>
    <x v="1"/>
    <n v="0"/>
    <x v="0"/>
    <x v="0"/>
    <x v="0"/>
    <x v="0"/>
  </r>
  <r>
    <n v="500"/>
    <x v="2"/>
    <n v="0"/>
    <x v="3"/>
    <x v="2"/>
    <x v="2"/>
    <x v="0"/>
  </r>
  <r>
    <n v="498"/>
    <x v="1"/>
    <n v="0"/>
    <x v="0"/>
    <x v="0"/>
    <x v="0"/>
    <x v="0"/>
  </r>
  <r>
    <n v="645"/>
    <x v="1"/>
    <n v="0"/>
    <x v="2"/>
    <x v="2"/>
    <x v="0"/>
    <x v="0"/>
  </r>
  <r>
    <n v="1460"/>
    <x v="2"/>
    <n v="0"/>
    <x v="1"/>
    <x v="1"/>
    <x v="2"/>
    <x v="0"/>
  </r>
  <r>
    <n v="77"/>
    <x v="0"/>
    <n v="0"/>
    <x v="0"/>
    <x v="1"/>
    <x v="2"/>
    <x v="0"/>
  </r>
  <r>
    <n v="260"/>
    <x v="1"/>
    <n v="0"/>
    <x v="1"/>
    <x v="0"/>
    <x v="0"/>
    <x v="0"/>
  </r>
  <r>
    <n v="112"/>
    <x v="4"/>
    <n v="0"/>
    <x v="1"/>
    <x v="0"/>
    <x v="0"/>
    <x v="0"/>
  </r>
  <r>
    <n v="1254"/>
    <x v="4"/>
    <n v="0"/>
    <x v="1"/>
    <x v="0"/>
    <x v="0"/>
    <x v="0"/>
  </r>
  <r>
    <n v="303"/>
    <x v="2"/>
    <n v="0"/>
    <x v="1"/>
    <x v="2"/>
    <x v="2"/>
    <x v="0"/>
  </r>
  <r>
    <n v="192"/>
    <x v="2"/>
    <n v="0"/>
    <x v="1"/>
    <x v="0"/>
    <x v="0"/>
    <x v="0"/>
  </r>
  <r>
    <n v="362"/>
    <x v="1"/>
    <n v="0"/>
    <x v="2"/>
    <x v="0"/>
    <x v="0"/>
    <x v="0"/>
  </r>
  <r>
    <n v="460"/>
    <x v="0"/>
    <n v="0"/>
    <x v="3"/>
    <x v="1"/>
    <x v="1"/>
    <x v="0"/>
  </r>
  <r>
    <n v="679"/>
    <x v="1"/>
    <n v="0"/>
    <x v="0"/>
    <x v="2"/>
    <x v="2"/>
    <x v="0"/>
  </r>
  <r>
    <n v="1048"/>
    <x v="4"/>
    <n v="0"/>
    <x v="3"/>
    <x v="2"/>
    <x v="2"/>
    <x v="0"/>
  </r>
  <r>
    <n v="604"/>
    <x v="1"/>
    <n v="0"/>
    <x v="2"/>
    <x v="0"/>
    <x v="0"/>
    <x v="0"/>
  </r>
  <r>
    <n v="612"/>
    <x v="1"/>
    <n v="0"/>
    <x v="4"/>
    <x v="1"/>
    <x v="2"/>
    <x v="0"/>
  </r>
  <r>
    <n v="21"/>
    <x v="1"/>
    <n v="0"/>
    <x v="3"/>
    <x v="1"/>
    <x v="1"/>
    <x v="0"/>
  </r>
  <r>
    <n v="1670"/>
    <x v="1"/>
    <n v="0"/>
    <x v="0"/>
    <x v="1"/>
    <x v="1"/>
    <x v="0"/>
  </r>
  <r>
    <n v="105"/>
    <x v="0"/>
    <n v="0"/>
    <x v="1"/>
    <x v="0"/>
    <x v="0"/>
    <x v="0"/>
  </r>
  <r>
    <n v="940"/>
    <x v="4"/>
    <n v="0"/>
    <x v="1"/>
    <x v="1"/>
    <x v="2"/>
    <x v="0"/>
  </r>
  <r>
    <n v="936"/>
    <x v="0"/>
    <n v="0"/>
    <x v="3"/>
    <x v="0"/>
    <x v="0"/>
    <x v="0"/>
  </r>
  <r>
    <n v="1545"/>
    <x v="1"/>
    <n v="0"/>
    <x v="1"/>
    <x v="0"/>
    <x v="0"/>
    <x v="0"/>
  </r>
  <r>
    <n v="2051"/>
    <x v="0"/>
    <n v="0"/>
    <x v="0"/>
    <x v="2"/>
    <x v="3"/>
    <x v="0"/>
  </r>
  <r>
    <n v="1587"/>
    <x v="0"/>
    <n v="0"/>
    <x v="0"/>
    <x v="0"/>
    <x v="0"/>
    <x v="0"/>
  </r>
  <r>
    <n v="1638"/>
    <x v="0"/>
    <n v="0"/>
    <x v="3"/>
    <x v="2"/>
    <x v="2"/>
    <x v="0"/>
  </r>
  <r>
    <n v="1799"/>
    <x v="1"/>
    <n v="0"/>
    <x v="1"/>
    <x v="2"/>
    <x v="2"/>
    <x v="0"/>
  </r>
  <r>
    <n v="194"/>
    <x v="1"/>
    <n v="0"/>
    <x v="1"/>
    <x v="0"/>
    <x v="0"/>
    <x v="0"/>
  </r>
  <r>
    <n v="378"/>
    <x v="0"/>
    <n v="0"/>
    <x v="0"/>
    <x v="2"/>
    <x v="2"/>
    <x v="0"/>
  </r>
  <r>
    <n v="1259"/>
    <x v="1"/>
    <n v="0"/>
    <x v="3"/>
    <x v="1"/>
    <x v="3"/>
    <x v="0"/>
  </r>
  <r>
    <n v="1502"/>
    <x v="1"/>
    <n v="0"/>
    <x v="0"/>
    <x v="2"/>
    <x v="0"/>
    <x v="0"/>
  </r>
  <r>
    <n v="423"/>
    <x v="1"/>
    <n v="0"/>
    <x v="0"/>
    <x v="2"/>
    <x v="2"/>
    <x v="0"/>
  </r>
  <r>
    <n v="909"/>
    <x v="0"/>
    <n v="0"/>
    <x v="1"/>
    <x v="2"/>
    <x v="1"/>
    <x v="0"/>
  </r>
  <r>
    <n v="507"/>
    <x v="3"/>
    <n v="0"/>
    <x v="0"/>
    <x v="1"/>
    <x v="2"/>
    <x v="0"/>
  </r>
  <r>
    <n v="102"/>
    <x v="0"/>
    <n v="0"/>
    <x v="0"/>
    <x v="0"/>
    <x v="0"/>
    <x v="0"/>
  </r>
  <r>
    <n v="497"/>
    <x v="1"/>
    <n v="0"/>
    <x v="3"/>
    <x v="1"/>
    <x v="2"/>
    <x v="0"/>
  </r>
  <r>
    <n v="1782"/>
    <x v="0"/>
    <n v="0"/>
    <x v="3"/>
    <x v="2"/>
    <x v="2"/>
    <x v="0"/>
  </r>
  <r>
    <n v="1447"/>
    <x v="1"/>
    <n v="0"/>
    <x v="1"/>
    <x v="2"/>
    <x v="2"/>
    <x v="0"/>
  </r>
  <r>
    <n v="885"/>
    <x v="1"/>
    <n v="0"/>
    <x v="2"/>
    <x v="2"/>
    <x v="0"/>
    <x v="0"/>
  </r>
  <r>
    <n v="1757"/>
    <x v="2"/>
    <n v="0"/>
    <x v="0"/>
    <x v="0"/>
    <x v="0"/>
    <x v="0"/>
  </r>
  <r>
    <n v="620"/>
    <x v="0"/>
    <n v="0"/>
    <x v="1"/>
    <x v="0"/>
    <x v="0"/>
    <x v="0"/>
  </r>
  <r>
    <n v="574"/>
    <x v="2"/>
    <n v="0"/>
    <x v="3"/>
    <x v="1"/>
    <x v="3"/>
    <x v="0"/>
  </r>
  <r>
    <n v="655"/>
    <x v="1"/>
    <n v="0"/>
    <x v="0"/>
    <x v="1"/>
    <x v="1"/>
    <x v="0"/>
  </r>
  <r>
    <n v="879"/>
    <x v="1"/>
    <n v="0"/>
    <x v="2"/>
    <x v="2"/>
    <x v="0"/>
    <x v="0"/>
  </r>
  <r>
    <n v="1787"/>
    <x v="0"/>
    <n v="0"/>
    <x v="3"/>
    <x v="2"/>
    <x v="1"/>
    <x v="0"/>
  </r>
  <r>
    <n v="526"/>
    <x v="0"/>
    <n v="0"/>
    <x v="0"/>
    <x v="1"/>
    <x v="0"/>
    <x v="0"/>
  </r>
  <r>
    <n v="1826"/>
    <x v="0"/>
    <n v="0"/>
    <x v="0"/>
    <x v="2"/>
    <x v="2"/>
    <x v="0"/>
  </r>
  <r>
    <n v="1940"/>
    <x v="0"/>
    <n v="0"/>
    <x v="3"/>
    <x v="1"/>
    <x v="1"/>
    <x v="0"/>
  </r>
  <r>
    <n v="1945"/>
    <x v="0"/>
    <n v="0"/>
    <x v="0"/>
    <x v="2"/>
    <x v="2"/>
    <x v="0"/>
  </r>
  <r>
    <n v="2046"/>
    <x v="2"/>
    <n v="0"/>
    <x v="1"/>
    <x v="0"/>
    <x v="0"/>
    <x v="0"/>
  </r>
  <r>
    <n v="996"/>
    <x v="2"/>
    <n v="0"/>
    <x v="0"/>
    <x v="1"/>
    <x v="1"/>
    <x v="0"/>
  </r>
  <r>
    <n v="1822"/>
    <x v="0"/>
    <n v="0"/>
    <x v="1"/>
    <x v="1"/>
    <x v="2"/>
    <x v="0"/>
  </r>
  <r>
    <n v="2037"/>
    <x v="0"/>
    <n v="0"/>
    <x v="1"/>
    <x v="1"/>
    <x v="2"/>
    <x v="0"/>
  </r>
  <r>
    <n v="859"/>
    <x v="1"/>
    <n v="0"/>
    <x v="0"/>
    <x v="1"/>
    <x v="2"/>
    <x v="0"/>
  </r>
  <r>
    <n v="1954"/>
    <x v="1"/>
    <n v="0"/>
    <x v="1"/>
    <x v="2"/>
    <x v="2"/>
    <x v="0"/>
  </r>
  <r>
    <n v="869"/>
    <x v="1"/>
    <n v="0"/>
    <x v="3"/>
    <x v="1"/>
    <x v="2"/>
    <x v="0"/>
  </r>
  <r>
    <n v="864"/>
    <x v="2"/>
    <n v="0"/>
    <x v="1"/>
    <x v="1"/>
    <x v="2"/>
    <x v="0"/>
  </r>
  <r>
    <n v="84"/>
    <x v="4"/>
    <n v="0"/>
    <x v="1"/>
    <x v="1"/>
    <x v="3"/>
    <x v="0"/>
  </r>
  <r>
    <n v="1136"/>
    <x v="1"/>
    <n v="0"/>
    <x v="2"/>
    <x v="2"/>
    <x v="0"/>
    <x v="0"/>
  </r>
  <r>
    <n v="14"/>
    <x v="0"/>
    <n v="0"/>
    <x v="1"/>
    <x v="2"/>
    <x v="2"/>
    <x v="0"/>
  </r>
  <r>
    <n v="543"/>
    <x v="2"/>
    <n v="0"/>
    <x v="1"/>
    <x v="2"/>
    <x v="0"/>
    <x v="0"/>
  </r>
  <r>
    <n v="221"/>
    <x v="1"/>
    <n v="0"/>
    <x v="1"/>
    <x v="2"/>
    <x v="2"/>
    <x v="0"/>
  </r>
  <r>
    <n v="1445"/>
    <x v="3"/>
    <n v="0"/>
    <x v="2"/>
    <x v="2"/>
    <x v="1"/>
    <x v="0"/>
  </r>
  <r>
    <n v="1749"/>
    <x v="1"/>
    <n v="0"/>
    <x v="1"/>
    <x v="2"/>
    <x v="2"/>
    <x v="0"/>
  </r>
  <r>
    <n v="1425"/>
    <x v="0"/>
    <n v="0"/>
    <x v="0"/>
    <x v="0"/>
    <x v="0"/>
    <x v="0"/>
  </r>
  <r>
    <n v="437"/>
    <x v="1"/>
    <n v="0"/>
    <x v="1"/>
    <x v="0"/>
    <x v="0"/>
    <x v="0"/>
  </r>
  <r>
    <n v="1707"/>
    <x v="3"/>
    <n v="0"/>
    <x v="1"/>
    <x v="2"/>
    <x v="2"/>
    <x v="0"/>
  </r>
  <r>
    <n v="2054"/>
    <x v="1"/>
    <n v="0"/>
    <x v="0"/>
    <x v="0"/>
    <x v="0"/>
    <x v="0"/>
  </r>
  <r>
    <n v="758"/>
    <x v="3"/>
    <n v="0"/>
    <x v="2"/>
    <x v="2"/>
    <x v="2"/>
    <x v="0"/>
  </r>
  <r>
    <n v="1448"/>
    <x v="0"/>
    <n v="0"/>
    <x v="4"/>
    <x v="2"/>
    <x v="0"/>
    <x v="0"/>
  </r>
  <r>
    <n v="887"/>
    <x v="2"/>
    <n v="0"/>
    <x v="1"/>
    <x v="2"/>
    <x v="2"/>
    <x v="0"/>
  </r>
  <r>
    <n v="1446"/>
    <x v="1"/>
    <n v="0"/>
    <x v="4"/>
    <x v="2"/>
    <x v="2"/>
    <x v="0"/>
  </r>
  <r>
    <n v="912"/>
    <x v="1"/>
    <n v="0"/>
    <x v="2"/>
    <x v="1"/>
    <x v="3"/>
    <x v="0"/>
  </r>
  <r>
    <n v="916"/>
    <x v="1"/>
    <n v="0"/>
    <x v="0"/>
    <x v="0"/>
    <x v="0"/>
    <x v="0"/>
  </r>
  <r>
    <n v="1739"/>
    <x v="1"/>
    <n v="0"/>
    <x v="1"/>
    <x v="2"/>
    <x v="2"/>
    <x v="0"/>
  </r>
  <r>
    <n v="465"/>
    <x v="3"/>
    <n v="0"/>
    <x v="2"/>
    <x v="1"/>
    <x v="1"/>
    <x v="0"/>
  </r>
  <r>
    <n v="854"/>
    <x v="1"/>
    <n v="0"/>
    <x v="2"/>
    <x v="0"/>
    <x v="0"/>
    <x v="0"/>
  </r>
  <r>
    <n v="815"/>
    <x v="2"/>
    <n v="0"/>
    <x v="1"/>
    <x v="2"/>
    <x v="0"/>
    <x v="0"/>
  </r>
  <r>
    <n v="2053"/>
    <x v="1"/>
    <n v="0"/>
    <x v="3"/>
    <x v="2"/>
    <x v="2"/>
    <x v="0"/>
  </r>
  <r>
    <n v="126"/>
    <x v="2"/>
    <n v="0"/>
    <x v="0"/>
    <x v="2"/>
    <x v="2"/>
    <x v="0"/>
  </r>
  <r>
    <n v="288"/>
    <x v="2"/>
    <n v="0"/>
    <x v="0"/>
    <x v="1"/>
    <x v="2"/>
    <x v="0"/>
  </r>
  <r>
    <n v="1211"/>
    <x v="1"/>
    <n v="0"/>
    <x v="0"/>
    <x v="1"/>
    <x v="3"/>
    <x v="0"/>
  </r>
  <r>
    <n v="1217"/>
    <x v="2"/>
    <n v="0"/>
    <x v="3"/>
    <x v="2"/>
    <x v="2"/>
    <x v="0"/>
  </r>
  <r>
    <n v="910"/>
    <x v="1"/>
    <n v="0"/>
    <x v="3"/>
    <x v="1"/>
    <x v="2"/>
    <x v="0"/>
  </r>
  <r>
    <n v="1915"/>
    <x v="1"/>
    <n v="0"/>
    <x v="2"/>
    <x v="2"/>
    <x v="0"/>
    <x v="0"/>
  </r>
  <r>
    <n v="827"/>
    <x v="0"/>
    <n v="0"/>
    <x v="3"/>
    <x v="2"/>
    <x v="2"/>
    <x v="0"/>
  </r>
  <r>
    <n v="1647"/>
    <x v="1"/>
    <n v="0"/>
    <x v="1"/>
    <x v="2"/>
    <x v="0"/>
    <x v="0"/>
  </r>
  <r>
    <n v="1682"/>
    <x v="0"/>
    <n v="0"/>
    <x v="0"/>
    <x v="2"/>
    <x v="1"/>
    <x v="0"/>
  </r>
  <r>
    <n v="340"/>
    <x v="0"/>
    <n v="0"/>
    <x v="3"/>
    <x v="2"/>
    <x v="2"/>
    <x v="0"/>
  </r>
  <r>
    <n v="347"/>
    <x v="0"/>
    <n v="0"/>
    <x v="3"/>
    <x v="0"/>
    <x v="0"/>
    <x v="0"/>
  </r>
  <r>
    <n v="1436"/>
    <x v="0"/>
    <n v="0"/>
    <x v="0"/>
    <x v="2"/>
    <x v="1"/>
    <x v="0"/>
  </r>
  <r>
    <n v="699"/>
    <x v="0"/>
    <n v="0"/>
    <x v="3"/>
    <x v="1"/>
    <x v="2"/>
    <x v="0"/>
  </r>
  <r>
    <n v="664"/>
    <x v="2"/>
    <n v="0"/>
    <x v="0"/>
    <x v="2"/>
    <x v="2"/>
    <x v="0"/>
  </r>
  <r>
    <n v="1886"/>
    <x v="0"/>
    <n v="0"/>
    <x v="3"/>
    <x v="2"/>
    <x v="0"/>
    <x v="0"/>
  </r>
  <r>
    <n v="1461"/>
    <x v="1"/>
    <n v="0"/>
    <x v="3"/>
    <x v="0"/>
    <x v="0"/>
    <x v="0"/>
  </r>
  <r>
    <n v="705"/>
    <x v="3"/>
    <n v="0"/>
    <x v="1"/>
    <x v="2"/>
    <x v="2"/>
    <x v="0"/>
  </r>
  <r>
    <n v="1411"/>
    <x v="0"/>
    <n v="0"/>
    <x v="1"/>
    <x v="0"/>
    <x v="0"/>
    <x v="0"/>
  </r>
  <r>
    <n v="1607"/>
    <x v="1"/>
    <n v="0"/>
    <x v="0"/>
    <x v="2"/>
    <x v="1"/>
    <x v="0"/>
  </r>
  <r>
    <n v="575"/>
    <x v="2"/>
    <n v="0"/>
    <x v="1"/>
    <x v="2"/>
    <x v="0"/>
    <x v="0"/>
  </r>
  <r>
    <n v="995"/>
    <x v="1"/>
    <n v="0"/>
    <x v="2"/>
    <x v="0"/>
    <x v="0"/>
    <x v="0"/>
  </r>
  <r>
    <n v="349"/>
    <x v="1"/>
    <n v="0"/>
    <x v="3"/>
    <x v="1"/>
    <x v="2"/>
    <x v="0"/>
  </r>
  <r>
    <n v="939"/>
    <x v="1"/>
    <n v="0"/>
    <x v="0"/>
    <x v="0"/>
    <x v="0"/>
    <x v="0"/>
  </r>
  <r>
    <n v="1281"/>
    <x v="1"/>
    <n v="0"/>
    <x v="1"/>
    <x v="0"/>
    <x v="0"/>
    <x v="0"/>
  </r>
  <r>
    <n v="242"/>
    <x v="1"/>
    <n v="0"/>
    <x v="1"/>
    <x v="0"/>
    <x v="0"/>
    <x v="0"/>
  </r>
  <r>
    <n v="847"/>
    <x v="1"/>
    <n v="0"/>
    <x v="3"/>
    <x v="2"/>
    <x v="2"/>
    <x v="0"/>
  </r>
  <r>
    <n v="652"/>
    <x v="0"/>
    <n v="0"/>
    <x v="3"/>
    <x v="0"/>
    <x v="0"/>
    <x v="0"/>
  </r>
  <r>
    <n v="1651"/>
    <x v="0"/>
    <n v="0"/>
    <x v="0"/>
    <x v="2"/>
    <x v="1"/>
    <x v="0"/>
  </r>
  <r>
    <n v="1415"/>
    <x v="1"/>
    <n v="0"/>
    <x v="1"/>
    <x v="2"/>
    <x v="2"/>
    <x v="0"/>
  </r>
  <r>
    <n v="686"/>
    <x v="1"/>
    <n v="0"/>
    <x v="1"/>
    <x v="2"/>
    <x v="2"/>
    <x v="0"/>
  </r>
  <r>
    <n v="338"/>
    <x v="1"/>
    <n v="0"/>
    <x v="0"/>
    <x v="2"/>
    <x v="2"/>
    <x v="0"/>
  </r>
  <r>
    <n v="671"/>
    <x v="0"/>
    <n v="0"/>
    <x v="0"/>
    <x v="2"/>
    <x v="2"/>
    <x v="0"/>
  </r>
  <r>
    <n v="784"/>
    <x v="3"/>
    <n v="0"/>
    <x v="2"/>
    <x v="0"/>
    <x v="0"/>
    <x v="0"/>
  </r>
  <r>
    <n v="665"/>
    <x v="0"/>
    <n v="0"/>
    <x v="0"/>
    <x v="0"/>
    <x v="0"/>
    <x v="0"/>
  </r>
  <r>
    <n v="143"/>
    <x v="1"/>
    <n v="0"/>
    <x v="2"/>
    <x v="2"/>
    <x v="1"/>
    <x v="0"/>
  </r>
  <r>
    <n v="1680"/>
    <x v="3"/>
    <n v="0"/>
    <x v="2"/>
    <x v="0"/>
    <x v="0"/>
    <x v="0"/>
  </r>
  <r>
    <n v="1269"/>
    <x v="3"/>
    <n v="0"/>
    <x v="1"/>
    <x v="0"/>
    <x v="0"/>
    <x v="0"/>
  </r>
  <r>
    <n v="1601"/>
    <x v="0"/>
    <n v="0"/>
    <x v="3"/>
    <x v="2"/>
    <x v="2"/>
    <x v="0"/>
  </r>
  <r>
    <n v="776"/>
    <x v="2"/>
    <n v="0"/>
    <x v="0"/>
    <x v="2"/>
    <x v="0"/>
    <x v="1"/>
  </r>
  <r>
    <n v="1402"/>
    <x v="0"/>
    <n v="0"/>
    <x v="1"/>
    <x v="0"/>
    <x v="0"/>
    <x v="1"/>
  </r>
  <r>
    <n v="729"/>
    <x v="0"/>
    <n v="0"/>
    <x v="0"/>
    <x v="2"/>
    <x v="2"/>
    <x v="1"/>
  </r>
  <r>
    <n v="327"/>
    <x v="0"/>
    <n v="0"/>
    <x v="1"/>
    <x v="2"/>
    <x v="2"/>
    <x v="1"/>
  </r>
  <r>
    <n v="1621"/>
    <x v="0"/>
    <n v="0"/>
    <x v="4"/>
    <x v="2"/>
    <x v="0"/>
    <x v="1"/>
  </r>
  <r>
    <n v="1080"/>
    <x v="2"/>
    <n v="0"/>
    <x v="0"/>
    <x v="1"/>
    <x v="3"/>
    <x v="1"/>
  </r>
  <r>
    <n v="1520"/>
    <x v="2"/>
    <n v="0"/>
    <x v="0"/>
    <x v="1"/>
    <x v="2"/>
    <x v="1"/>
  </r>
  <r>
    <n v="107"/>
    <x v="0"/>
    <n v="0"/>
    <x v="1"/>
    <x v="1"/>
    <x v="3"/>
    <x v="1"/>
  </r>
  <r>
    <n v="2026"/>
    <x v="4"/>
    <n v="0"/>
    <x v="0"/>
    <x v="1"/>
    <x v="2"/>
    <x v="1"/>
  </r>
  <r>
    <n v="1233"/>
    <x v="4"/>
    <n v="0"/>
    <x v="0"/>
    <x v="1"/>
    <x v="2"/>
    <x v="1"/>
  </r>
  <r>
    <n v="98"/>
    <x v="1"/>
    <n v="0"/>
    <x v="0"/>
    <x v="0"/>
    <x v="0"/>
    <x v="1"/>
  </r>
  <r>
    <n v="120"/>
    <x v="2"/>
    <n v="0"/>
    <x v="0"/>
    <x v="0"/>
    <x v="0"/>
    <x v="1"/>
  </r>
  <r>
    <n v="1252"/>
    <x v="1"/>
    <n v="0"/>
    <x v="1"/>
    <x v="0"/>
    <x v="0"/>
    <x v="1"/>
  </r>
  <r>
    <n v="2"/>
    <x v="2"/>
    <n v="0"/>
    <x v="2"/>
    <x v="2"/>
    <x v="2"/>
    <x v="1"/>
  </r>
  <r>
    <n v="12"/>
    <x v="0"/>
    <n v="0"/>
    <x v="1"/>
    <x v="0"/>
    <x v="0"/>
    <x v="1"/>
  </r>
  <r>
    <n v="1423"/>
    <x v="4"/>
    <n v="0"/>
    <x v="1"/>
    <x v="2"/>
    <x v="2"/>
    <x v="1"/>
  </r>
  <r>
    <n v="724"/>
    <x v="0"/>
    <n v="0"/>
    <x v="0"/>
    <x v="0"/>
    <x v="0"/>
    <x v="1"/>
  </r>
  <r>
    <n v="733"/>
    <x v="1"/>
    <n v="0"/>
    <x v="3"/>
    <x v="1"/>
    <x v="1"/>
    <x v="1"/>
  </r>
  <r>
    <n v="74"/>
    <x v="0"/>
    <n v="0"/>
    <x v="4"/>
    <x v="2"/>
    <x v="2"/>
    <x v="1"/>
  </r>
  <r>
    <n v="227"/>
    <x v="0"/>
    <n v="0"/>
    <x v="1"/>
    <x v="1"/>
    <x v="2"/>
    <x v="1"/>
  </r>
  <r>
    <n v="1349"/>
    <x v="0"/>
    <n v="0"/>
    <x v="1"/>
    <x v="1"/>
    <x v="2"/>
    <x v="1"/>
  </r>
  <r>
    <n v="252"/>
    <x v="1"/>
    <n v="0"/>
    <x v="1"/>
    <x v="2"/>
    <x v="2"/>
    <x v="1"/>
  </r>
  <r>
    <n v="2035"/>
    <x v="1"/>
    <n v="0"/>
    <x v="1"/>
    <x v="2"/>
    <x v="1"/>
    <x v="1"/>
  </r>
  <r>
    <n v="845"/>
    <x v="0"/>
    <n v="0"/>
    <x v="1"/>
    <x v="0"/>
    <x v="0"/>
    <x v="1"/>
  </r>
  <r>
    <n v="1298"/>
    <x v="1"/>
    <n v="0"/>
    <x v="3"/>
    <x v="0"/>
    <x v="0"/>
    <x v="1"/>
  </r>
  <r>
    <n v="76"/>
    <x v="1"/>
    <n v="0"/>
    <x v="0"/>
    <x v="1"/>
    <x v="2"/>
    <x v="1"/>
  </r>
  <r>
    <n v="1120"/>
    <x v="1"/>
    <n v="0"/>
    <x v="0"/>
    <x v="1"/>
    <x v="2"/>
    <x v="1"/>
  </r>
  <r>
    <n v="1355"/>
    <x v="0"/>
    <n v="0"/>
    <x v="3"/>
    <x v="1"/>
    <x v="2"/>
    <x v="1"/>
  </r>
  <r>
    <n v="384"/>
    <x v="1"/>
    <n v="0"/>
    <x v="1"/>
    <x v="1"/>
    <x v="2"/>
    <x v="1"/>
  </r>
  <r>
    <n v="1681"/>
    <x v="1"/>
    <n v="0"/>
    <x v="1"/>
    <x v="1"/>
    <x v="2"/>
    <x v="1"/>
  </r>
  <r>
    <n v="786"/>
    <x v="1"/>
    <n v="0"/>
    <x v="1"/>
    <x v="0"/>
    <x v="0"/>
    <x v="1"/>
  </r>
  <r>
    <n v="804"/>
    <x v="1"/>
    <n v="0"/>
    <x v="0"/>
    <x v="0"/>
    <x v="0"/>
    <x v="1"/>
  </r>
  <r>
    <n v="1228"/>
    <x v="2"/>
    <n v="0"/>
    <x v="0"/>
    <x v="1"/>
    <x v="2"/>
    <x v="1"/>
  </r>
  <r>
    <n v="1574"/>
    <x v="1"/>
    <n v="0"/>
    <x v="0"/>
    <x v="2"/>
    <x v="2"/>
    <x v="1"/>
  </r>
  <r>
    <n v="1394"/>
    <x v="0"/>
    <n v="0"/>
    <x v="2"/>
    <x v="2"/>
    <x v="0"/>
    <x v="1"/>
  </r>
  <r>
    <n v="781"/>
    <x v="1"/>
    <n v="0"/>
    <x v="2"/>
    <x v="0"/>
    <x v="0"/>
    <x v="1"/>
  </r>
  <r>
    <n v="1163"/>
    <x v="1"/>
    <n v="0"/>
    <x v="2"/>
    <x v="2"/>
    <x v="0"/>
    <x v="1"/>
  </r>
  <r>
    <n v="813"/>
    <x v="2"/>
    <n v="0"/>
    <x v="0"/>
    <x v="2"/>
    <x v="2"/>
    <x v="1"/>
  </r>
  <r>
    <n v="1499"/>
    <x v="1"/>
    <n v="0"/>
    <x v="1"/>
    <x v="1"/>
    <x v="2"/>
    <x v="1"/>
  </r>
  <r>
    <n v="1909"/>
    <x v="0"/>
    <n v="0"/>
    <x v="1"/>
    <x v="2"/>
    <x v="2"/>
    <x v="1"/>
  </r>
  <r>
    <n v="231"/>
    <x v="1"/>
    <n v="0"/>
    <x v="4"/>
    <x v="0"/>
    <x v="0"/>
    <x v="1"/>
  </r>
  <r>
    <n v="150"/>
    <x v="3"/>
    <n v="0"/>
    <x v="2"/>
    <x v="2"/>
    <x v="2"/>
    <x v="1"/>
  </r>
  <r>
    <n v="1736"/>
    <x v="1"/>
    <n v="0"/>
    <x v="2"/>
    <x v="0"/>
    <x v="0"/>
    <x v="1"/>
  </r>
  <r>
    <n v="894"/>
    <x v="0"/>
    <n v="0"/>
    <x v="1"/>
    <x v="2"/>
    <x v="2"/>
    <x v="1"/>
  </r>
  <r>
    <n v="1999"/>
    <x v="0"/>
    <n v="0"/>
    <x v="1"/>
    <x v="2"/>
    <x v="2"/>
    <x v="1"/>
  </r>
  <r>
    <n v="1469"/>
    <x v="1"/>
    <n v="0"/>
    <x v="1"/>
    <x v="0"/>
    <x v="0"/>
    <x v="1"/>
  </r>
  <r>
    <n v="1598"/>
    <x v="0"/>
    <n v="0"/>
    <x v="3"/>
    <x v="2"/>
    <x v="2"/>
    <x v="1"/>
  </r>
  <r>
    <n v="641"/>
    <x v="1"/>
    <n v="0"/>
    <x v="3"/>
    <x v="2"/>
    <x v="1"/>
    <x v="1"/>
  </r>
  <r>
    <n v="997"/>
    <x v="2"/>
    <n v="0"/>
    <x v="3"/>
    <x v="1"/>
    <x v="2"/>
    <x v="1"/>
  </r>
  <r>
    <n v="200"/>
    <x v="0"/>
    <n v="0"/>
    <x v="0"/>
    <x v="2"/>
    <x v="2"/>
    <x v="1"/>
  </r>
  <r>
    <n v="1654"/>
    <x v="0"/>
    <n v="0"/>
    <x v="1"/>
    <x v="2"/>
    <x v="0"/>
    <x v="1"/>
  </r>
  <r>
    <n v="843"/>
    <x v="0"/>
    <n v="0"/>
    <x v="3"/>
    <x v="2"/>
    <x v="2"/>
    <x v="1"/>
  </r>
  <r>
    <n v="68"/>
    <x v="0"/>
    <n v="0"/>
    <x v="4"/>
    <x v="1"/>
    <x v="2"/>
    <x v="1"/>
  </r>
  <r>
    <n v="800"/>
    <x v="1"/>
    <n v="0"/>
    <x v="2"/>
    <x v="2"/>
    <x v="2"/>
    <x v="1"/>
  </r>
  <r>
    <n v="1659"/>
    <x v="0"/>
    <n v="0"/>
    <x v="1"/>
    <x v="0"/>
    <x v="0"/>
    <x v="1"/>
  </r>
  <r>
    <n v="1173"/>
    <x v="3"/>
    <n v="0"/>
    <x v="1"/>
    <x v="0"/>
    <x v="0"/>
    <x v="1"/>
  </r>
  <r>
    <n v="1814"/>
    <x v="0"/>
    <n v="0"/>
    <x v="1"/>
    <x v="0"/>
    <x v="0"/>
    <x v="1"/>
  </r>
  <r>
    <n v="1509"/>
    <x v="2"/>
    <n v="0"/>
    <x v="3"/>
    <x v="2"/>
    <x v="2"/>
    <x v="1"/>
  </r>
  <r>
    <n v="305"/>
    <x v="1"/>
    <n v="0"/>
    <x v="0"/>
    <x v="2"/>
    <x v="0"/>
    <x v="1"/>
  </r>
  <r>
    <n v="707"/>
    <x v="1"/>
    <n v="0"/>
    <x v="1"/>
    <x v="2"/>
    <x v="2"/>
    <x v="1"/>
  </r>
  <r>
    <n v="1473"/>
    <x v="2"/>
    <n v="0"/>
    <x v="0"/>
    <x v="2"/>
    <x v="2"/>
    <x v="1"/>
  </r>
  <r>
    <n v="1556"/>
    <x v="0"/>
    <n v="0"/>
    <x v="0"/>
    <x v="0"/>
    <x v="0"/>
    <x v="1"/>
  </r>
  <r>
    <n v="1883"/>
    <x v="1"/>
    <n v="0"/>
    <x v="1"/>
    <x v="0"/>
    <x v="0"/>
    <x v="1"/>
  </r>
  <r>
    <n v="525"/>
    <x v="0"/>
    <n v="0"/>
    <x v="1"/>
    <x v="2"/>
    <x v="2"/>
    <x v="1"/>
  </r>
  <r>
    <n v="1441"/>
    <x v="4"/>
    <n v="0"/>
    <x v="3"/>
    <x v="2"/>
    <x v="2"/>
    <x v="1"/>
  </r>
  <r>
    <n v="1834"/>
    <x v="1"/>
    <n v="0"/>
    <x v="1"/>
    <x v="2"/>
    <x v="2"/>
    <x v="1"/>
  </r>
  <r>
    <n v="1028"/>
    <x v="0"/>
    <n v="0"/>
    <x v="1"/>
    <x v="1"/>
    <x v="2"/>
    <x v="1"/>
  </r>
  <r>
    <n v="897"/>
    <x v="2"/>
    <n v="0"/>
    <x v="1"/>
    <x v="2"/>
    <x v="2"/>
    <x v="1"/>
  </r>
  <r>
    <n v="1644"/>
    <x v="2"/>
    <n v="0"/>
    <x v="4"/>
    <x v="2"/>
    <x v="2"/>
    <x v="1"/>
  </r>
  <r>
    <n v="531"/>
    <x v="0"/>
    <n v="0"/>
    <x v="2"/>
    <x v="1"/>
    <x v="2"/>
    <x v="1"/>
  </r>
  <r>
    <n v="599"/>
    <x v="0"/>
    <n v="0"/>
    <x v="3"/>
    <x v="0"/>
    <x v="0"/>
    <x v="1"/>
  </r>
  <r>
    <n v="481"/>
    <x v="0"/>
    <n v="0"/>
    <x v="0"/>
    <x v="2"/>
    <x v="2"/>
    <x v="1"/>
  </r>
  <r>
    <n v="1756"/>
    <x v="1"/>
    <n v="0"/>
    <x v="1"/>
    <x v="0"/>
    <x v="0"/>
    <x v="1"/>
  </r>
  <r>
    <n v="1289"/>
    <x v="1"/>
    <n v="0"/>
    <x v="1"/>
    <x v="2"/>
    <x v="1"/>
    <x v="1"/>
  </r>
  <r>
    <n v="256"/>
    <x v="1"/>
    <n v="0"/>
    <x v="2"/>
    <x v="2"/>
    <x v="0"/>
    <x v="1"/>
  </r>
  <r>
    <n v="1350"/>
    <x v="0"/>
    <n v="0"/>
    <x v="0"/>
    <x v="0"/>
    <x v="0"/>
    <x v="1"/>
  </r>
  <r>
    <n v="2057"/>
    <x v="1"/>
    <n v="0"/>
    <x v="1"/>
    <x v="0"/>
    <x v="0"/>
    <x v="1"/>
  </r>
  <r>
    <n v="1771"/>
    <x v="1"/>
    <n v="0"/>
    <x v="1"/>
    <x v="1"/>
    <x v="1"/>
    <x v="1"/>
  </r>
  <r>
    <n v="56"/>
    <x v="1"/>
    <n v="0"/>
    <x v="1"/>
    <x v="0"/>
    <x v="0"/>
    <x v="1"/>
  </r>
  <r>
    <n v="430"/>
    <x v="0"/>
    <n v="0"/>
    <x v="0"/>
    <x v="0"/>
    <x v="0"/>
    <x v="1"/>
  </r>
  <r>
    <n v="1934"/>
    <x v="2"/>
    <n v="0"/>
    <x v="0"/>
    <x v="2"/>
    <x v="2"/>
    <x v="1"/>
  </r>
  <r>
    <n v="286"/>
    <x v="0"/>
    <n v="0"/>
    <x v="2"/>
    <x v="0"/>
    <x v="0"/>
    <x v="1"/>
  </r>
  <r>
    <n v="1804"/>
    <x v="0"/>
    <n v="0"/>
    <x v="3"/>
    <x v="1"/>
    <x v="2"/>
    <x v="1"/>
  </r>
  <r>
    <n v="1143"/>
    <x v="1"/>
    <n v="0"/>
    <x v="1"/>
    <x v="1"/>
    <x v="1"/>
    <x v="1"/>
  </r>
  <r>
    <n v="275"/>
    <x v="2"/>
    <n v="0"/>
    <x v="0"/>
    <x v="1"/>
    <x v="1"/>
    <x v="1"/>
  </r>
  <r>
    <n v="1440"/>
    <x v="0"/>
    <n v="0"/>
    <x v="3"/>
    <x v="0"/>
    <x v="0"/>
    <x v="1"/>
  </r>
  <r>
    <n v="269"/>
    <x v="0"/>
    <n v="0"/>
    <x v="1"/>
    <x v="0"/>
    <x v="0"/>
    <x v="1"/>
  </r>
  <r>
    <n v="998"/>
    <x v="1"/>
    <n v="0"/>
    <x v="0"/>
    <x v="2"/>
    <x v="2"/>
    <x v="1"/>
  </r>
  <r>
    <n v="2022"/>
    <x v="0"/>
    <n v="0"/>
    <x v="1"/>
    <x v="0"/>
    <x v="0"/>
    <x v="1"/>
  </r>
  <r>
    <n v="1700"/>
    <x v="0"/>
    <n v="0"/>
    <x v="0"/>
    <x v="1"/>
    <x v="1"/>
    <x v="1"/>
  </r>
  <r>
    <n v="1563"/>
    <x v="0"/>
    <n v="0"/>
    <x v="0"/>
    <x v="2"/>
    <x v="0"/>
    <x v="1"/>
  </r>
  <r>
    <n v="1590"/>
    <x v="1"/>
    <n v="0"/>
    <x v="2"/>
    <x v="1"/>
    <x v="2"/>
    <x v="1"/>
  </r>
  <r>
    <n v="1972"/>
    <x v="0"/>
    <n v="0"/>
    <x v="0"/>
    <x v="2"/>
    <x v="2"/>
    <x v="1"/>
  </r>
  <r>
    <n v="1646"/>
    <x v="3"/>
    <n v="0"/>
    <x v="2"/>
    <x v="0"/>
    <x v="0"/>
    <x v="1"/>
  </r>
  <r>
    <n v="369"/>
    <x v="1"/>
    <n v="0"/>
    <x v="3"/>
    <x v="1"/>
    <x v="1"/>
    <x v="1"/>
  </r>
  <r>
    <n v="1395"/>
    <x v="1"/>
    <n v="0"/>
    <x v="2"/>
    <x v="2"/>
    <x v="0"/>
    <x v="1"/>
  </r>
  <r>
    <n v="983"/>
    <x v="0"/>
    <n v="0"/>
    <x v="1"/>
    <x v="0"/>
    <x v="0"/>
    <x v="1"/>
  </r>
  <r>
    <n v="52"/>
    <x v="1"/>
    <n v="0"/>
    <x v="1"/>
    <x v="2"/>
    <x v="1"/>
    <x v="1"/>
  </r>
  <r>
    <n v="1068"/>
    <x v="1"/>
    <n v="0"/>
    <x v="2"/>
    <x v="1"/>
    <x v="1"/>
    <x v="1"/>
  </r>
  <r>
    <n v="449"/>
    <x v="1"/>
    <n v="0"/>
    <x v="2"/>
    <x v="2"/>
    <x v="2"/>
    <x v="1"/>
  </r>
  <r>
    <n v="308"/>
    <x v="1"/>
    <n v="0"/>
    <x v="0"/>
    <x v="2"/>
    <x v="2"/>
    <x v="1"/>
  </r>
  <r>
    <n v="562"/>
    <x v="1"/>
    <n v="0"/>
    <x v="1"/>
    <x v="2"/>
    <x v="2"/>
    <x v="1"/>
  </r>
  <r>
    <n v="1947"/>
    <x v="1"/>
    <n v="0"/>
    <x v="1"/>
    <x v="0"/>
    <x v="0"/>
    <x v="1"/>
  </r>
  <r>
    <n v="1955"/>
    <x v="1"/>
    <n v="0"/>
    <x v="0"/>
    <x v="1"/>
    <x v="2"/>
    <x v="1"/>
  </r>
  <r>
    <n v="838"/>
    <x v="1"/>
    <n v="0"/>
    <x v="0"/>
    <x v="0"/>
    <x v="0"/>
    <x v="1"/>
  </r>
  <r>
    <n v="422"/>
    <x v="4"/>
    <n v="0"/>
    <x v="0"/>
    <x v="1"/>
    <x v="2"/>
    <x v="1"/>
  </r>
  <r>
    <n v="1245"/>
    <x v="2"/>
    <n v="0"/>
    <x v="0"/>
    <x v="1"/>
    <x v="2"/>
    <x v="1"/>
  </r>
  <r>
    <n v="744"/>
    <x v="0"/>
    <n v="0"/>
    <x v="1"/>
    <x v="0"/>
    <x v="0"/>
    <x v="1"/>
  </r>
  <r>
    <n v="1720"/>
    <x v="1"/>
    <n v="0"/>
    <x v="1"/>
    <x v="2"/>
    <x v="2"/>
    <x v="1"/>
  </r>
  <r>
    <n v="1704"/>
    <x v="0"/>
    <n v="0"/>
    <x v="0"/>
    <x v="0"/>
    <x v="0"/>
    <x v="1"/>
  </r>
  <r>
    <n v="1648"/>
    <x v="1"/>
    <n v="0"/>
    <x v="1"/>
    <x v="0"/>
    <x v="0"/>
    <x v="1"/>
  </r>
  <r>
    <n v="26"/>
    <x v="3"/>
    <n v="0"/>
    <x v="3"/>
    <x v="1"/>
    <x v="2"/>
    <x v="1"/>
  </r>
  <r>
    <n v="1507"/>
    <x v="1"/>
    <n v="0"/>
    <x v="1"/>
    <x v="0"/>
    <x v="0"/>
    <x v="1"/>
  </r>
  <r>
    <n v="1605"/>
    <x v="3"/>
    <n v="0"/>
    <x v="3"/>
    <x v="2"/>
    <x v="0"/>
    <x v="1"/>
  </r>
  <r>
    <n v="91"/>
    <x v="4"/>
    <n v="0"/>
    <x v="2"/>
    <x v="0"/>
    <x v="0"/>
    <x v="1"/>
  </r>
  <r>
    <n v="403"/>
    <x v="0"/>
    <n v="0"/>
    <x v="1"/>
    <x v="2"/>
    <x v="3"/>
    <x v="1"/>
  </r>
  <r>
    <n v="1431"/>
    <x v="1"/>
    <n v="0"/>
    <x v="0"/>
    <x v="1"/>
    <x v="1"/>
    <x v="1"/>
  </r>
  <r>
    <n v="216"/>
    <x v="1"/>
    <n v="0"/>
    <x v="0"/>
    <x v="2"/>
    <x v="2"/>
    <x v="1"/>
  </r>
  <r>
    <n v="791"/>
    <x v="2"/>
    <n v="0"/>
    <x v="0"/>
    <x v="2"/>
    <x v="2"/>
    <x v="1"/>
  </r>
  <r>
    <n v="837"/>
    <x v="0"/>
    <n v="0"/>
    <x v="1"/>
    <x v="1"/>
    <x v="2"/>
    <x v="1"/>
  </r>
  <r>
    <n v="1813"/>
    <x v="0"/>
    <n v="0"/>
    <x v="1"/>
    <x v="0"/>
    <x v="0"/>
    <x v="1"/>
  </r>
  <r>
    <n v="171"/>
    <x v="0"/>
    <n v="0"/>
    <x v="1"/>
    <x v="0"/>
    <x v="0"/>
    <x v="1"/>
  </r>
  <r>
    <n v="1096"/>
    <x v="4"/>
    <n v="0"/>
    <x v="2"/>
    <x v="2"/>
    <x v="2"/>
    <x v="1"/>
  </r>
  <r>
    <n v="396"/>
    <x v="2"/>
    <n v="0"/>
    <x v="0"/>
    <x v="0"/>
    <x v="0"/>
    <x v="1"/>
  </r>
  <r>
    <n v="523"/>
    <x v="1"/>
    <n v="0"/>
    <x v="0"/>
    <x v="2"/>
    <x v="2"/>
    <x v="1"/>
  </r>
  <r>
    <n v="1929"/>
    <x v="0"/>
    <n v="0"/>
    <x v="0"/>
    <x v="2"/>
    <x v="2"/>
    <x v="1"/>
  </r>
  <r>
    <n v="1094"/>
    <x v="1"/>
    <n v="0"/>
    <x v="4"/>
    <x v="2"/>
    <x v="3"/>
    <x v="1"/>
  </r>
  <r>
    <n v="1662"/>
    <x v="0"/>
    <n v="0"/>
    <x v="0"/>
    <x v="2"/>
    <x v="0"/>
    <x v="1"/>
  </r>
  <r>
    <n v="88"/>
    <x v="0"/>
    <n v="0"/>
    <x v="1"/>
    <x v="2"/>
    <x v="2"/>
    <x v="1"/>
  </r>
  <r>
    <n v="132"/>
    <x v="0"/>
    <n v="0"/>
    <x v="1"/>
    <x v="2"/>
    <x v="2"/>
    <x v="1"/>
  </r>
  <r>
    <n v="1722"/>
    <x v="0"/>
    <n v="0"/>
    <x v="1"/>
    <x v="2"/>
    <x v="2"/>
    <x v="1"/>
  </r>
  <r>
    <n v="1185"/>
    <x v="0"/>
    <n v="0"/>
    <x v="0"/>
    <x v="2"/>
    <x v="2"/>
    <x v="1"/>
  </r>
  <r>
    <n v="1044"/>
    <x v="1"/>
    <n v="0"/>
    <x v="2"/>
    <x v="0"/>
    <x v="0"/>
    <x v="1"/>
  </r>
  <r>
    <n v="1296"/>
    <x v="1"/>
    <n v="0"/>
    <x v="1"/>
    <x v="2"/>
    <x v="2"/>
    <x v="1"/>
  </r>
  <r>
    <n v="591"/>
    <x v="0"/>
    <n v="0"/>
    <x v="3"/>
    <x v="2"/>
    <x v="2"/>
    <x v="1"/>
  </r>
  <r>
    <n v="875"/>
    <x v="0"/>
    <n v="0"/>
    <x v="2"/>
    <x v="0"/>
    <x v="0"/>
    <x v="1"/>
  </r>
  <r>
    <n v="337"/>
    <x v="1"/>
    <n v="0"/>
    <x v="0"/>
    <x v="1"/>
    <x v="2"/>
    <x v="1"/>
  </r>
  <r>
    <n v="624"/>
    <x v="2"/>
    <n v="0"/>
    <x v="2"/>
    <x v="2"/>
    <x v="0"/>
    <x v="1"/>
  </r>
  <r>
    <n v="131"/>
    <x v="4"/>
    <n v="0"/>
    <x v="0"/>
    <x v="0"/>
    <x v="0"/>
    <x v="1"/>
  </r>
  <r>
    <n v="558"/>
    <x v="0"/>
    <n v="0"/>
    <x v="0"/>
    <x v="2"/>
    <x v="0"/>
    <x v="1"/>
  </r>
  <r>
    <n v="1179"/>
    <x v="1"/>
    <n v="0"/>
    <x v="1"/>
    <x v="2"/>
    <x v="2"/>
    <x v="1"/>
  </r>
  <r>
    <n v="456"/>
    <x v="1"/>
    <n v="0"/>
    <x v="1"/>
    <x v="1"/>
    <x v="3"/>
    <x v="1"/>
  </r>
  <r>
    <n v="1973"/>
    <x v="4"/>
    <n v="0"/>
    <x v="0"/>
    <x v="2"/>
    <x v="2"/>
    <x v="1"/>
  </r>
  <r>
    <n v="2041"/>
    <x v="0"/>
    <n v="0"/>
    <x v="3"/>
    <x v="2"/>
    <x v="2"/>
    <x v="1"/>
  </r>
  <r>
    <n v="1880"/>
    <x v="0"/>
    <n v="0"/>
    <x v="0"/>
    <x v="2"/>
    <x v="2"/>
    <x v="1"/>
  </r>
  <r>
    <n v="1045"/>
    <x v="2"/>
    <n v="0"/>
    <x v="3"/>
    <x v="2"/>
    <x v="2"/>
    <x v="1"/>
  </r>
  <r>
    <n v="1778"/>
    <x v="0"/>
    <n v="0"/>
    <x v="1"/>
    <x v="0"/>
    <x v="0"/>
    <x v="1"/>
  </r>
  <r>
    <n v="2040"/>
    <x v="0"/>
    <n v="0"/>
    <x v="0"/>
    <x v="0"/>
    <x v="0"/>
    <x v="1"/>
  </r>
  <r>
    <n v="1951"/>
    <x v="1"/>
    <n v="0"/>
    <x v="0"/>
    <x v="1"/>
    <x v="2"/>
    <x v="1"/>
  </r>
  <r>
    <n v="728"/>
    <x v="2"/>
    <n v="0"/>
    <x v="0"/>
    <x v="0"/>
    <x v="0"/>
    <x v="1"/>
  </r>
  <r>
    <n v="1754"/>
    <x v="1"/>
    <n v="0"/>
    <x v="3"/>
    <x v="1"/>
    <x v="2"/>
    <x v="1"/>
  </r>
  <r>
    <n v="463"/>
    <x v="1"/>
    <n v="0"/>
    <x v="2"/>
    <x v="1"/>
    <x v="1"/>
    <x v="1"/>
  </r>
  <r>
    <n v="1218"/>
    <x v="0"/>
    <n v="0"/>
    <x v="0"/>
    <x v="2"/>
    <x v="3"/>
    <x v="1"/>
  </r>
  <r>
    <n v="438"/>
    <x v="1"/>
    <n v="0"/>
    <x v="1"/>
    <x v="1"/>
    <x v="3"/>
    <x v="1"/>
  </r>
  <r>
    <n v="1171"/>
    <x v="0"/>
    <n v="0"/>
    <x v="0"/>
    <x v="0"/>
    <x v="0"/>
    <x v="1"/>
  </r>
  <r>
    <n v="690"/>
    <x v="1"/>
    <n v="0"/>
    <x v="3"/>
    <x v="2"/>
    <x v="2"/>
    <x v="1"/>
  </r>
  <r>
    <n v="1239"/>
    <x v="0"/>
    <n v="0"/>
    <x v="1"/>
    <x v="1"/>
    <x v="2"/>
    <x v="1"/>
  </r>
  <r>
    <n v="1882"/>
    <x v="1"/>
    <n v="0"/>
    <x v="1"/>
    <x v="2"/>
    <x v="3"/>
    <x v="1"/>
  </r>
  <r>
    <n v="1207"/>
    <x v="1"/>
    <n v="0"/>
    <x v="1"/>
    <x v="2"/>
    <x v="2"/>
    <x v="1"/>
  </r>
  <r>
    <n v="527"/>
    <x v="1"/>
    <n v="0"/>
    <x v="3"/>
    <x v="0"/>
    <x v="0"/>
    <x v="1"/>
  </r>
  <r>
    <n v="516"/>
    <x v="0"/>
    <n v="0"/>
    <x v="3"/>
    <x v="1"/>
    <x v="1"/>
    <x v="1"/>
  </r>
  <r>
    <n v="1836"/>
    <x v="1"/>
    <n v="0"/>
    <x v="1"/>
    <x v="0"/>
    <x v="0"/>
    <x v="1"/>
  </r>
  <r>
    <n v="152"/>
    <x v="0"/>
    <n v="0"/>
    <x v="1"/>
    <x v="0"/>
    <x v="0"/>
    <x v="1"/>
  </r>
  <r>
    <n v="1650"/>
    <x v="1"/>
    <n v="0"/>
    <x v="1"/>
    <x v="0"/>
    <x v="0"/>
    <x v="1"/>
  </r>
  <r>
    <n v="975"/>
    <x v="0"/>
    <n v="0"/>
    <x v="1"/>
    <x v="2"/>
    <x v="0"/>
    <x v="1"/>
  </r>
  <r>
    <n v="1625"/>
    <x v="2"/>
    <n v="0"/>
    <x v="0"/>
    <x v="2"/>
    <x v="2"/>
    <x v="1"/>
  </r>
  <r>
    <n v="677"/>
    <x v="1"/>
    <n v="0"/>
    <x v="0"/>
    <x v="1"/>
    <x v="0"/>
    <x v="1"/>
  </r>
  <r>
    <n v="1503"/>
    <x v="2"/>
    <n v="0"/>
    <x v="1"/>
    <x v="2"/>
    <x v="2"/>
    <x v="1"/>
  </r>
  <r>
    <n v="1164"/>
    <x v="0"/>
    <n v="0"/>
    <x v="0"/>
    <x v="0"/>
    <x v="0"/>
    <x v="1"/>
  </r>
  <r>
    <n v="1912"/>
    <x v="1"/>
    <n v="0"/>
    <x v="3"/>
    <x v="1"/>
    <x v="2"/>
    <x v="1"/>
  </r>
  <r>
    <n v="1390"/>
    <x v="0"/>
    <n v="0"/>
    <x v="0"/>
    <x v="2"/>
    <x v="1"/>
    <x v="1"/>
  </r>
  <r>
    <n v="1908"/>
    <x v="0"/>
    <n v="0"/>
    <x v="3"/>
    <x v="2"/>
    <x v="1"/>
    <x v="1"/>
  </r>
  <r>
    <n v="1568"/>
    <x v="1"/>
    <n v="0"/>
    <x v="0"/>
    <x v="2"/>
    <x v="2"/>
    <x v="1"/>
  </r>
  <r>
    <n v="1240"/>
    <x v="1"/>
    <n v="0"/>
    <x v="0"/>
    <x v="0"/>
    <x v="0"/>
    <x v="1"/>
  </r>
  <r>
    <n v="330"/>
    <x v="1"/>
    <n v="0"/>
    <x v="3"/>
    <x v="2"/>
    <x v="2"/>
    <x v="1"/>
  </r>
  <r>
    <n v="470"/>
    <x v="0"/>
    <n v="0"/>
    <x v="2"/>
    <x v="1"/>
    <x v="2"/>
    <x v="1"/>
  </r>
  <r>
    <n v="580"/>
    <x v="2"/>
    <n v="0"/>
    <x v="1"/>
    <x v="2"/>
    <x v="2"/>
    <x v="1"/>
  </r>
  <r>
    <n v="1583"/>
    <x v="0"/>
    <n v="0"/>
    <x v="1"/>
    <x v="0"/>
    <x v="0"/>
    <x v="1"/>
  </r>
  <r>
    <n v="669"/>
    <x v="3"/>
    <n v="0"/>
    <x v="2"/>
    <x v="0"/>
    <x v="0"/>
    <x v="1"/>
  </r>
  <r>
    <n v="1396"/>
    <x v="1"/>
    <n v="0"/>
    <x v="2"/>
    <x v="2"/>
    <x v="3"/>
    <x v="1"/>
  </r>
  <r>
    <n v="925"/>
    <x v="2"/>
    <n v="0"/>
    <x v="0"/>
    <x v="0"/>
    <x v="0"/>
    <x v="1"/>
  </r>
  <r>
    <n v="1399"/>
    <x v="1"/>
    <n v="0"/>
    <x v="2"/>
    <x v="2"/>
    <x v="0"/>
    <x v="1"/>
  </r>
  <r>
    <n v="1676"/>
    <x v="2"/>
    <n v="0"/>
    <x v="0"/>
    <x v="1"/>
    <x v="3"/>
    <x v="1"/>
  </r>
  <r>
    <n v="808"/>
    <x v="1"/>
    <n v="0"/>
    <x v="3"/>
    <x v="2"/>
    <x v="2"/>
    <x v="1"/>
  </r>
  <r>
    <n v="656"/>
    <x v="0"/>
    <n v="0"/>
    <x v="1"/>
    <x v="2"/>
    <x v="2"/>
    <x v="1"/>
  </r>
  <r>
    <n v="585"/>
    <x v="1"/>
    <n v="0"/>
    <x v="2"/>
    <x v="0"/>
    <x v="0"/>
    <x v="1"/>
  </r>
  <r>
    <n v="893"/>
    <x v="0"/>
    <n v="0"/>
    <x v="1"/>
    <x v="2"/>
    <x v="2"/>
    <x v="1"/>
  </r>
  <r>
    <n v="1987"/>
    <x v="1"/>
    <n v="0"/>
    <x v="1"/>
    <x v="2"/>
    <x v="0"/>
    <x v="1"/>
  </r>
  <r>
    <n v="2021"/>
    <x v="3"/>
    <n v="0"/>
    <x v="2"/>
    <x v="0"/>
    <x v="0"/>
    <x v="1"/>
  </r>
  <r>
    <n v="1996"/>
    <x v="1"/>
    <n v="0"/>
    <x v="3"/>
    <x v="2"/>
    <x v="2"/>
    <x v="1"/>
  </r>
  <r>
    <n v="321"/>
    <x v="4"/>
    <n v="0"/>
    <x v="3"/>
    <x v="2"/>
    <x v="0"/>
    <x v="1"/>
  </r>
  <r>
    <n v="38"/>
    <x v="2"/>
    <n v="0"/>
    <x v="0"/>
    <x v="0"/>
    <x v="0"/>
    <x v="1"/>
  </r>
  <r>
    <n v="424"/>
    <x v="1"/>
    <n v="0"/>
    <x v="1"/>
    <x v="2"/>
    <x v="0"/>
    <x v="1"/>
  </r>
  <r>
    <n v="49"/>
    <x v="0"/>
    <n v="0"/>
    <x v="1"/>
    <x v="2"/>
    <x v="0"/>
    <x v="1"/>
  </r>
  <r>
    <n v="732"/>
    <x v="4"/>
    <n v="0"/>
    <x v="0"/>
    <x v="0"/>
    <x v="0"/>
    <x v="1"/>
  </r>
  <r>
    <n v="1779"/>
    <x v="1"/>
    <n v="0"/>
    <x v="3"/>
    <x v="0"/>
    <x v="0"/>
    <x v="1"/>
  </r>
  <r>
    <n v="106"/>
    <x v="4"/>
    <n v="0"/>
    <x v="3"/>
    <x v="2"/>
    <x v="2"/>
    <x v="1"/>
  </r>
  <r>
    <n v="944"/>
    <x v="2"/>
    <n v="0"/>
    <x v="3"/>
    <x v="2"/>
    <x v="2"/>
    <x v="1"/>
  </r>
  <r>
    <n v="336"/>
    <x v="2"/>
    <n v="0"/>
    <x v="1"/>
    <x v="2"/>
    <x v="2"/>
    <x v="1"/>
  </r>
  <r>
    <n v="1608"/>
    <x v="0"/>
    <n v="0"/>
    <x v="1"/>
    <x v="1"/>
    <x v="2"/>
    <x v="1"/>
  </r>
  <r>
    <n v="1088"/>
    <x v="0"/>
    <n v="0"/>
    <x v="2"/>
    <x v="2"/>
    <x v="2"/>
    <x v="1"/>
  </r>
  <r>
    <n v="2015"/>
    <x v="0"/>
    <n v="0"/>
    <x v="1"/>
    <x v="2"/>
    <x v="2"/>
    <x v="1"/>
  </r>
  <r>
    <n v="1656"/>
    <x v="2"/>
    <n v="0"/>
    <x v="4"/>
    <x v="1"/>
    <x v="3"/>
    <x v="1"/>
  </r>
  <r>
    <n v="1005"/>
    <x v="2"/>
    <n v="0"/>
    <x v="1"/>
    <x v="2"/>
    <x v="2"/>
    <x v="1"/>
  </r>
  <r>
    <n v="1989"/>
    <x v="1"/>
    <n v="0"/>
    <x v="3"/>
    <x v="2"/>
    <x v="0"/>
    <x v="1"/>
  </r>
  <r>
    <n v="1611"/>
    <x v="2"/>
    <n v="0"/>
    <x v="4"/>
    <x v="0"/>
    <x v="0"/>
    <x v="1"/>
  </r>
  <r>
    <n v="1586"/>
    <x v="1"/>
    <n v="0"/>
    <x v="2"/>
    <x v="0"/>
    <x v="0"/>
    <x v="1"/>
  </r>
  <r>
    <n v="1435"/>
    <x v="0"/>
    <n v="0"/>
    <x v="0"/>
    <x v="0"/>
    <x v="0"/>
    <x v="1"/>
  </r>
  <r>
    <n v="536"/>
    <x v="1"/>
    <n v="0"/>
    <x v="3"/>
    <x v="1"/>
    <x v="2"/>
    <x v="1"/>
  </r>
  <r>
    <n v="441"/>
    <x v="1"/>
    <n v="0"/>
    <x v="3"/>
    <x v="2"/>
    <x v="1"/>
    <x v="1"/>
  </r>
  <r>
    <n v="385"/>
    <x v="2"/>
    <n v="0"/>
    <x v="2"/>
    <x v="1"/>
    <x v="1"/>
    <x v="1"/>
  </r>
  <r>
    <n v="762"/>
    <x v="4"/>
    <n v="0"/>
    <x v="1"/>
    <x v="2"/>
    <x v="0"/>
    <x v="1"/>
  </r>
  <r>
    <n v="41"/>
    <x v="1"/>
    <n v="0"/>
    <x v="3"/>
    <x v="0"/>
    <x v="0"/>
    <x v="1"/>
  </r>
  <r>
    <n v="1150"/>
    <x v="1"/>
    <n v="0"/>
    <x v="2"/>
    <x v="2"/>
    <x v="2"/>
    <x v="1"/>
  </r>
  <r>
    <n v="1344"/>
    <x v="1"/>
    <n v="0"/>
    <x v="1"/>
    <x v="1"/>
    <x v="2"/>
    <x v="1"/>
  </r>
  <r>
    <n v="1121"/>
    <x v="1"/>
    <n v="0"/>
    <x v="1"/>
    <x v="1"/>
    <x v="3"/>
    <x v="1"/>
  </r>
  <r>
    <n v="1617"/>
    <x v="2"/>
    <n v="0"/>
    <x v="0"/>
    <x v="2"/>
    <x v="2"/>
    <x v="1"/>
  </r>
  <r>
    <n v="1671"/>
    <x v="1"/>
    <n v="0"/>
    <x v="1"/>
    <x v="1"/>
    <x v="1"/>
    <x v="1"/>
  </r>
  <r>
    <n v="1172"/>
    <x v="0"/>
    <n v="0"/>
    <x v="0"/>
    <x v="2"/>
    <x v="2"/>
    <x v="1"/>
  </r>
  <r>
    <n v="1015"/>
    <x v="1"/>
    <n v="0"/>
    <x v="3"/>
    <x v="2"/>
    <x v="3"/>
    <x v="1"/>
  </r>
  <r>
    <n v="1514"/>
    <x v="1"/>
    <n v="0"/>
    <x v="2"/>
    <x v="2"/>
    <x v="1"/>
    <x v="1"/>
  </r>
  <r>
    <n v="1018"/>
    <x v="1"/>
    <n v="0"/>
    <x v="3"/>
    <x v="2"/>
    <x v="0"/>
    <x v="1"/>
  </r>
  <r>
    <n v="793"/>
    <x v="1"/>
    <n v="0"/>
    <x v="1"/>
    <x v="2"/>
    <x v="2"/>
    <x v="1"/>
  </r>
  <r>
    <n v="267"/>
    <x v="0"/>
    <n v="0"/>
    <x v="1"/>
    <x v="2"/>
    <x v="2"/>
    <x v="1"/>
  </r>
  <r>
    <n v="1322"/>
    <x v="0"/>
    <n v="0"/>
    <x v="3"/>
    <x v="0"/>
    <x v="0"/>
    <x v="1"/>
  </r>
  <r>
    <n v="1097"/>
    <x v="1"/>
    <n v="0"/>
    <x v="1"/>
    <x v="0"/>
    <x v="0"/>
    <x v="1"/>
  </r>
  <r>
    <n v="483"/>
    <x v="0"/>
    <n v="0"/>
    <x v="0"/>
    <x v="2"/>
    <x v="2"/>
    <x v="1"/>
  </r>
  <r>
    <n v="2014"/>
    <x v="0"/>
    <n v="0"/>
    <x v="2"/>
    <x v="0"/>
    <x v="0"/>
    <x v="1"/>
  </r>
  <r>
    <n v="258"/>
    <x v="2"/>
    <n v="0"/>
    <x v="1"/>
    <x v="0"/>
    <x v="0"/>
    <x v="1"/>
  </r>
  <r>
    <n v="1763"/>
    <x v="1"/>
    <n v="0"/>
    <x v="1"/>
    <x v="2"/>
    <x v="2"/>
    <x v="1"/>
  </r>
  <r>
    <n v="2062"/>
    <x v="0"/>
    <n v="0"/>
    <x v="2"/>
    <x v="2"/>
    <x v="2"/>
    <x v="1"/>
  </r>
  <r>
    <n v="273"/>
    <x v="0"/>
    <n v="0"/>
    <x v="1"/>
    <x v="2"/>
    <x v="2"/>
    <x v="1"/>
  </r>
  <r>
    <n v="1264"/>
    <x v="1"/>
    <n v="0"/>
    <x v="1"/>
    <x v="1"/>
    <x v="1"/>
    <x v="1"/>
  </r>
  <r>
    <n v="1312"/>
    <x v="0"/>
    <n v="0"/>
    <x v="0"/>
    <x v="2"/>
    <x v="0"/>
    <x v="1"/>
  </r>
  <r>
    <n v="1830"/>
    <x v="2"/>
    <n v="0"/>
    <x v="0"/>
    <x v="2"/>
    <x v="2"/>
    <x v="1"/>
  </r>
  <r>
    <n v="1859"/>
    <x v="1"/>
    <n v="0"/>
    <x v="2"/>
    <x v="1"/>
    <x v="1"/>
    <x v="1"/>
  </r>
  <r>
    <n v="1221"/>
    <x v="0"/>
    <n v="0"/>
    <x v="0"/>
    <x v="1"/>
    <x v="2"/>
    <x v="1"/>
  </r>
  <r>
    <n v="623"/>
    <x v="0"/>
    <n v="0"/>
    <x v="1"/>
    <x v="0"/>
    <x v="0"/>
    <x v="1"/>
  </r>
  <r>
    <n v="1751"/>
    <x v="1"/>
    <n v="0"/>
    <x v="1"/>
    <x v="0"/>
    <x v="0"/>
    <x v="1"/>
  </r>
  <r>
    <n v="1609"/>
    <x v="1"/>
    <n v="0"/>
    <x v="1"/>
    <x v="2"/>
    <x v="2"/>
    <x v="1"/>
  </r>
  <r>
    <n v="639"/>
    <x v="3"/>
    <n v="0"/>
    <x v="1"/>
    <x v="2"/>
    <x v="1"/>
    <x v="1"/>
  </r>
  <r>
    <n v="856"/>
    <x v="0"/>
    <n v="0"/>
    <x v="2"/>
    <x v="0"/>
    <x v="0"/>
    <x v="1"/>
  </r>
  <r>
    <n v="649"/>
    <x v="1"/>
    <n v="0"/>
    <x v="3"/>
    <x v="2"/>
    <x v="2"/>
    <x v="1"/>
  </r>
  <r>
    <n v="1161"/>
    <x v="0"/>
    <n v="0"/>
    <x v="3"/>
    <x v="1"/>
    <x v="1"/>
    <x v="1"/>
  </r>
  <r>
    <n v="1438"/>
    <x v="2"/>
    <n v="0"/>
    <x v="1"/>
    <x v="2"/>
    <x v="2"/>
    <x v="1"/>
  </r>
  <r>
    <n v="346"/>
    <x v="1"/>
    <n v="0"/>
    <x v="1"/>
    <x v="0"/>
    <x v="0"/>
    <x v="1"/>
  </r>
  <r>
    <n v="1725"/>
    <x v="3"/>
    <n v="0"/>
    <x v="2"/>
    <x v="1"/>
    <x v="3"/>
    <x v="1"/>
  </r>
  <r>
    <n v="1260"/>
    <x v="1"/>
    <n v="0"/>
    <x v="1"/>
    <x v="1"/>
    <x v="1"/>
    <x v="1"/>
  </r>
  <r>
    <n v="1434"/>
    <x v="1"/>
    <n v="0"/>
    <x v="2"/>
    <x v="2"/>
    <x v="0"/>
    <x v="1"/>
  </r>
  <r>
    <n v="546"/>
    <x v="2"/>
    <n v="0"/>
    <x v="3"/>
    <x v="2"/>
    <x v="0"/>
    <x v="1"/>
  </r>
  <r>
    <n v="1709"/>
    <x v="1"/>
    <n v="0"/>
    <x v="0"/>
    <x v="2"/>
    <x v="2"/>
    <x v="1"/>
  </r>
  <r>
    <n v="730"/>
    <x v="2"/>
    <n v="0"/>
    <x v="1"/>
    <x v="2"/>
    <x v="0"/>
    <x v="1"/>
  </r>
  <r>
    <n v="865"/>
    <x v="1"/>
    <n v="0"/>
    <x v="3"/>
    <x v="2"/>
    <x v="2"/>
    <x v="1"/>
  </r>
  <r>
    <n v="1980"/>
    <x v="2"/>
    <n v="0"/>
    <x v="1"/>
    <x v="0"/>
    <x v="0"/>
    <x v="1"/>
  </r>
  <r>
    <n v="1755"/>
    <x v="1"/>
    <n v="0"/>
    <x v="0"/>
    <x v="2"/>
    <x v="3"/>
    <x v="1"/>
  </r>
  <r>
    <n v="799"/>
    <x v="2"/>
    <n v="0"/>
    <x v="0"/>
    <x v="1"/>
    <x v="1"/>
    <x v="1"/>
  </r>
  <r>
    <n v="386"/>
    <x v="2"/>
    <n v="0"/>
    <x v="0"/>
    <x v="2"/>
    <x v="3"/>
    <x v="1"/>
  </r>
  <r>
    <n v="223"/>
    <x v="4"/>
    <n v="0"/>
    <x v="3"/>
    <x v="1"/>
    <x v="2"/>
    <x v="1"/>
  </r>
  <r>
    <n v="1475"/>
    <x v="0"/>
    <n v="0"/>
    <x v="1"/>
    <x v="0"/>
    <x v="0"/>
    <x v="1"/>
  </r>
  <r>
    <n v="46"/>
    <x v="0"/>
    <n v="0"/>
    <x v="3"/>
    <x v="1"/>
    <x v="1"/>
    <x v="1"/>
  </r>
  <r>
    <n v="233"/>
    <x v="1"/>
    <n v="0"/>
    <x v="1"/>
    <x v="2"/>
    <x v="2"/>
    <x v="1"/>
  </r>
  <r>
    <n v="1982"/>
    <x v="3"/>
    <n v="0"/>
    <x v="3"/>
    <x v="0"/>
    <x v="0"/>
    <x v="1"/>
  </r>
  <r>
    <n v="198"/>
    <x v="1"/>
    <n v="0"/>
    <x v="2"/>
    <x v="0"/>
    <x v="0"/>
    <x v="1"/>
  </r>
  <r>
    <n v="517"/>
    <x v="0"/>
    <n v="0"/>
    <x v="0"/>
    <x v="1"/>
    <x v="2"/>
    <x v="1"/>
  </r>
  <r>
    <n v="1083"/>
    <x v="1"/>
    <n v="0"/>
    <x v="3"/>
    <x v="2"/>
    <x v="1"/>
    <x v="1"/>
  </r>
  <r>
    <n v="1202"/>
    <x v="1"/>
    <n v="0"/>
    <x v="2"/>
    <x v="2"/>
    <x v="2"/>
    <x v="1"/>
  </r>
  <r>
    <n v="505"/>
    <x v="4"/>
    <n v="0"/>
    <x v="1"/>
    <x v="0"/>
    <x v="0"/>
    <x v="1"/>
  </r>
  <r>
    <n v="466"/>
    <x v="0"/>
    <n v="0"/>
    <x v="1"/>
    <x v="0"/>
    <x v="0"/>
    <x v="1"/>
  </r>
  <r>
    <n v="110"/>
    <x v="1"/>
    <n v="0"/>
    <x v="3"/>
    <x v="2"/>
    <x v="0"/>
    <x v="1"/>
  </r>
  <r>
    <n v="969"/>
    <x v="1"/>
    <n v="0"/>
    <x v="1"/>
    <x v="0"/>
    <x v="0"/>
    <x v="1"/>
  </r>
  <r>
    <n v="1931"/>
    <x v="1"/>
    <n v="0"/>
    <x v="0"/>
    <x v="2"/>
    <x v="2"/>
    <x v="1"/>
  </r>
  <r>
    <n v="1689"/>
    <x v="2"/>
    <n v="0"/>
    <x v="0"/>
    <x v="2"/>
    <x v="0"/>
    <x v="1"/>
  </r>
  <r>
    <n v="491"/>
    <x v="2"/>
    <n v="0"/>
    <x v="1"/>
    <x v="0"/>
    <x v="0"/>
    <x v="1"/>
  </r>
  <r>
    <n v="2038"/>
    <x v="1"/>
    <n v="0"/>
    <x v="1"/>
    <x v="0"/>
    <x v="0"/>
    <x v="1"/>
  </r>
  <r>
    <n v="1019"/>
    <x v="3"/>
    <n v="0"/>
    <x v="2"/>
    <x v="2"/>
    <x v="2"/>
    <x v="1"/>
  </r>
  <r>
    <n v="1407"/>
    <x v="1"/>
    <n v="0"/>
    <x v="2"/>
    <x v="0"/>
    <x v="0"/>
    <x v="1"/>
  </r>
  <r>
    <n v="250"/>
    <x v="2"/>
    <n v="0"/>
    <x v="3"/>
    <x v="1"/>
    <x v="1"/>
    <x v="1"/>
  </r>
  <r>
    <n v="797"/>
    <x v="1"/>
    <n v="0"/>
    <x v="0"/>
    <x v="0"/>
    <x v="0"/>
    <x v="1"/>
  </r>
  <r>
    <n v="2068"/>
    <x v="1"/>
    <n v="0"/>
    <x v="1"/>
    <x v="2"/>
    <x v="0"/>
    <x v="1"/>
  </r>
  <r>
    <n v="350"/>
    <x v="1"/>
    <n v="0"/>
    <x v="1"/>
    <x v="2"/>
    <x v="1"/>
    <x v="1"/>
  </r>
  <r>
    <n v="40"/>
    <x v="0"/>
    <n v="0"/>
    <x v="0"/>
    <x v="2"/>
    <x v="0"/>
    <x v="1"/>
  </r>
  <r>
    <n v="1998"/>
    <x v="0"/>
    <n v="0"/>
    <x v="0"/>
    <x v="1"/>
    <x v="2"/>
    <x v="1"/>
  </r>
  <r>
    <n v="408"/>
    <x v="2"/>
    <n v="0"/>
    <x v="1"/>
    <x v="1"/>
    <x v="2"/>
    <x v="1"/>
  </r>
  <r>
    <n v="522"/>
    <x v="2"/>
    <n v="0"/>
    <x v="3"/>
    <x v="2"/>
    <x v="2"/>
    <x v="1"/>
  </r>
  <r>
    <n v="1655"/>
    <x v="2"/>
    <n v="0"/>
    <x v="0"/>
    <x v="2"/>
    <x v="1"/>
    <x v="1"/>
  </r>
  <r>
    <n v="1533"/>
    <x v="3"/>
    <n v="0"/>
    <x v="2"/>
    <x v="0"/>
    <x v="0"/>
    <x v="1"/>
  </r>
  <r>
    <n v="1981"/>
    <x v="3"/>
    <n v="0"/>
    <x v="3"/>
    <x v="0"/>
    <x v="0"/>
    <x v="1"/>
  </r>
  <r>
    <n v="700"/>
    <x v="1"/>
    <n v="0"/>
    <x v="0"/>
    <x v="0"/>
    <x v="0"/>
    <x v="1"/>
  </r>
  <r>
    <n v="1694"/>
    <x v="4"/>
    <n v="0"/>
    <x v="1"/>
    <x v="1"/>
    <x v="2"/>
    <x v="1"/>
  </r>
  <r>
    <n v="2020"/>
    <x v="0"/>
    <n v="0"/>
    <x v="1"/>
    <x v="0"/>
    <x v="0"/>
    <x v="1"/>
  </r>
  <r>
    <n v="434"/>
    <x v="1"/>
    <n v="0"/>
    <x v="1"/>
    <x v="0"/>
    <x v="0"/>
    <x v="1"/>
  </r>
  <r>
    <n v="2052"/>
    <x v="0"/>
    <n v="0"/>
    <x v="0"/>
    <x v="2"/>
    <x v="2"/>
    <x v="1"/>
  </r>
  <r>
    <n v="1358"/>
    <x v="1"/>
    <n v="0"/>
    <x v="2"/>
    <x v="2"/>
    <x v="3"/>
    <x v="1"/>
  </r>
  <r>
    <n v="1735"/>
    <x v="3"/>
    <n v="0"/>
    <x v="2"/>
    <x v="0"/>
    <x v="0"/>
    <x v="1"/>
  </r>
  <r>
    <n v="379"/>
    <x v="3"/>
    <n v="0"/>
    <x v="3"/>
    <x v="0"/>
    <x v="0"/>
    <x v="1"/>
  </r>
  <r>
    <n v="332"/>
    <x v="0"/>
    <n v="0"/>
    <x v="0"/>
    <x v="1"/>
    <x v="3"/>
    <x v="1"/>
  </r>
  <r>
    <n v="1474"/>
    <x v="0"/>
    <n v="0"/>
    <x v="1"/>
    <x v="1"/>
    <x v="2"/>
    <x v="1"/>
  </r>
  <r>
    <n v="482"/>
    <x v="4"/>
    <n v="0"/>
    <x v="0"/>
    <x v="2"/>
    <x v="0"/>
    <x v="1"/>
  </r>
  <r>
    <n v="1430"/>
    <x v="1"/>
    <n v="0"/>
    <x v="4"/>
    <x v="0"/>
    <x v="0"/>
    <x v="1"/>
  </r>
  <r>
    <n v="1614"/>
    <x v="0"/>
    <n v="0"/>
    <x v="0"/>
    <x v="2"/>
    <x v="1"/>
    <x v="1"/>
  </r>
  <r>
    <n v="1465"/>
    <x v="2"/>
    <n v="0"/>
    <x v="1"/>
    <x v="2"/>
    <x v="1"/>
    <x v="1"/>
  </r>
  <r>
    <n v="1099"/>
    <x v="1"/>
    <n v="0"/>
    <x v="1"/>
    <x v="1"/>
    <x v="2"/>
    <x v="1"/>
  </r>
  <r>
    <n v="447"/>
    <x v="2"/>
    <n v="0"/>
    <x v="4"/>
    <x v="2"/>
    <x v="2"/>
    <x v="1"/>
  </r>
  <r>
    <n v="495"/>
    <x v="1"/>
    <n v="0"/>
    <x v="1"/>
    <x v="0"/>
    <x v="0"/>
    <x v="1"/>
  </r>
  <r>
    <n v="1501"/>
    <x v="4"/>
    <n v="0"/>
    <x v="0"/>
    <x v="2"/>
    <x v="0"/>
    <x v="1"/>
  </r>
  <r>
    <n v="1317"/>
    <x v="2"/>
    <n v="0"/>
    <x v="1"/>
    <x v="2"/>
    <x v="0"/>
    <x v="1"/>
  </r>
  <r>
    <n v="1301"/>
    <x v="1"/>
    <n v="0"/>
    <x v="1"/>
    <x v="0"/>
    <x v="0"/>
    <x v="1"/>
  </r>
  <r>
    <n v="24"/>
    <x v="0"/>
    <n v="0"/>
    <x v="1"/>
    <x v="0"/>
    <x v="0"/>
    <x v="1"/>
  </r>
  <r>
    <n v="247"/>
    <x v="1"/>
    <n v="0"/>
    <x v="3"/>
    <x v="0"/>
    <x v="0"/>
    <x v="1"/>
  </r>
  <r>
    <n v="1249"/>
    <x v="1"/>
    <n v="0"/>
    <x v="1"/>
    <x v="1"/>
    <x v="3"/>
    <x v="1"/>
  </r>
  <r>
    <n v="1564"/>
    <x v="0"/>
    <n v="0"/>
    <x v="1"/>
    <x v="0"/>
    <x v="0"/>
    <x v="1"/>
  </r>
  <r>
    <n v="611"/>
    <x v="1"/>
    <n v="0"/>
    <x v="1"/>
    <x v="1"/>
    <x v="1"/>
    <x v="1"/>
  </r>
  <r>
    <n v="2007"/>
    <x v="3"/>
    <n v="0"/>
    <x v="3"/>
    <x v="0"/>
    <x v="0"/>
    <x v="1"/>
  </r>
  <r>
    <n v="511"/>
    <x v="3"/>
    <n v="0"/>
    <x v="1"/>
    <x v="2"/>
    <x v="2"/>
    <x v="1"/>
  </r>
  <r>
    <n v="1198"/>
    <x v="3"/>
    <n v="0"/>
    <x v="1"/>
    <x v="0"/>
    <x v="0"/>
    <x v="1"/>
  </r>
  <r>
    <n v="393"/>
    <x v="0"/>
    <n v="0"/>
    <x v="0"/>
    <x v="1"/>
    <x v="2"/>
    <x v="1"/>
  </r>
  <r>
    <n v="426"/>
    <x v="1"/>
    <n v="0"/>
    <x v="0"/>
    <x v="1"/>
    <x v="2"/>
    <x v="1"/>
  </r>
  <r>
    <n v="18"/>
    <x v="1"/>
    <n v="0"/>
    <x v="3"/>
    <x v="1"/>
    <x v="2"/>
    <x v="1"/>
  </r>
  <r>
    <n v="241"/>
    <x v="4"/>
    <n v="0"/>
    <x v="1"/>
    <x v="1"/>
    <x v="2"/>
    <x v="1"/>
  </r>
  <r>
    <n v="7"/>
    <x v="1"/>
    <n v="0"/>
    <x v="2"/>
    <x v="2"/>
    <x v="2"/>
    <x v="1"/>
  </r>
  <r>
    <n v="1308"/>
    <x v="4"/>
    <n v="0"/>
    <x v="0"/>
    <x v="1"/>
    <x v="1"/>
    <x v="1"/>
  </r>
  <r>
    <n v="769"/>
    <x v="2"/>
    <n v="0"/>
    <x v="1"/>
    <x v="0"/>
    <x v="0"/>
    <x v="1"/>
  </r>
  <r>
    <n v="1623"/>
    <x v="3"/>
    <n v="0"/>
    <x v="2"/>
    <x v="0"/>
    <x v="0"/>
    <x v="1"/>
  </r>
  <r>
    <n v="1022"/>
    <x v="2"/>
    <n v="0"/>
    <x v="1"/>
    <x v="0"/>
    <x v="0"/>
    <x v="1"/>
  </r>
  <r>
    <n v="1674"/>
    <x v="2"/>
    <n v="0"/>
    <x v="1"/>
    <x v="1"/>
    <x v="2"/>
    <x v="1"/>
  </r>
  <r>
    <n v="1903"/>
    <x v="0"/>
    <n v="0"/>
    <x v="0"/>
    <x v="2"/>
    <x v="2"/>
    <x v="1"/>
  </r>
  <r>
    <n v="1580"/>
    <x v="1"/>
    <n v="0"/>
    <x v="0"/>
    <x v="2"/>
    <x v="2"/>
    <x v="1"/>
  </r>
  <r>
    <n v="1025"/>
    <x v="0"/>
    <n v="0"/>
    <x v="3"/>
    <x v="0"/>
    <x v="0"/>
    <x v="1"/>
  </r>
  <r>
    <n v="1856"/>
    <x v="2"/>
    <n v="0"/>
    <x v="0"/>
    <x v="0"/>
    <x v="0"/>
    <x v="1"/>
  </r>
  <r>
    <n v="1766"/>
    <x v="0"/>
    <n v="0"/>
    <x v="1"/>
    <x v="2"/>
    <x v="2"/>
    <x v="1"/>
  </r>
  <r>
    <n v="1578"/>
    <x v="4"/>
    <n v="0"/>
    <x v="4"/>
    <x v="2"/>
    <x v="2"/>
    <x v="1"/>
  </r>
  <r>
    <n v="1282"/>
    <x v="2"/>
    <n v="0"/>
    <x v="1"/>
    <x v="1"/>
    <x v="2"/>
    <x v="2"/>
  </r>
  <r>
    <n v="1204"/>
    <x v="2"/>
    <n v="0"/>
    <x v="1"/>
    <x v="2"/>
    <x v="0"/>
    <x v="2"/>
  </r>
  <r>
    <n v="244"/>
    <x v="2"/>
    <n v="0"/>
    <x v="3"/>
    <x v="1"/>
    <x v="3"/>
    <x v="2"/>
  </r>
  <r>
    <n v="1712"/>
    <x v="2"/>
    <n v="0"/>
    <x v="2"/>
    <x v="2"/>
    <x v="2"/>
    <x v="2"/>
  </r>
  <r>
    <n v="119"/>
    <x v="0"/>
    <n v="0"/>
    <x v="0"/>
    <x v="2"/>
    <x v="2"/>
    <x v="2"/>
  </r>
  <r>
    <n v="1035"/>
    <x v="0"/>
    <n v="0"/>
    <x v="2"/>
    <x v="1"/>
    <x v="1"/>
    <x v="2"/>
  </r>
  <r>
    <n v="1550"/>
    <x v="0"/>
    <n v="0"/>
    <x v="3"/>
    <x v="0"/>
    <x v="0"/>
    <x v="2"/>
  </r>
  <r>
    <n v="264"/>
    <x v="2"/>
    <n v="0"/>
    <x v="3"/>
    <x v="2"/>
    <x v="2"/>
    <x v="2"/>
  </r>
  <r>
    <n v="1225"/>
    <x v="0"/>
    <n v="0"/>
    <x v="0"/>
    <x v="0"/>
    <x v="0"/>
    <x v="2"/>
  </r>
  <r>
    <n v="387"/>
    <x v="0"/>
    <n v="0"/>
    <x v="2"/>
    <x v="2"/>
    <x v="0"/>
    <x v="2"/>
  </r>
  <r>
    <n v="343"/>
    <x v="0"/>
    <n v="0"/>
    <x v="0"/>
    <x v="0"/>
    <x v="0"/>
    <x v="2"/>
  </r>
  <r>
    <n v="880"/>
    <x v="0"/>
    <n v="0"/>
    <x v="1"/>
    <x v="2"/>
    <x v="2"/>
    <x v="2"/>
  </r>
  <r>
    <n v="1993"/>
    <x v="2"/>
    <n v="0"/>
    <x v="1"/>
    <x v="0"/>
    <x v="0"/>
    <x v="2"/>
  </r>
  <r>
    <n v="1824"/>
    <x v="4"/>
    <n v="0"/>
    <x v="1"/>
    <x v="1"/>
    <x v="2"/>
    <x v="2"/>
  </r>
  <r>
    <n v="2017"/>
    <x v="0"/>
    <n v="0"/>
    <x v="1"/>
    <x v="2"/>
    <x v="2"/>
    <x v="2"/>
  </r>
  <r>
    <n v="2036"/>
    <x v="0"/>
    <n v="0"/>
    <x v="0"/>
    <x v="1"/>
    <x v="2"/>
    <x v="2"/>
  </r>
  <r>
    <n v="1666"/>
    <x v="0"/>
    <n v="0"/>
    <x v="3"/>
    <x v="2"/>
    <x v="2"/>
    <x v="2"/>
  </r>
  <r>
    <n v="1950"/>
    <x v="1"/>
    <n v="0"/>
    <x v="1"/>
    <x v="0"/>
    <x v="0"/>
    <x v="1"/>
  </r>
  <r>
    <n v="682"/>
    <x v="2"/>
    <n v="0"/>
    <x v="2"/>
    <x v="0"/>
    <x v="0"/>
    <x v="2"/>
  </r>
  <r>
    <n v="145"/>
    <x v="2"/>
    <n v="0"/>
    <x v="0"/>
    <x v="0"/>
    <x v="0"/>
    <x v="2"/>
  </r>
  <r>
    <n v="1184"/>
    <x v="1"/>
    <n v="0"/>
    <x v="1"/>
    <x v="0"/>
    <x v="0"/>
    <x v="2"/>
  </r>
  <r>
    <n v="692"/>
    <x v="1"/>
    <n v="0"/>
    <x v="1"/>
    <x v="1"/>
    <x v="2"/>
    <x v="2"/>
  </r>
  <r>
    <n v="57"/>
    <x v="1"/>
    <n v="0"/>
    <x v="3"/>
    <x v="0"/>
    <x v="0"/>
    <x v="1"/>
  </r>
  <r>
    <n v="1375"/>
    <x v="0"/>
    <n v="0"/>
    <x v="2"/>
    <x v="1"/>
    <x v="3"/>
    <x v="2"/>
  </r>
  <r>
    <n v="1483"/>
    <x v="4"/>
    <n v="0"/>
    <x v="3"/>
    <x v="2"/>
    <x v="2"/>
    <x v="1"/>
  </r>
  <r>
    <n v="292"/>
    <x v="1"/>
    <n v="0"/>
    <x v="2"/>
    <x v="0"/>
    <x v="0"/>
    <x v="2"/>
  </r>
  <r>
    <n v="1541"/>
    <x v="1"/>
    <n v="0"/>
    <x v="3"/>
    <x v="2"/>
    <x v="2"/>
    <x v="2"/>
  </r>
  <r>
    <n v="1092"/>
    <x v="0"/>
    <n v="0"/>
    <x v="0"/>
    <x v="2"/>
    <x v="2"/>
    <x v="2"/>
  </r>
  <r>
    <n v="1979"/>
    <x v="1"/>
    <n v="0"/>
    <x v="1"/>
    <x v="2"/>
    <x v="2"/>
    <x v="2"/>
  </r>
  <r>
    <n v="958"/>
    <x v="0"/>
    <n v="0"/>
    <x v="0"/>
    <x v="0"/>
    <x v="0"/>
    <x v="1"/>
  </r>
  <r>
    <n v="1241"/>
    <x v="1"/>
    <n v="0"/>
    <x v="1"/>
    <x v="2"/>
    <x v="2"/>
    <x v="2"/>
  </r>
  <r>
    <n v="442"/>
    <x v="1"/>
    <n v="0"/>
    <x v="3"/>
    <x v="2"/>
    <x v="2"/>
    <x v="2"/>
  </r>
  <r>
    <n v="605"/>
    <x v="0"/>
    <n v="0"/>
    <x v="1"/>
    <x v="2"/>
    <x v="2"/>
    <x v="2"/>
  </r>
  <r>
    <n v="1956"/>
    <x v="1"/>
    <n v="0"/>
    <x v="1"/>
    <x v="2"/>
    <x v="0"/>
    <x v="2"/>
  </r>
  <r>
    <n v="597"/>
    <x v="4"/>
    <n v="0"/>
    <x v="4"/>
    <x v="0"/>
    <x v="0"/>
    <x v="2"/>
  </r>
  <r>
    <n v="1665"/>
    <x v="2"/>
    <n v="0"/>
    <x v="4"/>
    <x v="2"/>
    <x v="2"/>
    <x v="2"/>
  </r>
  <r>
    <n v="1823"/>
    <x v="1"/>
    <n v="0"/>
    <x v="3"/>
    <x v="2"/>
    <x v="1"/>
    <x v="2"/>
  </r>
  <r>
    <n v="1936"/>
    <x v="0"/>
    <n v="0"/>
    <x v="3"/>
    <x v="2"/>
    <x v="2"/>
    <x v="2"/>
  </r>
  <r>
    <n v="367"/>
    <x v="1"/>
    <n v="0"/>
    <x v="1"/>
    <x v="2"/>
    <x v="2"/>
    <x v="2"/>
  </r>
  <r>
    <n v="1970"/>
    <x v="1"/>
    <n v="0"/>
    <x v="3"/>
    <x v="1"/>
    <x v="3"/>
    <x v="1"/>
  </r>
  <r>
    <n v="60"/>
    <x v="1"/>
    <n v="0"/>
    <x v="0"/>
    <x v="0"/>
    <x v="0"/>
    <x v="2"/>
  </r>
  <r>
    <n v="1864"/>
    <x v="1"/>
    <n v="0"/>
    <x v="2"/>
    <x v="2"/>
    <x v="2"/>
    <x v="2"/>
  </r>
  <r>
    <n v="78"/>
    <x v="1"/>
    <n v="0"/>
    <x v="1"/>
    <x v="2"/>
    <x v="2"/>
    <x v="2"/>
  </r>
  <r>
    <n v="807"/>
    <x v="0"/>
    <n v="0"/>
    <x v="3"/>
    <x v="2"/>
    <x v="2"/>
    <x v="1"/>
  </r>
  <r>
    <n v="1275"/>
    <x v="1"/>
    <n v="0"/>
    <x v="3"/>
    <x v="0"/>
    <x v="0"/>
    <x v="1"/>
  </r>
  <r>
    <n v="747"/>
    <x v="1"/>
    <n v="0"/>
    <x v="4"/>
    <x v="1"/>
    <x v="2"/>
    <x v="2"/>
  </r>
  <r>
    <n v="1845"/>
    <x v="2"/>
    <n v="0"/>
    <x v="0"/>
    <x v="2"/>
    <x v="1"/>
    <x v="2"/>
  </r>
  <r>
    <n v="382"/>
    <x v="0"/>
    <n v="0"/>
    <x v="3"/>
    <x v="1"/>
    <x v="2"/>
    <x v="2"/>
  </r>
  <r>
    <n v="177"/>
    <x v="1"/>
    <n v="0"/>
    <x v="2"/>
    <x v="2"/>
    <x v="2"/>
    <x v="2"/>
  </r>
  <r>
    <n v="846"/>
    <x v="1"/>
    <n v="0"/>
    <x v="0"/>
    <x v="2"/>
    <x v="0"/>
    <x v="2"/>
  </r>
  <r>
    <n v="903"/>
    <x v="2"/>
    <n v="0"/>
    <x v="3"/>
    <x v="2"/>
    <x v="2"/>
    <x v="2"/>
  </r>
  <r>
    <n v="1849"/>
    <x v="0"/>
    <n v="0"/>
    <x v="0"/>
    <x v="2"/>
    <x v="2"/>
    <x v="2"/>
  </r>
  <r>
    <n v="1693"/>
    <x v="1"/>
    <n v="0"/>
    <x v="1"/>
    <x v="0"/>
    <x v="0"/>
    <x v="2"/>
  </r>
  <r>
    <n v="653"/>
    <x v="1"/>
    <n v="0"/>
    <x v="0"/>
    <x v="1"/>
    <x v="1"/>
    <x v="2"/>
  </r>
  <r>
    <n v="1237"/>
    <x v="0"/>
    <n v="0"/>
    <x v="1"/>
    <x v="1"/>
    <x v="2"/>
    <x v="2"/>
  </r>
  <r>
    <n v="205"/>
    <x v="2"/>
    <n v="0"/>
    <x v="3"/>
    <x v="2"/>
    <x v="2"/>
    <x v="2"/>
  </r>
  <r>
    <n v="1854"/>
    <x v="0"/>
    <n v="0"/>
    <x v="0"/>
    <x v="2"/>
    <x v="1"/>
    <x v="1"/>
  </r>
  <r>
    <n v="1116"/>
    <x v="2"/>
    <n v="0"/>
    <x v="0"/>
    <x v="0"/>
    <x v="0"/>
    <x v="1"/>
  </r>
  <r>
    <n v="1554"/>
    <x v="0"/>
    <n v="0"/>
    <x v="0"/>
    <x v="2"/>
    <x v="1"/>
    <x v="2"/>
  </r>
  <r>
    <n v="1675"/>
    <x v="0"/>
    <n v="0"/>
    <x v="1"/>
    <x v="0"/>
    <x v="0"/>
    <x v="1"/>
  </r>
  <r>
    <n v="763"/>
    <x v="0"/>
    <n v="0"/>
    <x v="2"/>
    <x v="0"/>
    <x v="0"/>
    <x v="1"/>
  </r>
  <r>
    <n v="1800"/>
    <x v="0"/>
    <n v="0"/>
    <x v="2"/>
    <x v="0"/>
    <x v="0"/>
    <x v="1"/>
  </r>
  <r>
    <n v="193"/>
    <x v="0"/>
    <n v="0"/>
    <x v="4"/>
    <x v="0"/>
    <x v="0"/>
    <x v="1"/>
  </r>
  <r>
    <n v="140"/>
    <x v="4"/>
    <n v="0"/>
    <x v="0"/>
    <x v="2"/>
    <x v="2"/>
    <x v="1"/>
  </r>
  <r>
    <n v="484"/>
    <x v="3"/>
    <n v="0"/>
    <x v="3"/>
    <x v="0"/>
    <x v="0"/>
    <x v="1"/>
  </r>
  <r>
    <n v="872"/>
    <x v="3"/>
    <n v="0"/>
    <x v="3"/>
    <x v="2"/>
    <x v="1"/>
    <x v="1"/>
  </r>
  <r>
    <n v="1234"/>
    <x v="1"/>
    <n v="0"/>
    <x v="1"/>
    <x v="2"/>
    <x v="2"/>
    <x v="1"/>
  </r>
  <r>
    <n v="675"/>
    <x v="3"/>
    <n v="0"/>
    <x v="2"/>
    <x v="2"/>
    <x v="0"/>
    <x v="1"/>
  </r>
  <r>
    <n v="217"/>
    <x v="3"/>
    <n v="0"/>
    <x v="2"/>
    <x v="2"/>
    <x v="1"/>
    <x v="1"/>
  </r>
  <r>
    <n v="1215"/>
    <x v="2"/>
    <n v="0"/>
    <x v="1"/>
    <x v="2"/>
    <x v="2"/>
    <x v="1"/>
  </r>
  <r>
    <n v="1278"/>
    <x v="4"/>
    <n v="0"/>
    <x v="2"/>
    <x v="1"/>
    <x v="2"/>
    <x v="2"/>
  </r>
  <r>
    <n v="905"/>
    <x v="2"/>
    <n v="0"/>
    <x v="0"/>
    <x v="1"/>
    <x v="2"/>
    <x v="2"/>
  </r>
  <r>
    <n v="1815"/>
    <x v="0"/>
    <n v="0"/>
    <x v="2"/>
    <x v="1"/>
    <x v="2"/>
    <x v="2"/>
  </r>
  <r>
    <n v="1166"/>
    <x v="0"/>
    <n v="0"/>
    <x v="0"/>
    <x v="0"/>
    <x v="0"/>
    <x v="1"/>
  </r>
  <r>
    <n v="1628"/>
    <x v="0"/>
    <n v="0"/>
    <x v="1"/>
    <x v="2"/>
    <x v="1"/>
    <x v="2"/>
  </r>
  <r>
    <n v="1866"/>
    <x v="0"/>
    <n v="0"/>
    <x v="1"/>
    <x v="2"/>
    <x v="0"/>
    <x v="2"/>
  </r>
  <r>
    <n v="1073"/>
    <x v="0"/>
    <n v="0"/>
    <x v="4"/>
    <x v="0"/>
    <x v="0"/>
    <x v="2"/>
  </r>
  <r>
    <n v="1485"/>
    <x v="1"/>
    <n v="0"/>
    <x v="1"/>
    <x v="1"/>
    <x v="1"/>
    <x v="2"/>
  </r>
  <r>
    <n v="1630"/>
    <x v="0"/>
    <n v="0"/>
    <x v="0"/>
    <x v="2"/>
    <x v="2"/>
    <x v="1"/>
  </r>
  <r>
    <n v="899"/>
    <x v="0"/>
    <n v="0"/>
    <x v="1"/>
    <x v="2"/>
    <x v="0"/>
    <x v="2"/>
  </r>
  <r>
    <n v="1852"/>
    <x v="1"/>
    <n v="0"/>
    <x v="2"/>
    <x v="2"/>
    <x v="0"/>
    <x v="1"/>
  </r>
  <r>
    <n v="124"/>
    <x v="2"/>
    <n v="0"/>
    <x v="1"/>
    <x v="2"/>
    <x v="2"/>
    <x v="2"/>
  </r>
  <r>
    <n v="889"/>
    <x v="1"/>
    <n v="0"/>
    <x v="3"/>
    <x v="2"/>
    <x v="2"/>
    <x v="2"/>
  </r>
  <r>
    <n v="1596"/>
    <x v="0"/>
    <n v="0"/>
    <x v="1"/>
    <x v="2"/>
    <x v="1"/>
    <x v="2"/>
  </r>
  <r>
    <n v="1472"/>
    <x v="2"/>
    <n v="0"/>
    <x v="1"/>
    <x v="0"/>
    <x v="0"/>
    <x v="2"/>
  </r>
  <r>
    <n v="1597"/>
    <x v="1"/>
    <n v="0"/>
    <x v="0"/>
    <x v="2"/>
    <x v="2"/>
    <x v="2"/>
  </r>
  <r>
    <n v="1046"/>
    <x v="1"/>
    <n v="0"/>
    <x v="0"/>
    <x v="0"/>
    <x v="0"/>
    <x v="2"/>
  </r>
  <r>
    <n v="982"/>
    <x v="1"/>
    <n v="0"/>
    <x v="3"/>
    <x v="1"/>
    <x v="2"/>
    <x v="2"/>
  </r>
  <r>
    <n v="1576"/>
    <x v="2"/>
    <n v="0"/>
    <x v="0"/>
    <x v="2"/>
    <x v="2"/>
    <x v="2"/>
  </r>
  <r>
    <n v="1618"/>
    <x v="0"/>
    <n v="0"/>
    <x v="4"/>
    <x v="2"/>
    <x v="3"/>
    <x v="2"/>
  </r>
  <r>
    <n v="1152"/>
    <x v="0"/>
    <n v="0"/>
    <x v="1"/>
    <x v="2"/>
    <x v="2"/>
    <x v="2"/>
  </r>
  <r>
    <n v="199"/>
    <x v="0"/>
    <n v="0"/>
    <x v="1"/>
    <x v="1"/>
    <x v="2"/>
    <x v="1"/>
  </r>
  <r>
    <n v="1314"/>
    <x v="2"/>
    <n v="0"/>
    <x v="3"/>
    <x v="0"/>
    <x v="0"/>
    <x v="2"/>
  </r>
  <r>
    <n v="888"/>
    <x v="3"/>
    <n v="0"/>
    <x v="2"/>
    <x v="2"/>
    <x v="0"/>
    <x v="1"/>
  </r>
  <r>
    <n v="277"/>
    <x v="1"/>
    <n v="0"/>
    <x v="0"/>
    <x v="1"/>
    <x v="2"/>
    <x v="1"/>
  </r>
  <r>
    <n v="1191"/>
    <x v="4"/>
    <n v="0"/>
    <x v="0"/>
    <x v="1"/>
    <x v="2"/>
    <x v="2"/>
  </r>
  <r>
    <n v="1391"/>
    <x v="2"/>
    <n v="0"/>
    <x v="1"/>
    <x v="2"/>
    <x v="0"/>
    <x v="1"/>
  </r>
  <r>
    <n v="1833"/>
    <x v="1"/>
    <n v="0"/>
    <x v="0"/>
    <x v="2"/>
    <x v="1"/>
    <x v="1"/>
  </r>
  <r>
    <n v="1479"/>
    <x v="1"/>
    <n v="0"/>
    <x v="2"/>
    <x v="2"/>
    <x v="1"/>
    <x v="1"/>
  </r>
  <r>
    <n v="738"/>
    <x v="2"/>
    <n v="0"/>
    <x v="0"/>
    <x v="2"/>
    <x v="2"/>
    <x v="1"/>
  </r>
  <r>
    <n v="1560"/>
    <x v="1"/>
    <n v="0"/>
    <x v="0"/>
    <x v="2"/>
    <x v="2"/>
    <x v="1"/>
  </r>
  <r>
    <n v="475"/>
    <x v="1"/>
    <n v="0"/>
    <x v="3"/>
    <x v="2"/>
    <x v="2"/>
    <x v="1"/>
  </r>
  <r>
    <n v="329"/>
    <x v="2"/>
    <n v="0"/>
    <x v="0"/>
    <x v="0"/>
    <x v="0"/>
    <x v="2"/>
  </r>
  <r>
    <n v="1539"/>
    <x v="2"/>
    <n v="0"/>
    <x v="4"/>
    <x v="0"/>
    <x v="0"/>
    <x v="2"/>
  </r>
  <r>
    <n v="644"/>
    <x v="2"/>
    <n v="0"/>
    <x v="1"/>
    <x v="2"/>
    <x v="2"/>
    <x v="2"/>
  </r>
  <r>
    <n v="1606"/>
    <x v="2"/>
    <n v="0"/>
    <x v="4"/>
    <x v="2"/>
    <x v="2"/>
    <x v="2"/>
  </r>
  <r>
    <n v="158"/>
    <x v="0"/>
    <n v="0"/>
    <x v="3"/>
    <x v="2"/>
    <x v="1"/>
    <x v="2"/>
  </r>
  <r>
    <n v="809"/>
    <x v="0"/>
    <n v="0"/>
    <x v="1"/>
    <x v="1"/>
    <x v="2"/>
    <x v="2"/>
  </r>
  <r>
    <n v="425"/>
    <x v="2"/>
    <n v="0"/>
    <x v="1"/>
    <x v="1"/>
    <x v="2"/>
    <x v="2"/>
  </r>
  <r>
    <n v="746"/>
    <x v="2"/>
    <n v="0"/>
    <x v="1"/>
    <x v="1"/>
    <x v="1"/>
    <x v="2"/>
  </r>
  <r>
    <n v="1900"/>
    <x v="2"/>
    <n v="0"/>
    <x v="1"/>
    <x v="1"/>
    <x v="2"/>
    <x v="2"/>
  </r>
  <r>
    <n v="1043"/>
    <x v="0"/>
    <n v="0"/>
    <x v="1"/>
    <x v="0"/>
    <x v="0"/>
    <x v="1"/>
  </r>
  <r>
    <n v="444"/>
    <x v="0"/>
    <n v="0"/>
    <x v="3"/>
    <x v="2"/>
    <x v="2"/>
    <x v="2"/>
  </r>
  <r>
    <n v="1334"/>
    <x v="0"/>
    <n v="0"/>
    <x v="2"/>
    <x v="2"/>
    <x v="0"/>
    <x v="1"/>
  </r>
  <r>
    <n v="1547"/>
    <x v="0"/>
    <n v="0"/>
    <x v="1"/>
    <x v="2"/>
    <x v="2"/>
    <x v="2"/>
  </r>
  <r>
    <n v="202"/>
    <x v="0"/>
    <n v="0"/>
    <x v="1"/>
    <x v="1"/>
    <x v="2"/>
    <x v="1"/>
  </r>
  <r>
    <n v="1976"/>
    <x v="0"/>
    <n v="0"/>
    <x v="3"/>
    <x v="0"/>
    <x v="0"/>
    <x v="1"/>
  </r>
  <r>
    <n v="404"/>
    <x v="0"/>
    <n v="0"/>
    <x v="1"/>
    <x v="2"/>
    <x v="2"/>
    <x v="2"/>
  </r>
  <r>
    <n v="987"/>
    <x v="2"/>
    <n v="0"/>
    <x v="0"/>
    <x v="1"/>
    <x v="0"/>
    <x v="1"/>
  </r>
  <r>
    <n v="302"/>
    <x v="2"/>
    <n v="0"/>
    <x v="1"/>
    <x v="0"/>
    <x v="0"/>
    <x v="2"/>
  </r>
  <r>
    <n v="1329"/>
    <x v="0"/>
    <n v="0"/>
    <x v="3"/>
    <x v="0"/>
    <x v="0"/>
    <x v="2"/>
  </r>
  <r>
    <n v="573"/>
    <x v="4"/>
    <n v="0"/>
    <x v="1"/>
    <x v="2"/>
    <x v="0"/>
    <x v="2"/>
  </r>
  <r>
    <n v="73"/>
    <x v="1"/>
    <n v="0"/>
    <x v="3"/>
    <x v="0"/>
    <x v="0"/>
    <x v="2"/>
  </r>
  <r>
    <n v="1050"/>
    <x v="2"/>
    <n v="0"/>
    <x v="1"/>
    <x v="2"/>
    <x v="2"/>
    <x v="2"/>
  </r>
  <r>
    <n v="803"/>
    <x v="0"/>
    <n v="0"/>
    <x v="0"/>
    <x v="0"/>
    <x v="0"/>
    <x v="2"/>
  </r>
  <r>
    <n v="1362"/>
    <x v="0"/>
    <n v="0"/>
    <x v="1"/>
    <x v="2"/>
    <x v="2"/>
    <x v="2"/>
  </r>
  <r>
    <n v="1117"/>
    <x v="2"/>
    <n v="0"/>
    <x v="0"/>
    <x v="2"/>
    <x v="2"/>
    <x v="2"/>
  </r>
  <r>
    <n v="1932"/>
    <x v="1"/>
    <n v="0"/>
    <x v="0"/>
    <x v="2"/>
    <x v="0"/>
    <x v="2"/>
  </r>
  <r>
    <n v="1243"/>
    <x v="0"/>
    <n v="0"/>
    <x v="3"/>
    <x v="2"/>
    <x v="2"/>
    <x v="2"/>
  </r>
  <r>
    <n v="529"/>
    <x v="0"/>
    <n v="0"/>
    <x v="4"/>
    <x v="2"/>
    <x v="1"/>
    <x v="2"/>
  </r>
  <r>
    <n v="1668"/>
    <x v="0"/>
    <n v="0"/>
    <x v="1"/>
    <x v="2"/>
    <x v="1"/>
    <x v="1"/>
  </r>
  <r>
    <n v="2000"/>
    <x v="2"/>
    <n v="0"/>
    <x v="2"/>
    <x v="2"/>
    <x v="1"/>
    <x v="2"/>
  </r>
  <r>
    <n v="1480"/>
    <x v="0"/>
    <n v="0"/>
    <x v="3"/>
    <x v="0"/>
    <x v="0"/>
    <x v="2"/>
  </r>
  <r>
    <n v="239"/>
    <x v="1"/>
    <n v="0"/>
    <x v="1"/>
    <x v="1"/>
    <x v="1"/>
    <x v="2"/>
  </r>
  <r>
    <n v="312"/>
    <x v="1"/>
    <n v="0"/>
    <x v="2"/>
    <x v="2"/>
    <x v="2"/>
    <x v="2"/>
  </r>
  <r>
    <n v="571"/>
    <x v="1"/>
    <n v="0"/>
    <x v="1"/>
    <x v="0"/>
    <x v="0"/>
    <x v="2"/>
  </r>
  <r>
    <n v="1805"/>
    <x v="0"/>
    <n v="0"/>
    <x v="1"/>
    <x v="1"/>
    <x v="3"/>
    <x v="1"/>
  </r>
  <r>
    <n v="1285"/>
    <x v="1"/>
    <n v="0"/>
    <x v="1"/>
    <x v="1"/>
    <x v="1"/>
    <x v="2"/>
  </r>
  <r>
    <n v="1612"/>
    <x v="2"/>
    <n v="0"/>
    <x v="1"/>
    <x v="2"/>
    <x v="2"/>
    <x v="2"/>
  </r>
  <r>
    <n v="710"/>
    <x v="1"/>
    <n v="0"/>
    <x v="0"/>
    <x v="1"/>
    <x v="2"/>
    <x v="1"/>
  </r>
  <r>
    <n v="592"/>
    <x v="0"/>
    <n v="0"/>
    <x v="0"/>
    <x v="0"/>
    <x v="0"/>
    <x v="2"/>
  </r>
  <r>
    <n v="772"/>
    <x v="1"/>
    <n v="0"/>
    <x v="0"/>
    <x v="2"/>
    <x v="1"/>
    <x v="2"/>
  </r>
  <r>
    <n v="1985"/>
    <x v="0"/>
    <n v="0"/>
    <x v="1"/>
    <x v="2"/>
    <x v="2"/>
    <x v="2"/>
  </r>
  <r>
    <n v="428"/>
    <x v="1"/>
    <n v="0"/>
    <x v="0"/>
    <x v="2"/>
    <x v="1"/>
    <x v="2"/>
  </r>
  <r>
    <n v="79"/>
    <x v="0"/>
    <n v="0"/>
    <x v="4"/>
    <x v="0"/>
    <x v="0"/>
    <x v="2"/>
  </r>
  <r>
    <n v="992"/>
    <x v="1"/>
    <n v="0"/>
    <x v="1"/>
    <x v="0"/>
    <x v="0"/>
    <x v="2"/>
  </r>
  <r>
    <n v="1324"/>
    <x v="1"/>
    <n v="0"/>
    <x v="0"/>
    <x v="1"/>
    <x v="2"/>
    <x v="2"/>
  </r>
  <r>
    <n v="1315"/>
    <x v="1"/>
    <n v="0"/>
    <x v="1"/>
    <x v="2"/>
    <x v="3"/>
    <x v="2"/>
  </r>
  <r>
    <n v="1468"/>
    <x v="0"/>
    <n v="0"/>
    <x v="2"/>
    <x v="1"/>
    <x v="2"/>
    <x v="2"/>
  </r>
  <r>
    <n v="154"/>
    <x v="0"/>
    <n v="0"/>
    <x v="3"/>
    <x v="2"/>
    <x v="2"/>
    <x v="1"/>
  </r>
  <r>
    <n v="207"/>
    <x v="1"/>
    <n v="0"/>
    <x v="1"/>
    <x v="0"/>
    <x v="0"/>
    <x v="1"/>
  </r>
  <r>
    <n v="1615"/>
    <x v="1"/>
    <n v="0"/>
    <x v="0"/>
    <x v="1"/>
    <x v="2"/>
    <x v="2"/>
  </r>
  <r>
    <n v="1633"/>
    <x v="0"/>
    <n v="0"/>
    <x v="1"/>
    <x v="0"/>
    <x v="0"/>
    <x v="1"/>
  </r>
  <r>
    <n v="626"/>
    <x v="0"/>
    <n v="0"/>
    <x v="0"/>
    <x v="1"/>
    <x v="2"/>
    <x v="2"/>
  </r>
  <r>
    <n v="1074"/>
    <x v="4"/>
    <n v="0"/>
    <x v="2"/>
    <x v="0"/>
    <x v="0"/>
    <x v="2"/>
  </r>
  <r>
    <n v="567"/>
    <x v="1"/>
    <n v="0"/>
    <x v="0"/>
    <x v="2"/>
    <x v="0"/>
    <x v="2"/>
  </r>
  <r>
    <n v="1737"/>
    <x v="0"/>
    <n v="0"/>
    <x v="1"/>
    <x v="2"/>
    <x v="2"/>
    <x v="2"/>
  </r>
  <r>
    <n v="311"/>
    <x v="0"/>
    <n v="0"/>
    <x v="0"/>
    <x v="1"/>
    <x v="2"/>
    <x v="2"/>
  </r>
  <r>
    <n v="361"/>
    <x v="0"/>
    <n v="0"/>
    <x v="3"/>
    <x v="2"/>
    <x v="2"/>
    <x v="2"/>
  </r>
  <r>
    <n v="238"/>
    <x v="0"/>
    <n v="0"/>
    <x v="3"/>
    <x v="0"/>
    <x v="0"/>
    <x v="2"/>
  </r>
  <r>
    <n v="5"/>
    <x v="1"/>
    <n v="0"/>
    <x v="0"/>
    <x v="2"/>
    <x v="0"/>
    <x v="1"/>
  </r>
  <r>
    <n v="1997"/>
    <x v="0"/>
    <n v="0"/>
    <x v="0"/>
    <x v="2"/>
    <x v="2"/>
    <x v="2"/>
  </r>
  <r>
    <n v="663"/>
    <x v="0"/>
    <n v="0"/>
    <x v="4"/>
    <x v="1"/>
    <x v="2"/>
    <x v="2"/>
  </r>
  <r>
    <n v="1034"/>
    <x v="4"/>
    <n v="0"/>
    <x v="0"/>
    <x v="2"/>
    <x v="1"/>
    <x v="2"/>
  </r>
  <r>
    <n v="1297"/>
    <x v="2"/>
    <n v="0"/>
    <x v="3"/>
    <x v="0"/>
    <x v="0"/>
    <x v="2"/>
  </r>
  <r>
    <n v="532"/>
    <x v="4"/>
    <n v="0"/>
    <x v="1"/>
    <x v="2"/>
    <x v="3"/>
    <x v="2"/>
  </r>
  <r>
    <n v="8"/>
    <x v="1"/>
    <n v="0"/>
    <x v="3"/>
    <x v="0"/>
    <x v="0"/>
    <x v="1"/>
  </r>
  <r>
    <n v="1918"/>
    <x v="1"/>
    <n v="0"/>
    <x v="1"/>
    <x v="2"/>
    <x v="2"/>
    <x v="2"/>
  </r>
  <r>
    <n v="1870"/>
    <x v="1"/>
    <n v="0"/>
    <x v="1"/>
    <x v="2"/>
    <x v="2"/>
    <x v="2"/>
  </r>
  <r>
    <n v="1392"/>
    <x v="0"/>
    <n v="0"/>
    <x v="1"/>
    <x v="1"/>
    <x v="1"/>
    <x v="1"/>
  </r>
  <r>
    <n v="262"/>
    <x v="0"/>
    <n v="0"/>
    <x v="1"/>
    <x v="1"/>
    <x v="3"/>
    <x v="1"/>
  </r>
  <r>
    <n v="902"/>
    <x v="0"/>
    <n v="0"/>
    <x v="1"/>
    <x v="2"/>
    <x v="2"/>
    <x v="1"/>
  </r>
  <r>
    <n v="1941"/>
    <x v="2"/>
    <n v="0"/>
    <x v="2"/>
    <x v="2"/>
    <x v="0"/>
    <x v="2"/>
  </r>
  <r>
    <n v="390"/>
    <x v="1"/>
    <n v="0"/>
    <x v="3"/>
    <x v="2"/>
    <x v="2"/>
    <x v="1"/>
  </r>
  <r>
    <n v="148"/>
    <x v="2"/>
    <n v="0"/>
    <x v="1"/>
    <x v="0"/>
    <x v="0"/>
    <x v="2"/>
  </r>
  <r>
    <n v="70"/>
    <x v="0"/>
    <n v="0"/>
    <x v="3"/>
    <x v="2"/>
    <x v="2"/>
    <x v="1"/>
  </r>
  <r>
    <n v="1948"/>
    <x v="1"/>
    <n v="0"/>
    <x v="3"/>
    <x v="1"/>
    <x v="2"/>
    <x v="1"/>
  </r>
  <r>
    <n v="333"/>
    <x v="1"/>
    <n v="0"/>
    <x v="0"/>
    <x v="2"/>
    <x v="0"/>
    <x v="1"/>
  </r>
  <r>
    <n v="1858"/>
    <x v="1"/>
    <n v="0"/>
    <x v="3"/>
    <x v="1"/>
    <x v="2"/>
    <x v="1"/>
  </r>
  <r>
    <n v="1552"/>
    <x v="0"/>
    <n v="0"/>
    <x v="3"/>
    <x v="1"/>
    <x v="0"/>
    <x v="1"/>
  </r>
  <r>
    <n v="1746"/>
    <x v="3"/>
    <n v="0"/>
    <x v="1"/>
    <x v="2"/>
    <x v="2"/>
    <x v="1"/>
  </r>
  <r>
    <n v="792"/>
    <x v="1"/>
    <n v="0"/>
    <x v="3"/>
    <x v="1"/>
    <x v="2"/>
    <x v="1"/>
  </r>
  <r>
    <n v="1060"/>
    <x v="0"/>
    <n v="0"/>
    <x v="0"/>
    <x v="2"/>
    <x v="2"/>
    <x v="1"/>
  </r>
  <r>
    <n v="1801"/>
    <x v="2"/>
    <n v="0"/>
    <x v="3"/>
    <x v="0"/>
    <x v="0"/>
    <x v="1"/>
  </r>
  <r>
    <n v="754"/>
    <x v="0"/>
    <n v="0"/>
    <x v="1"/>
    <x v="2"/>
    <x v="2"/>
    <x v="1"/>
  </r>
  <r>
    <n v="399"/>
    <x v="1"/>
    <n v="0"/>
    <x v="1"/>
    <x v="1"/>
    <x v="2"/>
    <x v="1"/>
  </r>
  <r>
    <n v="1837"/>
    <x v="4"/>
    <n v="0"/>
    <x v="0"/>
    <x v="2"/>
    <x v="0"/>
    <x v="1"/>
  </r>
  <r>
    <n v="1135"/>
    <x v="1"/>
    <n v="0"/>
    <x v="1"/>
    <x v="2"/>
    <x v="2"/>
    <x v="1"/>
  </r>
  <r>
    <n v="274"/>
    <x v="1"/>
    <n v="0"/>
    <x v="2"/>
    <x v="2"/>
    <x v="2"/>
    <x v="1"/>
  </r>
  <r>
    <n v="632"/>
    <x v="3"/>
    <n v="0"/>
    <x v="1"/>
    <x v="2"/>
    <x v="1"/>
    <x v="1"/>
  </r>
  <r>
    <n v="218"/>
    <x v="1"/>
    <n v="0"/>
    <x v="1"/>
    <x v="1"/>
    <x v="2"/>
    <x v="1"/>
  </r>
  <r>
    <n v="1496"/>
    <x v="0"/>
    <n v="0"/>
    <x v="2"/>
    <x v="0"/>
    <x v="0"/>
    <x v="1"/>
  </r>
  <r>
    <n v="174"/>
    <x v="2"/>
    <n v="0"/>
    <x v="1"/>
    <x v="0"/>
    <x v="0"/>
    <x v="1"/>
  </r>
  <r>
    <n v="1412"/>
    <x v="0"/>
    <n v="0"/>
    <x v="3"/>
    <x v="0"/>
    <x v="0"/>
    <x v="1"/>
  </r>
  <r>
    <n v="1812"/>
    <x v="0"/>
    <n v="0"/>
    <x v="1"/>
    <x v="1"/>
    <x v="2"/>
    <x v="1"/>
  </r>
  <r>
    <n v="23"/>
    <x v="2"/>
    <n v="0"/>
    <x v="0"/>
    <x v="2"/>
    <x v="0"/>
    <x v="1"/>
  </r>
  <r>
    <n v="734"/>
    <x v="0"/>
    <n v="0"/>
    <x v="1"/>
    <x v="2"/>
    <x v="2"/>
    <x v="1"/>
  </r>
  <r>
    <n v="1267"/>
    <x v="0"/>
    <n v="0"/>
    <x v="1"/>
    <x v="2"/>
    <x v="2"/>
    <x v="1"/>
  </r>
  <r>
    <n v="731"/>
    <x v="0"/>
    <n v="0"/>
    <x v="0"/>
    <x v="1"/>
    <x v="3"/>
    <x v="2"/>
  </r>
  <r>
    <n v="1293"/>
    <x v="0"/>
    <n v="0"/>
    <x v="0"/>
    <x v="0"/>
    <x v="0"/>
    <x v="2"/>
  </r>
  <r>
    <n v="1740"/>
    <x v="0"/>
    <n v="0"/>
    <x v="0"/>
    <x v="0"/>
    <x v="0"/>
    <x v="2"/>
  </r>
  <r>
    <n v="81"/>
    <x v="4"/>
    <n v="0"/>
    <x v="1"/>
    <x v="0"/>
    <x v="0"/>
    <x v="2"/>
  </r>
  <r>
    <n v="1975"/>
    <x v="0"/>
    <n v="0"/>
    <x v="0"/>
    <x v="0"/>
    <x v="0"/>
    <x v="2"/>
  </r>
  <r>
    <n v="2056"/>
    <x v="0"/>
    <n v="0"/>
    <x v="2"/>
    <x v="2"/>
    <x v="2"/>
    <x v="2"/>
  </r>
  <r>
    <n v="851"/>
    <x v="2"/>
    <n v="0"/>
    <x v="0"/>
    <x v="2"/>
    <x v="2"/>
    <x v="2"/>
  </r>
  <r>
    <n v="1863"/>
    <x v="2"/>
    <n v="0"/>
    <x v="1"/>
    <x v="1"/>
    <x v="2"/>
    <x v="1"/>
  </r>
  <r>
    <n v="625"/>
    <x v="0"/>
    <n v="0"/>
    <x v="4"/>
    <x v="2"/>
    <x v="2"/>
    <x v="2"/>
  </r>
  <r>
    <n v="857"/>
    <x v="0"/>
    <n v="0"/>
    <x v="3"/>
    <x v="2"/>
    <x v="2"/>
    <x v="2"/>
  </r>
  <r>
    <n v="981"/>
    <x v="2"/>
    <n v="0"/>
    <x v="3"/>
    <x v="1"/>
    <x v="2"/>
    <x v="2"/>
  </r>
  <r>
    <n v="307"/>
    <x v="0"/>
    <n v="0"/>
    <x v="1"/>
    <x v="1"/>
    <x v="1"/>
    <x v="2"/>
  </r>
  <r>
    <n v="182"/>
    <x v="0"/>
    <n v="0"/>
    <x v="0"/>
    <x v="2"/>
    <x v="2"/>
    <x v="2"/>
  </r>
  <r>
    <n v="100"/>
    <x v="0"/>
    <n v="0"/>
    <x v="0"/>
    <x v="0"/>
    <x v="0"/>
    <x v="1"/>
  </r>
  <r>
    <n v="1995"/>
    <x v="0"/>
    <n v="0"/>
    <x v="0"/>
    <x v="2"/>
    <x v="1"/>
    <x v="2"/>
  </r>
  <r>
    <n v="2016"/>
    <x v="1"/>
    <n v="0"/>
    <x v="0"/>
    <x v="2"/>
    <x v="1"/>
    <x v="2"/>
  </r>
  <r>
    <n v="1710"/>
    <x v="0"/>
    <n v="0"/>
    <x v="0"/>
    <x v="0"/>
    <x v="0"/>
    <x v="2"/>
  </r>
  <r>
    <n v="1527"/>
    <x v="2"/>
    <n v="0"/>
    <x v="1"/>
    <x v="2"/>
    <x v="2"/>
    <x v="2"/>
  </r>
  <r>
    <n v="420"/>
    <x v="1"/>
    <n v="0"/>
    <x v="1"/>
    <x v="2"/>
    <x v="2"/>
    <x v="2"/>
  </r>
  <r>
    <n v="1478"/>
    <x v="1"/>
    <n v="0"/>
    <x v="1"/>
    <x v="0"/>
    <x v="0"/>
    <x v="1"/>
  </r>
  <r>
    <n v="1453"/>
    <x v="1"/>
    <n v="0"/>
    <x v="3"/>
    <x v="1"/>
    <x v="2"/>
    <x v="2"/>
  </r>
  <r>
    <n v="436"/>
    <x v="1"/>
    <n v="0"/>
    <x v="3"/>
    <x v="2"/>
    <x v="0"/>
    <x v="2"/>
  </r>
  <r>
    <n v="1039"/>
    <x v="0"/>
    <n v="0"/>
    <x v="1"/>
    <x v="2"/>
    <x v="2"/>
    <x v="2"/>
  </r>
  <r>
    <n v="215"/>
    <x v="0"/>
    <n v="0"/>
    <x v="0"/>
    <x v="2"/>
    <x v="2"/>
    <x v="1"/>
  </r>
  <r>
    <n v="1784"/>
    <x v="1"/>
    <n v="0"/>
    <x v="0"/>
    <x v="2"/>
    <x v="1"/>
    <x v="2"/>
  </r>
  <r>
    <n v="1124"/>
    <x v="2"/>
    <n v="0"/>
    <x v="2"/>
    <x v="2"/>
    <x v="2"/>
    <x v="2"/>
  </r>
  <r>
    <n v="406"/>
    <x v="0"/>
    <n v="0"/>
    <x v="1"/>
    <x v="2"/>
    <x v="1"/>
    <x v="2"/>
  </r>
  <r>
    <n v="600"/>
    <x v="0"/>
    <n v="0"/>
    <x v="1"/>
    <x v="2"/>
    <x v="0"/>
    <x v="2"/>
  </r>
  <r>
    <n v="121"/>
    <x v="1"/>
    <n v="0"/>
    <x v="3"/>
    <x v="1"/>
    <x v="3"/>
    <x v="1"/>
  </r>
  <r>
    <n v="184"/>
    <x v="1"/>
    <n v="0"/>
    <x v="1"/>
    <x v="2"/>
    <x v="0"/>
    <x v="2"/>
  </r>
  <r>
    <n v="1986"/>
    <x v="0"/>
    <n v="0"/>
    <x v="3"/>
    <x v="2"/>
    <x v="2"/>
    <x v="2"/>
  </r>
  <r>
    <n v="125"/>
    <x v="1"/>
    <n v="0"/>
    <x v="0"/>
    <x v="0"/>
    <x v="0"/>
    <x v="2"/>
  </r>
  <r>
    <n v="1794"/>
    <x v="0"/>
    <n v="0"/>
    <x v="3"/>
    <x v="1"/>
    <x v="0"/>
    <x v="2"/>
  </r>
  <r>
    <n v="228"/>
    <x v="1"/>
    <n v="0"/>
    <x v="1"/>
    <x v="2"/>
    <x v="2"/>
    <x v="2"/>
  </r>
  <r>
    <n v="1356"/>
    <x v="1"/>
    <n v="0"/>
    <x v="3"/>
    <x v="0"/>
    <x v="0"/>
    <x v="2"/>
  </r>
  <r>
    <n v="621"/>
    <x v="1"/>
    <n v="0"/>
    <x v="0"/>
    <x v="0"/>
    <x v="0"/>
    <x v="2"/>
  </r>
  <r>
    <n v="1708"/>
    <x v="0"/>
    <n v="0"/>
    <x v="1"/>
    <x v="0"/>
    <x v="0"/>
    <x v="2"/>
  </r>
  <r>
    <n v="1706"/>
    <x v="0"/>
    <n v="0"/>
    <x v="1"/>
    <x v="2"/>
    <x v="2"/>
    <x v="2"/>
  </r>
  <r>
    <n v="513"/>
    <x v="0"/>
    <n v="0"/>
    <x v="3"/>
    <x v="2"/>
    <x v="1"/>
    <x v="2"/>
  </r>
  <r>
    <n v="1535"/>
    <x v="1"/>
    <n v="0"/>
    <x v="1"/>
    <x v="2"/>
    <x v="0"/>
    <x v="2"/>
  </r>
  <r>
    <n v="1138"/>
    <x v="2"/>
    <n v="0"/>
    <x v="0"/>
    <x v="2"/>
    <x v="2"/>
    <x v="1"/>
  </r>
  <r>
    <n v="1070"/>
    <x v="2"/>
    <n v="0"/>
    <x v="0"/>
    <x v="2"/>
    <x v="2"/>
    <x v="2"/>
  </r>
  <r>
    <n v="698"/>
    <x v="2"/>
    <n v="0"/>
    <x v="0"/>
    <x v="2"/>
    <x v="2"/>
    <x v="2"/>
  </r>
  <r>
    <n v="2024"/>
    <x v="0"/>
    <n v="0"/>
    <x v="1"/>
    <x v="2"/>
    <x v="1"/>
    <x v="1"/>
  </r>
  <r>
    <n v="595"/>
    <x v="2"/>
    <n v="0"/>
    <x v="4"/>
    <x v="2"/>
    <x v="2"/>
    <x v="2"/>
  </r>
  <r>
    <n v="1582"/>
    <x v="0"/>
    <n v="0"/>
    <x v="1"/>
    <x v="2"/>
    <x v="2"/>
    <x v="2"/>
  </r>
  <r>
    <n v="35"/>
    <x v="0"/>
    <n v="0"/>
    <x v="0"/>
    <x v="2"/>
    <x v="2"/>
    <x v="2"/>
  </r>
  <r>
    <n v="416"/>
    <x v="1"/>
    <n v="0"/>
    <x v="1"/>
    <x v="2"/>
    <x v="2"/>
    <x v="2"/>
  </r>
  <r>
    <n v="1548"/>
    <x v="0"/>
    <n v="0"/>
    <x v="3"/>
    <x v="2"/>
    <x v="0"/>
    <x v="2"/>
  </r>
  <r>
    <n v="606"/>
    <x v="2"/>
    <n v="0"/>
    <x v="1"/>
    <x v="2"/>
    <x v="2"/>
    <x v="1"/>
  </r>
  <r>
    <n v="760"/>
    <x v="0"/>
    <n v="0"/>
    <x v="1"/>
    <x v="2"/>
    <x v="2"/>
    <x v="1"/>
  </r>
  <r>
    <n v="1557"/>
    <x v="2"/>
    <n v="0"/>
    <x v="0"/>
    <x v="1"/>
    <x v="2"/>
    <x v="2"/>
  </r>
  <r>
    <n v="783"/>
    <x v="2"/>
    <n v="0"/>
    <x v="3"/>
    <x v="0"/>
    <x v="0"/>
    <x v="1"/>
  </r>
  <r>
    <n v="1119"/>
    <x v="0"/>
    <n v="0"/>
    <x v="0"/>
    <x v="1"/>
    <x v="1"/>
    <x v="1"/>
  </r>
  <r>
    <n v="476"/>
    <x v="1"/>
    <n v="0"/>
    <x v="1"/>
    <x v="2"/>
    <x v="2"/>
    <x v="2"/>
  </r>
  <r>
    <n v="1588"/>
    <x v="0"/>
    <n v="0"/>
    <x v="1"/>
    <x v="2"/>
    <x v="2"/>
    <x v="2"/>
  </r>
  <r>
    <n v="1338"/>
    <x v="4"/>
    <n v="0"/>
    <x v="0"/>
    <x v="0"/>
    <x v="0"/>
    <x v="2"/>
  </r>
  <r>
    <n v="1066"/>
    <x v="0"/>
    <n v="0"/>
    <x v="1"/>
    <x v="2"/>
    <x v="2"/>
    <x v="2"/>
  </r>
  <r>
    <n v="363"/>
    <x v="2"/>
    <n v="0"/>
    <x v="1"/>
    <x v="2"/>
    <x v="2"/>
    <x v="2"/>
  </r>
  <r>
    <n v="941"/>
    <x v="1"/>
    <n v="0"/>
    <x v="0"/>
    <x v="2"/>
    <x v="0"/>
    <x v="2"/>
  </r>
  <r>
    <n v="1403"/>
    <x v="1"/>
    <n v="0"/>
    <x v="1"/>
    <x v="2"/>
    <x v="0"/>
    <x v="2"/>
  </r>
  <r>
    <n v="533"/>
    <x v="1"/>
    <n v="0"/>
    <x v="1"/>
    <x v="0"/>
    <x v="0"/>
    <x v="2"/>
  </r>
  <r>
    <n v="2013"/>
    <x v="1"/>
    <n v="0"/>
    <x v="0"/>
    <x v="2"/>
    <x v="2"/>
    <x v="1"/>
  </r>
  <r>
    <n v="1657"/>
    <x v="3"/>
    <n v="0"/>
    <x v="1"/>
    <x v="0"/>
    <x v="0"/>
    <x v="1"/>
  </r>
  <r>
    <n v="1226"/>
    <x v="3"/>
    <n v="0"/>
    <x v="1"/>
    <x v="0"/>
    <x v="0"/>
    <x v="1"/>
  </r>
  <r>
    <n v="1683"/>
    <x v="0"/>
    <n v="0"/>
    <x v="1"/>
    <x v="1"/>
    <x v="3"/>
    <x v="1"/>
  </r>
  <r>
    <n v="712"/>
    <x v="2"/>
    <n v="0"/>
    <x v="2"/>
    <x v="2"/>
    <x v="0"/>
    <x v="1"/>
  </r>
  <r>
    <n v="1466"/>
    <x v="2"/>
    <n v="0"/>
    <x v="1"/>
    <x v="1"/>
    <x v="3"/>
    <x v="1"/>
  </r>
  <r>
    <n v="183"/>
    <x v="1"/>
    <n v="0"/>
    <x v="1"/>
    <x v="2"/>
    <x v="0"/>
    <x v="1"/>
  </r>
  <r>
    <n v="766"/>
    <x v="1"/>
    <n v="0"/>
    <x v="1"/>
    <x v="1"/>
    <x v="1"/>
    <x v="1"/>
  </r>
  <r>
    <n v="374"/>
    <x v="4"/>
    <n v="0"/>
    <x v="1"/>
    <x v="0"/>
    <x v="0"/>
    <x v="1"/>
  </r>
  <r>
    <n v="259"/>
    <x v="2"/>
    <n v="0"/>
    <x v="0"/>
    <x v="2"/>
    <x v="2"/>
    <x v="2"/>
  </r>
  <r>
    <n v="549"/>
    <x v="4"/>
    <n v="0"/>
    <x v="1"/>
    <x v="2"/>
    <x v="0"/>
    <x v="2"/>
  </r>
  <r>
    <n v="569"/>
    <x v="2"/>
    <n v="0"/>
    <x v="0"/>
    <x v="2"/>
    <x v="2"/>
    <x v="2"/>
  </r>
  <r>
    <n v="80"/>
    <x v="2"/>
    <n v="0"/>
    <x v="3"/>
    <x v="1"/>
    <x v="2"/>
    <x v="2"/>
  </r>
  <r>
    <n v="820"/>
    <x v="2"/>
    <n v="0"/>
    <x v="3"/>
    <x v="2"/>
    <x v="2"/>
    <x v="1"/>
  </r>
  <r>
    <n v="520"/>
    <x v="0"/>
    <n v="0"/>
    <x v="1"/>
    <x v="1"/>
    <x v="2"/>
    <x v="1"/>
  </r>
  <r>
    <n v="1288"/>
    <x v="0"/>
    <n v="0"/>
    <x v="3"/>
    <x v="1"/>
    <x v="1"/>
    <x v="2"/>
  </r>
  <r>
    <n v="254"/>
    <x v="4"/>
    <n v="0"/>
    <x v="0"/>
    <x v="0"/>
    <x v="0"/>
    <x v="1"/>
  </r>
  <r>
    <n v="36"/>
    <x v="0"/>
    <n v="0"/>
    <x v="0"/>
    <x v="2"/>
    <x v="2"/>
    <x v="2"/>
  </r>
  <r>
    <n v="2031"/>
    <x v="0"/>
    <n v="0"/>
    <x v="1"/>
    <x v="2"/>
    <x v="0"/>
    <x v="2"/>
  </r>
  <r>
    <n v="319"/>
    <x v="0"/>
    <n v="0"/>
    <x v="3"/>
    <x v="2"/>
    <x v="0"/>
    <x v="2"/>
  </r>
  <r>
    <n v="1867"/>
    <x v="2"/>
    <n v="0"/>
    <x v="1"/>
    <x v="2"/>
    <x v="0"/>
    <x v="2"/>
  </r>
  <r>
    <n v="1109"/>
    <x v="0"/>
    <n v="0"/>
    <x v="3"/>
    <x v="2"/>
    <x v="2"/>
    <x v="2"/>
  </r>
  <r>
    <n v="1827"/>
    <x v="2"/>
    <n v="0"/>
    <x v="1"/>
    <x v="1"/>
    <x v="2"/>
    <x v="2"/>
  </r>
  <r>
    <n v="1026"/>
    <x v="0"/>
    <n v="0"/>
    <x v="2"/>
    <x v="2"/>
    <x v="2"/>
    <x v="2"/>
  </r>
  <r>
    <n v="1719"/>
    <x v="2"/>
    <n v="0"/>
    <x v="3"/>
    <x v="0"/>
    <x v="0"/>
    <x v="2"/>
  </r>
  <r>
    <n v="429"/>
    <x v="0"/>
    <n v="0"/>
    <x v="2"/>
    <x v="2"/>
    <x v="0"/>
    <x v="2"/>
  </r>
  <r>
    <n v="352"/>
    <x v="0"/>
    <n v="0"/>
    <x v="3"/>
    <x v="1"/>
    <x v="2"/>
    <x v="1"/>
  </r>
  <r>
    <n v="1422"/>
    <x v="2"/>
    <n v="0"/>
    <x v="1"/>
    <x v="0"/>
    <x v="0"/>
    <x v="2"/>
  </r>
  <r>
    <n v="162"/>
    <x v="2"/>
    <n v="0"/>
    <x v="1"/>
    <x v="0"/>
    <x v="0"/>
    <x v="2"/>
  </r>
  <r>
    <n v="253"/>
    <x v="0"/>
    <n v="0"/>
    <x v="2"/>
    <x v="2"/>
    <x v="2"/>
    <x v="2"/>
  </r>
  <r>
    <n v="1128"/>
    <x v="0"/>
    <n v="0"/>
    <x v="1"/>
    <x v="0"/>
    <x v="0"/>
    <x v="2"/>
  </r>
  <r>
    <n v="372"/>
    <x v="2"/>
    <n v="0"/>
    <x v="3"/>
    <x v="2"/>
    <x v="0"/>
    <x v="2"/>
  </r>
  <r>
    <n v="601"/>
    <x v="0"/>
    <n v="0"/>
    <x v="1"/>
    <x v="0"/>
    <x v="0"/>
    <x v="2"/>
  </r>
  <r>
    <n v="1523"/>
    <x v="0"/>
    <n v="0"/>
    <x v="1"/>
    <x v="2"/>
    <x v="2"/>
    <x v="2"/>
  </r>
  <r>
    <n v="1443"/>
    <x v="2"/>
    <n v="0"/>
    <x v="0"/>
    <x v="2"/>
    <x v="1"/>
    <x v="2"/>
  </r>
  <r>
    <n v="716"/>
    <x v="2"/>
    <n v="0"/>
    <x v="2"/>
    <x v="2"/>
    <x v="3"/>
    <x v="1"/>
  </r>
  <r>
    <n v="721"/>
    <x v="0"/>
    <n v="0"/>
    <x v="0"/>
    <x v="0"/>
    <x v="0"/>
    <x v="2"/>
  </r>
  <r>
    <n v="1373"/>
    <x v="4"/>
    <n v="0"/>
    <x v="1"/>
    <x v="2"/>
    <x v="2"/>
    <x v="2"/>
  </r>
  <r>
    <n v="1307"/>
    <x v="0"/>
    <n v="0"/>
    <x v="0"/>
    <x v="1"/>
    <x v="1"/>
    <x v="2"/>
  </r>
  <r>
    <n v="1892"/>
    <x v="0"/>
    <n v="0"/>
    <x v="0"/>
    <x v="1"/>
    <x v="2"/>
    <x v="2"/>
  </r>
  <r>
    <n v="1336"/>
    <x v="4"/>
    <n v="0"/>
    <x v="3"/>
    <x v="2"/>
    <x v="2"/>
    <x v="2"/>
  </r>
  <r>
    <n v="417"/>
    <x v="0"/>
    <n v="0"/>
    <x v="1"/>
    <x v="1"/>
    <x v="3"/>
    <x v="1"/>
  </r>
  <r>
    <n v="515"/>
    <x v="0"/>
    <n v="0"/>
    <x v="1"/>
    <x v="1"/>
    <x v="2"/>
    <x v="2"/>
  </r>
  <r>
    <n v="957"/>
    <x v="0"/>
    <n v="0"/>
    <x v="1"/>
    <x v="0"/>
    <x v="0"/>
    <x v="1"/>
  </r>
  <r>
    <n v="691"/>
    <x v="0"/>
    <n v="0"/>
    <x v="0"/>
    <x v="0"/>
    <x v="0"/>
    <x v="2"/>
  </r>
  <r>
    <n v="391"/>
    <x v="0"/>
    <n v="0"/>
    <x v="1"/>
    <x v="0"/>
    <x v="0"/>
    <x v="2"/>
  </r>
  <r>
    <n v="83"/>
    <x v="0"/>
    <n v="0"/>
    <x v="1"/>
    <x v="1"/>
    <x v="3"/>
    <x v="2"/>
  </r>
  <r>
    <n v="1014"/>
    <x v="0"/>
    <n v="0"/>
    <x v="0"/>
    <x v="1"/>
    <x v="2"/>
    <x v="2"/>
  </r>
  <r>
    <n v="1294"/>
    <x v="0"/>
    <n v="0"/>
    <x v="0"/>
    <x v="0"/>
    <x v="0"/>
    <x v="2"/>
  </r>
  <r>
    <n v="138"/>
    <x v="1"/>
    <n v="0"/>
    <x v="0"/>
    <x v="0"/>
    <x v="0"/>
    <x v="1"/>
  </r>
  <r>
    <n v="924"/>
    <x v="0"/>
    <n v="0"/>
    <x v="2"/>
    <x v="2"/>
    <x v="2"/>
    <x v="2"/>
  </r>
  <r>
    <n v="1024"/>
    <x v="2"/>
    <n v="0"/>
    <x v="0"/>
    <x v="0"/>
    <x v="0"/>
    <x v="2"/>
  </r>
  <r>
    <n v="170"/>
    <x v="2"/>
    <n v="0"/>
    <x v="0"/>
    <x v="2"/>
    <x v="0"/>
    <x v="2"/>
  </r>
  <r>
    <n v="373"/>
    <x v="0"/>
    <n v="0"/>
    <x v="1"/>
    <x v="2"/>
    <x v="2"/>
    <x v="2"/>
  </r>
  <r>
    <n v="950"/>
    <x v="0"/>
    <n v="0"/>
    <x v="1"/>
    <x v="2"/>
    <x v="2"/>
    <x v="2"/>
  </r>
  <r>
    <n v="1661"/>
    <x v="2"/>
    <n v="0"/>
    <x v="2"/>
    <x v="2"/>
    <x v="2"/>
    <x v="1"/>
  </r>
  <r>
    <n v="1696"/>
    <x v="1"/>
    <n v="0"/>
    <x v="3"/>
    <x v="2"/>
    <x v="2"/>
    <x v="2"/>
  </r>
  <r>
    <n v="1549"/>
    <x v="1"/>
    <n v="0"/>
    <x v="0"/>
    <x v="2"/>
    <x v="2"/>
    <x v="2"/>
  </r>
  <r>
    <n v="1196"/>
    <x v="0"/>
    <n v="0"/>
    <x v="1"/>
    <x v="2"/>
    <x v="2"/>
    <x v="1"/>
  </r>
  <r>
    <n v="32"/>
    <x v="2"/>
    <n v="0"/>
    <x v="1"/>
    <x v="1"/>
    <x v="2"/>
    <x v="2"/>
  </r>
  <r>
    <n v="830"/>
    <x v="1"/>
    <n v="0"/>
    <x v="1"/>
    <x v="2"/>
    <x v="2"/>
    <x v="2"/>
  </r>
  <r>
    <n v="1383"/>
    <x v="1"/>
    <n v="0"/>
    <x v="0"/>
    <x v="0"/>
    <x v="0"/>
    <x v="2"/>
  </r>
  <r>
    <n v="1238"/>
    <x v="1"/>
    <n v="0"/>
    <x v="1"/>
    <x v="2"/>
    <x v="2"/>
    <x v="2"/>
  </r>
  <r>
    <n v="1698"/>
    <x v="1"/>
    <n v="0"/>
    <x v="1"/>
    <x v="2"/>
    <x v="3"/>
    <x v="1"/>
  </r>
  <r>
    <n v="524"/>
    <x v="1"/>
    <n v="0"/>
    <x v="3"/>
    <x v="2"/>
    <x v="2"/>
    <x v="1"/>
  </r>
  <r>
    <n v="1911"/>
    <x v="0"/>
    <n v="0"/>
    <x v="1"/>
    <x v="2"/>
    <x v="2"/>
    <x v="2"/>
  </r>
  <r>
    <n v="304"/>
    <x v="0"/>
    <n v="0"/>
    <x v="3"/>
    <x v="0"/>
    <x v="0"/>
    <x v="1"/>
  </r>
  <r>
    <n v="817"/>
    <x v="1"/>
    <n v="0"/>
    <x v="1"/>
    <x v="2"/>
    <x v="0"/>
    <x v="1"/>
  </r>
  <r>
    <n v="1790"/>
    <x v="0"/>
    <n v="0"/>
    <x v="1"/>
    <x v="2"/>
    <x v="2"/>
    <x v="2"/>
  </r>
  <r>
    <n v="28"/>
    <x v="1"/>
    <n v="0"/>
    <x v="0"/>
    <x v="0"/>
    <x v="0"/>
    <x v="1"/>
  </r>
  <r>
    <n v="901"/>
    <x v="2"/>
    <n v="0"/>
    <x v="0"/>
    <x v="0"/>
    <x v="0"/>
    <x v="1"/>
  </r>
  <r>
    <n v="461"/>
    <x v="0"/>
    <n v="0"/>
    <x v="3"/>
    <x v="1"/>
    <x v="2"/>
    <x v="1"/>
  </r>
  <r>
    <n v="462"/>
    <x v="1"/>
    <n v="0"/>
    <x v="0"/>
    <x v="0"/>
    <x v="0"/>
    <x v="2"/>
  </r>
  <r>
    <n v="1529"/>
    <x v="0"/>
    <n v="0"/>
    <x v="1"/>
    <x v="0"/>
    <x v="0"/>
    <x v="1"/>
  </r>
  <r>
    <n v="153"/>
    <x v="1"/>
    <n v="0"/>
    <x v="1"/>
    <x v="0"/>
    <x v="0"/>
    <x v="2"/>
  </r>
  <r>
    <n v="117"/>
    <x v="1"/>
    <n v="0"/>
    <x v="1"/>
    <x v="2"/>
    <x v="3"/>
    <x v="2"/>
  </r>
  <r>
    <n v="339"/>
    <x v="1"/>
    <n v="0"/>
    <x v="0"/>
    <x v="2"/>
    <x v="2"/>
    <x v="2"/>
  </r>
  <r>
    <n v="1658"/>
    <x v="1"/>
    <n v="0"/>
    <x v="1"/>
    <x v="1"/>
    <x v="2"/>
    <x v="2"/>
  </r>
  <r>
    <n v="1543"/>
    <x v="0"/>
    <n v="0"/>
    <x v="1"/>
    <x v="2"/>
    <x v="0"/>
    <x v="1"/>
  </r>
  <r>
    <n v="689"/>
    <x v="0"/>
    <n v="0"/>
    <x v="1"/>
    <x v="2"/>
    <x v="2"/>
    <x v="2"/>
  </r>
  <r>
    <n v="1635"/>
    <x v="2"/>
    <n v="0"/>
    <x v="3"/>
    <x v="1"/>
    <x v="1"/>
    <x v="1"/>
  </r>
  <r>
    <n v="20"/>
    <x v="1"/>
    <n v="0"/>
    <x v="0"/>
    <x v="1"/>
    <x v="2"/>
    <x v="2"/>
  </r>
  <r>
    <n v="1553"/>
    <x v="2"/>
    <n v="0"/>
    <x v="0"/>
    <x v="1"/>
    <x v="3"/>
    <x v="2"/>
  </r>
  <r>
    <n v="1224"/>
    <x v="1"/>
    <n v="0"/>
    <x v="0"/>
    <x v="1"/>
    <x v="3"/>
    <x v="2"/>
  </r>
  <r>
    <n v="683"/>
    <x v="1"/>
    <n v="0"/>
    <x v="4"/>
    <x v="2"/>
    <x v="2"/>
    <x v="2"/>
  </r>
  <r>
    <n v="104"/>
    <x v="1"/>
    <n v="0"/>
    <x v="2"/>
    <x v="2"/>
    <x v="1"/>
    <x v="1"/>
  </r>
  <r>
    <n v="1798"/>
    <x v="1"/>
    <n v="0"/>
    <x v="0"/>
    <x v="2"/>
    <x v="2"/>
    <x v="2"/>
  </r>
  <r>
    <n v="452"/>
    <x v="2"/>
    <n v="0"/>
    <x v="0"/>
    <x v="2"/>
    <x v="1"/>
    <x v="2"/>
  </r>
  <r>
    <n v="1246"/>
    <x v="0"/>
    <n v="0"/>
    <x v="2"/>
    <x v="2"/>
    <x v="2"/>
    <x v="2"/>
  </r>
  <r>
    <n v="659"/>
    <x v="0"/>
    <n v="0"/>
    <x v="0"/>
    <x v="2"/>
    <x v="1"/>
    <x v="1"/>
  </r>
  <r>
    <n v="1701"/>
    <x v="1"/>
    <n v="0"/>
    <x v="1"/>
    <x v="2"/>
    <x v="0"/>
    <x v="2"/>
  </r>
  <r>
    <n v="630"/>
    <x v="2"/>
    <n v="0"/>
    <x v="3"/>
    <x v="1"/>
    <x v="1"/>
    <x v="2"/>
  </r>
  <r>
    <n v="296"/>
    <x v="2"/>
    <n v="0"/>
    <x v="0"/>
    <x v="2"/>
    <x v="1"/>
    <x v="2"/>
  </r>
  <r>
    <n v="1346"/>
    <x v="0"/>
    <n v="0"/>
    <x v="1"/>
    <x v="0"/>
    <x v="0"/>
    <x v="2"/>
  </r>
  <r>
    <n v="1244"/>
    <x v="1"/>
    <n v="0"/>
    <x v="1"/>
    <x v="2"/>
    <x v="1"/>
    <x v="2"/>
  </r>
  <r>
    <n v="836"/>
    <x v="0"/>
    <n v="0"/>
    <x v="1"/>
    <x v="2"/>
    <x v="2"/>
    <x v="2"/>
  </r>
  <r>
    <n v="961"/>
    <x v="1"/>
    <n v="0"/>
    <x v="1"/>
    <x v="2"/>
    <x v="1"/>
    <x v="2"/>
  </r>
  <r>
    <n v="1311"/>
    <x v="1"/>
    <n v="0"/>
    <x v="1"/>
    <x v="2"/>
    <x v="2"/>
    <x v="2"/>
  </r>
  <r>
    <n v="1283"/>
    <x v="4"/>
    <n v="0"/>
    <x v="0"/>
    <x v="0"/>
    <x v="0"/>
    <x v="2"/>
  </r>
  <r>
    <n v="2009"/>
    <x v="1"/>
    <n v="0"/>
    <x v="3"/>
    <x v="2"/>
    <x v="2"/>
    <x v="2"/>
  </r>
  <r>
    <n v="1857"/>
    <x v="2"/>
    <n v="0"/>
    <x v="3"/>
    <x v="1"/>
    <x v="2"/>
    <x v="2"/>
  </r>
  <r>
    <n v="351"/>
    <x v="0"/>
    <n v="0"/>
    <x v="1"/>
    <x v="1"/>
    <x v="2"/>
    <x v="2"/>
  </r>
  <r>
    <n v="976"/>
    <x v="2"/>
    <n v="0"/>
    <x v="3"/>
    <x v="2"/>
    <x v="2"/>
    <x v="2"/>
  </r>
  <r>
    <n v="335"/>
    <x v="0"/>
    <n v="0"/>
    <x v="3"/>
    <x v="1"/>
    <x v="1"/>
    <x v="2"/>
  </r>
  <r>
    <n v="1888"/>
    <x v="2"/>
    <n v="0"/>
    <x v="3"/>
    <x v="2"/>
    <x v="1"/>
    <x v="1"/>
  </r>
  <r>
    <n v="966"/>
    <x v="1"/>
    <n v="0"/>
    <x v="0"/>
    <x v="2"/>
    <x v="2"/>
    <x v="2"/>
  </r>
  <r>
    <n v="717"/>
    <x v="1"/>
    <n v="0"/>
    <x v="1"/>
    <x v="0"/>
    <x v="0"/>
    <x v="2"/>
  </r>
  <r>
    <n v="397"/>
    <x v="0"/>
    <n v="0"/>
    <x v="1"/>
    <x v="0"/>
    <x v="0"/>
    <x v="2"/>
  </r>
  <r>
    <n v="1118"/>
    <x v="2"/>
    <n v="0"/>
    <x v="0"/>
    <x v="0"/>
    <x v="0"/>
    <x v="2"/>
  </r>
  <r>
    <n v="1377"/>
    <x v="1"/>
    <n v="0"/>
    <x v="1"/>
    <x v="2"/>
    <x v="1"/>
    <x v="2"/>
  </r>
  <r>
    <n v="913"/>
    <x v="0"/>
    <n v="0"/>
    <x v="3"/>
    <x v="2"/>
    <x v="0"/>
    <x v="2"/>
  </r>
  <r>
    <n v="1640"/>
    <x v="0"/>
    <n v="0"/>
    <x v="1"/>
    <x v="2"/>
    <x v="2"/>
    <x v="2"/>
  </r>
  <r>
    <n v="1703"/>
    <x v="0"/>
    <n v="0"/>
    <x v="1"/>
    <x v="2"/>
    <x v="2"/>
    <x v="2"/>
  </r>
  <r>
    <n v="1061"/>
    <x v="2"/>
    <n v="0"/>
    <x v="0"/>
    <x v="2"/>
    <x v="2"/>
    <x v="2"/>
  </r>
  <r>
    <n v="1952"/>
    <x v="1"/>
    <n v="0"/>
    <x v="1"/>
    <x v="0"/>
    <x v="0"/>
    <x v="2"/>
  </r>
  <r>
    <n v="1555"/>
    <x v="1"/>
    <n v="0"/>
    <x v="3"/>
    <x v="2"/>
    <x v="2"/>
    <x v="1"/>
  </r>
  <r>
    <n v="281"/>
    <x v="0"/>
    <n v="0"/>
    <x v="3"/>
    <x v="2"/>
    <x v="2"/>
    <x v="1"/>
  </r>
  <r>
    <n v="1182"/>
    <x v="0"/>
    <n v="0"/>
    <x v="1"/>
    <x v="1"/>
    <x v="2"/>
    <x v="2"/>
  </r>
  <r>
    <n v="727"/>
    <x v="1"/>
    <n v="0"/>
    <x v="3"/>
    <x v="0"/>
    <x v="0"/>
    <x v="2"/>
  </r>
  <r>
    <n v="1201"/>
    <x v="2"/>
    <n v="0"/>
    <x v="3"/>
    <x v="1"/>
    <x v="2"/>
    <x v="2"/>
  </r>
  <r>
    <n v="474"/>
    <x v="0"/>
    <n v="0"/>
    <x v="1"/>
    <x v="1"/>
    <x v="1"/>
    <x v="2"/>
  </r>
  <r>
    <n v="1829"/>
    <x v="0"/>
    <n v="0"/>
    <x v="1"/>
    <x v="1"/>
    <x v="2"/>
    <x v="1"/>
  </r>
  <r>
    <n v="13"/>
    <x v="0"/>
    <n v="0"/>
    <x v="1"/>
    <x v="2"/>
    <x v="1"/>
    <x v="2"/>
  </r>
  <r>
    <n v="579"/>
    <x v="1"/>
    <n v="0"/>
    <x v="0"/>
    <x v="1"/>
    <x v="2"/>
    <x v="2"/>
  </r>
  <r>
    <n v="381"/>
    <x v="0"/>
    <n v="0"/>
    <x v="1"/>
    <x v="1"/>
    <x v="2"/>
    <x v="2"/>
  </r>
  <r>
    <n v="1216"/>
    <x v="1"/>
    <n v="0"/>
    <x v="0"/>
    <x v="2"/>
    <x v="3"/>
    <x v="1"/>
  </r>
  <r>
    <n v="2010"/>
    <x v="1"/>
    <n v="0"/>
    <x v="0"/>
    <x v="0"/>
    <x v="0"/>
    <x v="2"/>
  </r>
  <r>
    <n v="635"/>
    <x v="0"/>
    <n v="0"/>
    <x v="0"/>
    <x v="2"/>
    <x v="2"/>
    <x v="2"/>
  </r>
  <r>
    <n v="164"/>
    <x v="1"/>
    <n v="0"/>
    <x v="1"/>
    <x v="2"/>
    <x v="0"/>
    <x v="2"/>
  </r>
  <r>
    <n v="577"/>
    <x v="0"/>
    <n v="0"/>
    <x v="1"/>
    <x v="0"/>
    <x v="0"/>
    <x v="2"/>
  </r>
  <r>
    <n v="852"/>
    <x v="0"/>
    <n v="0"/>
    <x v="1"/>
    <x v="0"/>
    <x v="0"/>
    <x v="1"/>
  </r>
  <r>
    <n v="1032"/>
    <x v="4"/>
    <n v="0"/>
    <x v="1"/>
    <x v="0"/>
    <x v="0"/>
    <x v="2"/>
  </r>
  <r>
    <n v="757"/>
    <x v="1"/>
    <n v="0"/>
    <x v="3"/>
    <x v="0"/>
    <x v="0"/>
    <x v="2"/>
  </r>
  <r>
    <n v="16"/>
    <x v="1"/>
    <n v="0"/>
    <x v="2"/>
    <x v="1"/>
    <x v="2"/>
    <x v="2"/>
  </r>
  <r>
    <n v="226"/>
    <x v="2"/>
    <n v="0"/>
    <x v="1"/>
    <x v="0"/>
    <x v="0"/>
    <x v="2"/>
  </r>
  <r>
    <n v="802"/>
    <x v="0"/>
    <n v="0"/>
    <x v="2"/>
    <x v="1"/>
    <x v="1"/>
    <x v="2"/>
  </r>
  <r>
    <n v="530"/>
    <x v="1"/>
    <n v="0"/>
    <x v="3"/>
    <x v="2"/>
    <x v="2"/>
    <x v="1"/>
  </r>
  <r>
    <n v="1641"/>
    <x v="0"/>
    <n v="0"/>
    <x v="1"/>
    <x v="0"/>
    <x v="0"/>
    <x v="1"/>
  </r>
  <r>
    <n v="1009"/>
    <x v="3"/>
    <n v="0"/>
    <x v="2"/>
    <x v="1"/>
    <x v="1"/>
    <x v="1"/>
  </r>
  <r>
    <n v="1162"/>
    <x v="1"/>
    <n v="0"/>
    <x v="1"/>
    <x v="2"/>
    <x v="2"/>
    <x v="1"/>
  </r>
  <r>
    <n v="1969"/>
    <x v="2"/>
    <n v="0"/>
    <x v="3"/>
    <x v="2"/>
    <x v="1"/>
    <x v="1"/>
  </r>
  <r>
    <n v="284"/>
    <x v="3"/>
    <n v="0"/>
    <x v="1"/>
    <x v="1"/>
    <x v="2"/>
    <x v="1"/>
  </r>
  <r>
    <n v="1102"/>
    <x v="1"/>
    <n v="0"/>
    <x v="3"/>
    <x v="1"/>
    <x v="2"/>
    <x v="1"/>
  </r>
  <r>
    <n v="197"/>
    <x v="1"/>
    <n v="0"/>
    <x v="1"/>
    <x v="1"/>
    <x v="2"/>
    <x v="1"/>
  </r>
  <r>
    <n v="1027"/>
    <x v="1"/>
    <n v="0"/>
    <x v="0"/>
    <x v="2"/>
    <x v="2"/>
    <x v="1"/>
  </r>
  <r>
    <n v="455"/>
    <x v="1"/>
    <n v="0"/>
    <x v="4"/>
    <x v="0"/>
    <x v="0"/>
    <x v="1"/>
  </r>
  <r>
    <n v="1291"/>
    <x v="0"/>
    <n v="0"/>
    <x v="2"/>
    <x v="2"/>
    <x v="0"/>
    <x v="1"/>
  </r>
  <r>
    <n v="1786"/>
    <x v="2"/>
    <n v="0"/>
    <x v="1"/>
    <x v="2"/>
    <x v="0"/>
    <x v="1"/>
  </r>
  <r>
    <n v="501"/>
    <x v="0"/>
    <n v="0"/>
    <x v="1"/>
    <x v="2"/>
    <x v="2"/>
    <x v="1"/>
  </r>
  <r>
    <n v="930"/>
    <x v="1"/>
    <n v="0"/>
    <x v="1"/>
    <x v="1"/>
    <x v="2"/>
    <x v="1"/>
  </r>
  <r>
    <n v="1131"/>
    <x v="3"/>
    <n v="0"/>
    <x v="2"/>
    <x v="0"/>
    <x v="0"/>
    <x v="1"/>
  </r>
  <r>
    <n v="826"/>
    <x v="0"/>
    <n v="0"/>
    <x v="0"/>
    <x v="0"/>
    <x v="0"/>
    <x v="1"/>
  </r>
  <r>
    <n v="1303"/>
    <x v="1"/>
    <n v="0"/>
    <x v="1"/>
    <x v="0"/>
    <x v="0"/>
    <x v="1"/>
  </r>
  <r>
    <n v="1525"/>
    <x v="0"/>
    <n v="0"/>
    <x v="1"/>
    <x v="0"/>
    <x v="0"/>
    <x v="1"/>
  </r>
  <r>
    <n v="1069"/>
    <x v="2"/>
    <n v="0"/>
    <x v="0"/>
    <x v="1"/>
    <x v="1"/>
    <x v="1"/>
  </r>
  <r>
    <n v="1789"/>
    <x v="2"/>
    <n v="0"/>
    <x v="0"/>
    <x v="1"/>
    <x v="2"/>
    <x v="1"/>
  </r>
  <r>
    <n v="245"/>
    <x v="0"/>
    <n v="0"/>
    <x v="3"/>
    <x v="0"/>
    <x v="0"/>
    <x v="1"/>
  </r>
  <r>
    <n v="1592"/>
    <x v="3"/>
    <n v="0"/>
    <x v="1"/>
    <x v="2"/>
    <x v="2"/>
    <x v="1"/>
  </r>
  <r>
    <n v="2048"/>
    <x v="0"/>
    <n v="0"/>
    <x v="0"/>
    <x v="0"/>
    <x v="0"/>
    <x v="1"/>
  </r>
  <r>
    <n v="2003"/>
    <x v="0"/>
    <n v="0"/>
    <x v="0"/>
    <x v="2"/>
    <x v="2"/>
    <x v="1"/>
  </r>
  <r>
    <n v="316"/>
    <x v="2"/>
    <n v="0"/>
    <x v="1"/>
    <x v="0"/>
    <x v="0"/>
    <x v="1"/>
  </r>
  <r>
    <n v="169"/>
    <x v="3"/>
    <n v="0"/>
    <x v="2"/>
    <x v="2"/>
    <x v="2"/>
    <x v="1"/>
  </r>
  <r>
    <n v="1916"/>
    <x v="1"/>
    <n v="0"/>
    <x v="1"/>
    <x v="1"/>
    <x v="2"/>
    <x v="1"/>
  </r>
  <r>
    <n v="493"/>
    <x v="1"/>
    <n v="0"/>
    <x v="0"/>
    <x v="0"/>
    <x v="0"/>
    <x v="1"/>
  </r>
  <r>
    <n v="1001"/>
    <x v="1"/>
    <n v="0"/>
    <x v="0"/>
    <x v="2"/>
    <x v="2"/>
    <x v="1"/>
  </r>
  <r>
    <n v="75"/>
    <x v="0"/>
    <n v="0"/>
    <x v="0"/>
    <x v="2"/>
    <x v="2"/>
    <x v="1"/>
  </r>
  <r>
    <n v="1871"/>
    <x v="0"/>
    <n v="0"/>
    <x v="0"/>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5932F-EFF8-410F-9758-6E1EDE5EB90E}"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2:B28" firstHeaderRow="1" firstDataRow="1" firstDataCol="1"/>
  <pivotFields count="7">
    <pivotField numFmtId="1"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dataField="1" showAll="0"/>
    <pivotField showAll="0">
      <items count="6">
        <item x="1"/>
        <item x="2"/>
        <item x="3"/>
        <item x="4"/>
        <item x="0"/>
        <item t="default"/>
      </items>
    </pivotField>
    <pivotField showAll="0">
      <items count="4">
        <item x="1"/>
        <item x="2"/>
        <item x="0"/>
        <item t="default"/>
      </items>
    </pivotField>
    <pivotField showAll="0">
      <items count="5">
        <item x="3"/>
        <item x="2"/>
        <item x="1"/>
        <item x="0"/>
        <item t="default"/>
      </items>
    </pivotField>
    <pivotField showAll="0"/>
  </pivotFields>
  <rowFields count="1">
    <field x="1"/>
  </rowFields>
  <rowItems count="6">
    <i>
      <x v="1"/>
    </i>
    <i>
      <x v="2"/>
    </i>
    <i>
      <x/>
    </i>
    <i>
      <x v="3"/>
    </i>
    <i>
      <x v="4"/>
    </i>
    <i t="grand">
      <x/>
    </i>
  </rowItems>
  <colItems count="1">
    <i/>
  </colItems>
  <dataFields count="1">
    <dataField name="Sum of Attrition Flag" fld="2" baseField="1" baseItem="3" numFmtId="1"/>
  </dataFields>
  <formats count="2">
    <format dxfId="1">
      <pivotArea dataOnly="0" labelOnly="1" outline="0" axis="axisValues" fieldPosition="0"/>
    </format>
    <format dxfId="0">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7D3D2-80DC-4720-A250-E09D910D0F6E}" name="M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4:B18" firstHeaderRow="1" firstDataRow="1" firstDataCol="1"/>
  <pivotFields count="7">
    <pivotField numFmtId="1" showAll="0"/>
    <pivotField showAll="0">
      <items count="6">
        <item x="3"/>
        <item x="1"/>
        <item x="0"/>
        <item x="2"/>
        <item x="4"/>
        <item t="default"/>
      </items>
    </pivotField>
    <pivotField dataField="1" showAll="0"/>
    <pivotField showAll="0">
      <items count="6">
        <item x="1"/>
        <item x="2"/>
        <item x="3"/>
        <item x="4"/>
        <item x="0"/>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showAll="0"/>
  </pivotFields>
  <rowFields count="1">
    <field x="4"/>
  </rowFields>
  <rowItems count="4">
    <i>
      <x v="2"/>
    </i>
    <i>
      <x v="1"/>
    </i>
    <i>
      <x/>
    </i>
    <i t="grand">
      <x/>
    </i>
  </rowItems>
  <colItems count="1">
    <i/>
  </colItems>
  <dataFields count="1">
    <dataField name="Sum of Attrition Flag" fld="2" baseField="4" baseItem="0" numFmtId="1"/>
  </dataFields>
  <formats count="2">
    <format dxfId="3">
      <pivotArea outline="0" collapsedLevelsAreSubtotals="1" fieldPosition="0"/>
    </format>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3C8B9F-2746-4810-8086-BDDD207A9306}"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B12" firstHeaderRow="1" firstDataRow="1" firstDataCol="1"/>
  <pivotFields count="7">
    <pivotField numFmtId="1" showAll="0"/>
    <pivotField showAll="0">
      <items count="6">
        <item x="3"/>
        <item x="1"/>
        <item x="0"/>
        <item x="2"/>
        <item x="4"/>
        <item t="default"/>
      </items>
    </pivotField>
    <pivotField dataField="1" showAll="0"/>
    <pivotField axis="axisRow" showAll="0" sortType="a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3"/>
        <item x="2"/>
        <item x="1"/>
        <item x="0"/>
        <item t="default"/>
      </items>
    </pivotField>
    <pivotField showAll="0"/>
  </pivotFields>
  <rowFields count="1">
    <field x="3"/>
  </rowFields>
  <rowItems count="6">
    <i>
      <x v="3"/>
    </i>
    <i>
      <x v="1"/>
    </i>
    <i>
      <x v="2"/>
    </i>
    <i>
      <x v="4"/>
    </i>
    <i>
      <x/>
    </i>
    <i t="grand">
      <x/>
    </i>
  </rowItems>
  <colItems count="1">
    <i/>
  </colItems>
  <dataFields count="1">
    <dataField name="Sum of Attrition Flag" fld="2" baseField="3" baseItem="3" numFmtId="10"/>
  </dataFields>
  <formats count="2">
    <format dxfId="5">
      <pivotArea dataOnly="0" labelOnly="1" outline="0" axis="axisValues" fieldPosition="0"/>
    </format>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C666F2-19FF-470E-8158-ACE719A013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7">
    <pivotField dataField="1" numFmtId="1" showAll="0"/>
    <pivotField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Sum of Attrition Flag" fld="2" baseField="0" baseItem="0"/>
    <dataField name="Count of Employee_ID" fld="0" subtotal="count" baseField="0" baseItem="1" numFmtId="3"/>
    <dataField name="Average of Attrition Flag2" fld="2" subtotal="average" baseField="0" baseItem="1" numFmtId="10"/>
  </dataFields>
  <formats count="4">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34649-6AC5-42BA-9EE5-C1CEB1DAEA01}" name="Ys. S.L. Promo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7:E21" firstHeaderRow="1" firstDataRow="1" firstDataCol="1"/>
  <pivotFields count="7">
    <pivotField numFmtId="1" showAll="0"/>
    <pivotField showAll="0">
      <items count="6">
        <item x="3"/>
        <item x="1"/>
        <item x="0"/>
        <item x="2"/>
        <item x="4"/>
        <item t="default"/>
      </items>
    </pivotField>
    <pivotField dataField="1" showAll="0"/>
    <pivotField showAll="0">
      <items count="6">
        <item x="1"/>
        <item x="2"/>
        <item x="3"/>
        <item x="4"/>
        <item x="0"/>
        <item t="default"/>
      </items>
    </pivotField>
    <pivotField showAll="0">
      <items count="4">
        <item x="1"/>
        <item x="2"/>
        <item x="0"/>
        <item t="default"/>
      </items>
    </pivotField>
    <pivotField showAll="0">
      <items count="5">
        <item x="3"/>
        <item x="2"/>
        <item x="1"/>
        <item x="0"/>
        <item t="default"/>
      </items>
    </pivotField>
    <pivotField axis="axisRow" showAll="0">
      <items count="4">
        <item x="2"/>
        <item x="1"/>
        <item x="0"/>
        <item t="default"/>
      </items>
    </pivotField>
  </pivotFields>
  <rowFields count="1">
    <field x="6"/>
  </rowFields>
  <rowItems count="4">
    <i>
      <x/>
    </i>
    <i>
      <x v="1"/>
    </i>
    <i>
      <x v="2"/>
    </i>
    <i t="grand">
      <x/>
    </i>
  </rowItems>
  <colItems count="1">
    <i/>
  </colItems>
  <dataFields count="1">
    <dataField name="Sum of Attrition Flag" fld="2" baseField="6" baseItem="0" numFmtId="1"/>
  </dataFields>
  <formats count="2">
    <format dxfId="11">
      <pivotArea dataOnly="0" labelOnly="1" outline="0" axis="axisValues" fieldPosition="0"/>
    </format>
    <format dxfId="10">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1"/>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0AF345-706C-4181-8DB0-CE1A7E74D073}" name="S. O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0:E15" firstHeaderRow="1" firstDataRow="1" firstDataCol="1"/>
  <pivotFields count="7">
    <pivotField numFmtId="1" showAll="0"/>
    <pivotField showAll="0">
      <items count="6">
        <item x="3"/>
        <item x="1"/>
        <item x="0"/>
        <item x="2"/>
        <item x="4"/>
        <item t="default"/>
      </items>
    </pivotField>
    <pivotField dataField="1" showAll="0"/>
    <pivotField showAll="0">
      <items count="6">
        <item x="1"/>
        <item x="2"/>
        <item x="3"/>
        <item x="4"/>
        <item x="0"/>
        <item t="default"/>
      </items>
    </pivotField>
    <pivotField showAll="0">
      <items count="4">
        <item x="1"/>
        <item x="2"/>
        <item x="0"/>
        <item t="default"/>
      </items>
    </pivotField>
    <pivotField axis="axisRow" showAll="0">
      <items count="5">
        <item x="3"/>
        <item x="2"/>
        <item x="1"/>
        <item x="0"/>
        <item t="default"/>
      </items>
    </pivotField>
    <pivotField showAll="0"/>
  </pivotFields>
  <rowFields count="1">
    <field x="5"/>
  </rowFields>
  <rowItems count="5">
    <i>
      <x/>
    </i>
    <i>
      <x v="1"/>
    </i>
    <i>
      <x v="2"/>
    </i>
    <i>
      <x v="3"/>
    </i>
    <i t="grand">
      <x/>
    </i>
  </rowItems>
  <colItems count="1">
    <i/>
  </colItems>
  <dataFields count="1">
    <dataField name="Sum of Attrition Flag" fld="2" baseField="5" baseItem="0" numFmtId="1"/>
  </dataFields>
  <formats count="2">
    <format dxfId="13">
      <pivotArea dataOnly="0" labelOnly="1" outline="0" axis="axisValues" fieldPosition="0"/>
    </format>
    <format dxfId="12">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0F4FE63-E9D4-4E38-AE22-310C361E272A}" sourceName="Age Group">
  <pivotTables>
    <pivotTable tabId="5" name="Education"/>
    <pivotTable tabId="5" name="M status"/>
    <pivotTable tabId="5" name="S. Option"/>
    <pivotTable tabId="5" name="Ys. S.L. Promotion"/>
  </pivotTables>
  <data>
    <tabular pivotCacheId="227429605">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EA8B680C-0412-4595-84F3-D69E8EFD0365}" sourceName="MaritalStatus">
  <pivotTables>
    <pivotTable tabId="5" name="Education"/>
    <pivotTable tabId="5" name="Age group"/>
    <pivotTable tabId="5" name="S. Option"/>
    <pivotTable tabId="5" name="Ys. S.L. Promotion"/>
  </pivotTables>
  <data>
    <tabular pivotCacheId="22742960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ption" xr10:uid="{DE8BC902-D142-4368-A811-2C9ACE61B0DD}" sourceName="StockOption">
  <pivotTables>
    <pivotTable tabId="5" name="Education"/>
    <pivotTable tabId="5" name="Age group"/>
    <pivotTable tabId="5" name="M status"/>
    <pivotTable tabId="5" name="Ys. S.L. Promotion"/>
  </pivotTables>
  <data>
    <tabular pivotCacheId="227429605">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4CAAA4B-D07C-4E89-BBB1-27D85D7A8B7D}" sourceName="Education">
  <pivotTables>
    <pivotTable tabId="5" name="Age group"/>
    <pivotTable tabId="5" name="M status"/>
    <pivotTable tabId="5" name="S. Option"/>
    <pivotTable tabId="5" name="Ys. S.L. Promotion"/>
  </pivotTables>
  <data>
    <tabular pivotCacheId="227429605">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78991ED6-6627-45C9-8D0A-1713E4047FF8}" cache="Slicer_Age_Group" caption="Age Group" style="Slicer Style 1" rowHeight="241300"/>
  <slicer name="MaritalStatus" xr10:uid="{B9E49CA3-761A-4883-B082-083BD3853201}" cache="Slicer_MaritalStatus" caption="MaritalStatus" style="Slicer Style 1" rowHeight="241300"/>
  <slicer name="StockOption" xr10:uid="{4E6E42B3-B1C1-483A-B460-B03041BF0086}" cache="Slicer_StockOption" caption="StockOption" style="Slicer Style 1" rowHeight="241300"/>
  <slicer name="Education" xr10:uid="{8F68BA1F-F7C2-43F4-9CE2-2E2847E44E01}" cache="Slicer_Education" caption="Education"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702D-2333-47FC-85BA-17008B26CF60}">
  <dimension ref="A1:AF1471"/>
  <sheetViews>
    <sheetView workbookViewId="0">
      <selection activeCell="AI12" sqref="AI12"/>
    </sheetView>
  </sheetViews>
  <sheetFormatPr defaultRowHeight="15" x14ac:dyDescent="0.25"/>
  <cols>
    <col min="29" max="30" width="9.85546875" style="10"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s="10" t="s">
        <v>28</v>
      </c>
      <c r="AD1" s="10" t="s">
        <v>29</v>
      </c>
      <c r="AE1" t="s">
        <v>30</v>
      </c>
      <c r="AF1" t="s">
        <v>31</v>
      </c>
    </row>
    <row r="2" spans="1:32" x14ac:dyDescent="0.25">
      <c r="A2">
        <v>1522</v>
      </c>
      <c r="B2">
        <v>37</v>
      </c>
      <c r="C2" t="s">
        <v>32</v>
      </c>
      <c r="D2" t="s">
        <v>33</v>
      </c>
      <c r="E2" t="s">
        <v>34</v>
      </c>
      <c r="F2" t="s">
        <v>35</v>
      </c>
      <c r="G2" t="s">
        <v>36</v>
      </c>
      <c r="H2" t="s">
        <v>37</v>
      </c>
      <c r="I2" t="s">
        <v>38</v>
      </c>
      <c r="J2" t="s">
        <v>39</v>
      </c>
      <c r="K2">
        <v>1</v>
      </c>
      <c r="L2">
        <v>3</v>
      </c>
      <c r="M2" t="s">
        <v>40</v>
      </c>
      <c r="N2" t="s">
        <v>41</v>
      </c>
      <c r="O2" t="s">
        <v>42</v>
      </c>
      <c r="P2" t="s">
        <v>43</v>
      </c>
      <c r="Q2">
        <v>13</v>
      </c>
      <c r="R2">
        <v>6</v>
      </c>
      <c r="S2">
        <v>11</v>
      </c>
      <c r="T2">
        <v>0</v>
      </c>
      <c r="U2">
        <v>7</v>
      </c>
      <c r="V2">
        <v>1</v>
      </c>
      <c r="W2">
        <v>100</v>
      </c>
      <c r="X2">
        <v>224</v>
      </c>
      <c r="Y2">
        <v>7568</v>
      </c>
      <c r="Z2">
        <v>2362</v>
      </c>
      <c r="AA2">
        <v>2</v>
      </c>
      <c r="AB2">
        <v>30826</v>
      </c>
      <c r="AC2" s="10">
        <v>37136</v>
      </c>
      <c r="AD2" s="10">
        <v>40205</v>
      </c>
      <c r="AE2" t="s">
        <v>44</v>
      </c>
      <c r="AF2" t="s">
        <v>45</v>
      </c>
    </row>
    <row r="3" spans="1:32" x14ac:dyDescent="0.25">
      <c r="A3">
        <v>1101</v>
      </c>
      <c r="B3">
        <v>42</v>
      </c>
      <c r="C3" t="s">
        <v>32</v>
      </c>
      <c r="D3" t="s">
        <v>46</v>
      </c>
      <c r="E3" t="s">
        <v>34</v>
      </c>
      <c r="F3" t="s">
        <v>35</v>
      </c>
      <c r="G3" t="s">
        <v>36</v>
      </c>
      <c r="H3" t="s">
        <v>47</v>
      </c>
      <c r="I3" t="s">
        <v>38</v>
      </c>
      <c r="J3" t="s">
        <v>39</v>
      </c>
      <c r="K3">
        <v>3</v>
      </c>
      <c r="L3">
        <v>4</v>
      </c>
      <c r="M3" t="s">
        <v>48</v>
      </c>
      <c r="N3" t="s">
        <v>41</v>
      </c>
      <c r="O3" t="s">
        <v>42</v>
      </c>
      <c r="P3" t="s">
        <v>43</v>
      </c>
      <c r="Q3">
        <v>22</v>
      </c>
      <c r="R3">
        <v>1</v>
      </c>
      <c r="S3">
        <v>14</v>
      </c>
      <c r="T3">
        <v>3</v>
      </c>
      <c r="U3">
        <v>8</v>
      </c>
      <c r="V3">
        <v>29</v>
      </c>
      <c r="W3">
        <v>54</v>
      </c>
      <c r="X3">
        <v>827</v>
      </c>
      <c r="Y3">
        <v>3129</v>
      </c>
      <c r="Z3">
        <v>4508</v>
      </c>
      <c r="AA3">
        <v>4</v>
      </c>
      <c r="AB3">
        <v>29226</v>
      </c>
      <c r="AC3" s="10">
        <v>35808</v>
      </c>
      <c r="AD3" s="10">
        <v>40294</v>
      </c>
      <c r="AE3" t="s">
        <v>44</v>
      </c>
      <c r="AF3" t="s">
        <v>45</v>
      </c>
    </row>
    <row r="4" spans="1:32" x14ac:dyDescent="0.25">
      <c r="A4">
        <v>1299</v>
      </c>
      <c r="B4">
        <v>29</v>
      </c>
      <c r="C4" t="s">
        <v>32</v>
      </c>
      <c r="D4" t="s">
        <v>33</v>
      </c>
      <c r="E4" t="s">
        <v>34</v>
      </c>
      <c r="F4" t="s">
        <v>49</v>
      </c>
      <c r="G4" t="s">
        <v>38</v>
      </c>
      <c r="H4" t="s">
        <v>47</v>
      </c>
      <c r="I4" t="s">
        <v>50</v>
      </c>
      <c r="J4" t="s">
        <v>51</v>
      </c>
      <c r="K4">
        <v>3</v>
      </c>
      <c r="L4">
        <v>3</v>
      </c>
      <c r="M4" t="s">
        <v>48</v>
      </c>
      <c r="N4" t="s">
        <v>52</v>
      </c>
      <c r="O4" t="s">
        <v>53</v>
      </c>
      <c r="P4" t="s">
        <v>32</v>
      </c>
      <c r="Q4">
        <v>13</v>
      </c>
      <c r="R4">
        <v>3</v>
      </c>
      <c r="S4">
        <v>10</v>
      </c>
      <c r="T4">
        <v>7</v>
      </c>
      <c r="U4">
        <v>7</v>
      </c>
      <c r="V4">
        <v>7</v>
      </c>
      <c r="W4">
        <v>39</v>
      </c>
      <c r="X4">
        <v>806</v>
      </c>
      <c r="Y4">
        <v>17285</v>
      </c>
      <c r="Z4">
        <v>3339</v>
      </c>
      <c r="AA4">
        <v>2</v>
      </c>
      <c r="AB4">
        <v>34281</v>
      </c>
      <c r="AC4" s="10">
        <v>39917</v>
      </c>
      <c r="AD4" s="10">
        <v>42304</v>
      </c>
      <c r="AE4" t="s">
        <v>54</v>
      </c>
      <c r="AF4" t="s">
        <v>55</v>
      </c>
    </row>
    <row r="5" spans="1:32" x14ac:dyDescent="0.25">
      <c r="A5">
        <v>1457</v>
      </c>
      <c r="B5">
        <v>46</v>
      </c>
      <c r="C5" t="s">
        <v>32</v>
      </c>
      <c r="D5" t="s">
        <v>33</v>
      </c>
      <c r="E5" t="s">
        <v>56</v>
      </c>
      <c r="F5" t="s">
        <v>49</v>
      </c>
      <c r="G5" t="s">
        <v>36</v>
      </c>
      <c r="H5" t="s">
        <v>37</v>
      </c>
      <c r="I5" t="s">
        <v>50</v>
      </c>
      <c r="J5" t="s">
        <v>57</v>
      </c>
      <c r="K5">
        <v>4</v>
      </c>
      <c r="L5">
        <v>2</v>
      </c>
      <c r="M5" t="s">
        <v>58</v>
      </c>
      <c r="N5" t="s">
        <v>52</v>
      </c>
      <c r="O5" t="s">
        <v>36</v>
      </c>
      <c r="P5" t="s">
        <v>43</v>
      </c>
      <c r="Q5">
        <v>11</v>
      </c>
      <c r="R5">
        <v>4</v>
      </c>
      <c r="S5">
        <v>28</v>
      </c>
      <c r="T5">
        <v>4</v>
      </c>
      <c r="U5">
        <v>3</v>
      </c>
      <c r="V5">
        <v>9</v>
      </c>
      <c r="W5">
        <v>52</v>
      </c>
      <c r="X5">
        <v>377</v>
      </c>
      <c r="Y5">
        <v>15986</v>
      </c>
      <c r="Z5">
        <v>10096</v>
      </c>
      <c r="AA5">
        <v>1</v>
      </c>
      <c r="AB5">
        <v>28009</v>
      </c>
      <c r="AC5" s="10">
        <v>40018</v>
      </c>
      <c r="AD5" s="10">
        <v>42487</v>
      </c>
      <c r="AE5" t="s">
        <v>44</v>
      </c>
      <c r="AF5" t="s">
        <v>45</v>
      </c>
    </row>
    <row r="6" spans="1:32" x14ac:dyDescent="0.25">
      <c r="A6">
        <v>1807</v>
      </c>
      <c r="B6">
        <v>34</v>
      </c>
      <c r="C6" t="s">
        <v>32</v>
      </c>
      <c r="D6" t="s">
        <v>46</v>
      </c>
      <c r="E6" t="s">
        <v>34</v>
      </c>
      <c r="F6" t="s">
        <v>35</v>
      </c>
      <c r="G6" t="s">
        <v>59</v>
      </c>
      <c r="H6" t="s">
        <v>37</v>
      </c>
      <c r="I6" t="s">
        <v>50</v>
      </c>
      <c r="J6" t="s">
        <v>51</v>
      </c>
      <c r="K6">
        <v>1</v>
      </c>
      <c r="L6">
        <v>1</v>
      </c>
      <c r="M6" t="s">
        <v>60</v>
      </c>
      <c r="N6" t="s">
        <v>61</v>
      </c>
      <c r="O6" t="s">
        <v>36</v>
      </c>
      <c r="P6" t="s">
        <v>43</v>
      </c>
      <c r="Q6">
        <v>17</v>
      </c>
      <c r="R6">
        <v>4</v>
      </c>
      <c r="S6">
        <v>11</v>
      </c>
      <c r="T6">
        <v>0</v>
      </c>
      <c r="U6">
        <v>6</v>
      </c>
      <c r="V6">
        <v>9</v>
      </c>
      <c r="W6">
        <v>93</v>
      </c>
      <c r="X6">
        <v>234</v>
      </c>
      <c r="Y6">
        <v>6208</v>
      </c>
      <c r="Z6">
        <v>5346</v>
      </c>
      <c r="AA6">
        <v>3</v>
      </c>
      <c r="AB6">
        <v>32374</v>
      </c>
      <c r="AC6" s="10">
        <v>40283</v>
      </c>
      <c r="AD6" s="10">
        <v>42505</v>
      </c>
      <c r="AE6" t="s">
        <v>54</v>
      </c>
      <c r="AF6" t="s">
        <v>45</v>
      </c>
    </row>
    <row r="7" spans="1:32" x14ac:dyDescent="0.25">
      <c r="A7">
        <v>299</v>
      </c>
      <c r="B7">
        <v>30</v>
      </c>
      <c r="C7" t="s">
        <v>32</v>
      </c>
      <c r="D7" t="s">
        <v>46</v>
      </c>
      <c r="E7" t="s">
        <v>56</v>
      </c>
      <c r="F7" t="s">
        <v>35</v>
      </c>
      <c r="G7" t="s">
        <v>50</v>
      </c>
      <c r="H7" t="s">
        <v>47</v>
      </c>
      <c r="I7" t="s">
        <v>38</v>
      </c>
      <c r="J7" t="s">
        <v>57</v>
      </c>
      <c r="K7">
        <v>1</v>
      </c>
      <c r="L7">
        <v>3</v>
      </c>
      <c r="M7" t="s">
        <v>60</v>
      </c>
      <c r="N7" t="s">
        <v>41</v>
      </c>
      <c r="O7" t="s">
        <v>42</v>
      </c>
      <c r="P7" t="s">
        <v>43</v>
      </c>
      <c r="Q7">
        <v>15</v>
      </c>
      <c r="R7">
        <v>5</v>
      </c>
      <c r="S7">
        <v>9</v>
      </c>
      <c r="T7">
        <v>0</v>
      </c>
      <c r="U7">
        <v>1</v>
      </c>
      <c r="V7">
        <v>26</v>
      </c>
      <c r="W7">
        <v>52</v>
      </c>
      <c r="X7">
        <v>334</v>
      </c>
      <c r="Y7">
        <v>22967</v>
      </c>
      <c r="Z7">
        <v>6696</v>
      </c>
      <c r="AA7">
        <v>5</v>
      </c>
      <c r="AB7">
        <v>33857</v>
      </c>
      <c r="AC7" s="10">
        <v>40598</v>
      </c>
      <c r="AD7" s="10">
        <v>42698</v>
      </c>
      <c r="AE7" t="s">
        <v>54</v>
      </c>
      <c r="AF7" t="s">
        <v>45</v>
      </c>
    </row>
    <row r="8" spans="1:32" x14ac:dyDescent="0.25">
      <c r="A8">
        <v>300</v>
      </c>
      <c r="B8">
        <v>29</v>
      </c>
      <c r="C8" t="s">
        <v>32</v>
      </c>
      <c r="D8" t="s">
        <v>33</v>
      </c>
      <c r="E8" t="s">
        <v>34</v>
      </c>
      <c r="F8" t="s">
        <v>49</v>
      </c>
      <c r="G8" t="s">
        <v>50</v>
      </c>
      <c r="H8" t="s">
        <v>37</v>
      </c>
      <c r="I8" t="s">
        <v>50</v>
      </c>
      <c r="J8" t="s">
        <v>39</v>
      </c>
      <c r="K8">
        <v>3</v>
      </c>
      <c r="L8">
        <v>3</v>
      </c>
      <c r="M8" t="s">
        <v>60</v>
      </c>
      <c r="N8" t="s">
        <v>41</v>
      </c>
      <c r="O8" t="s">
        <v>42</v>
      </c>
      <c r="P8" t="s">
        <v>43</v>
      </c>
      <c r="Q8">
        <v>14</v>
      </c>
      <c r="R8">
        <v>0</v>
      </c>
      <c r="S8">
        <v>7</v>
      </c>
      <c r="T8">
        <v>1</v>
      </c>
      <c r="U8">
        <v>5</v>
      </c>
      <c r="V8">
        <v>1</v>
      </c>
      <c r="W8">
        <v>85</v>
      </c>
      <c r="X8">
        <v>992</v>
      </c>
      <c r="Y8">
        <v>19757</v>
      </c>
      <c r="Z8">
        <v>2058</v>
      </c>
      <c r="AA8">
        <v>1</v>
      </c>
      <c r="AB8">
        <v>34527</v>
      </c>
      <c r="AC8" s="10">
        <v>40588</v>
      </c>
      <c r="AD8" s="10">
        <v>42712</v>
      </c>
      <c r="AE8" t="s">
        <v>44</v>
      </c>
      <c r="AF8" t="s">
        <v>45</v>
      </c>
    </row>
    <row r="9" spans="1:32" x14ac:dyDescent="0.25">
      <c r="A9">
        <v>1200</v>
      </c>
      <c r="B9">
        <v>44</v>
      </c>
      <c r="C9" t="s">
        <v>32</v>
      </c>
      <c r="D9" t="s">
        <v>33</v>
      </c>
      <c r="E9" t="s">
        <v>34</v>
      </c>
      <c r="F9" t="s">
        <v>35</v>
      </c>
      <c r="G9" t="s">
        <v>50</v>
      </c>
      <c r="H9" t="s">
        <v>37</v>
      </c>
      <c r="I9" t="s">
        <v>50</v>
      </c>
      <c r="J9" t="s">
        <v>39</v>
      </c>
      <c r="K9">
        <v>3</v>
      </c>
      <c r="L9">
        <v>1</v>
      </c>
      <c r="M9" t="s">
        <v>48</v>
      </c>
      <c r="N9" t="s">
        <v>41</v>
      </c>
      <c r="O9" t="s">
        <v>42</v>
      </c>
      <c r="P9" t="s">
        <v>32</v>
      </c>
      <c r="Q9">
        <v>11</v>
      </c>
      <c r="R9">
        <v>1</v>
      </c>
      <c r="S9">
        <v>6</v>
      </c>
      <c r="T9">
        <v>0</v>
      </c>
      <c r="U9">
        <v>2</v>
      </c>
      <c r="V9">
        <v>10</v>
      </c>
      <c r="W9">
        <v>96</v>
      </c>
      <c r="X9">
        <v>1097</v>
      </c>
      <c r="Y9">
        <v>10826</v>
      </c>
      <c r="Z9">
        <v>2936</v>
      </c>
      <c r="AA9">
        <v>4</v>
      </c>
      <c r="AB9">
        <v>28761</v>
      </c>
      <c r="AC9" s="10">
        <v>40710</v>
      </c>
      <c r="AD9" s="10">
        <v>42730</v>
      </c>
      <c r="AE9" t="s">
        <v>44</v>
      </c>
      <c r="AF9" t="s">
        <v>45</v>
      </c>
    </row>
    <row r="10" spans="1:32" x14ac:dyDescent="0.25">
      <c r="A10">
        <v>1295</v>
      </c>
      <c r="B10">
        <v>44</v>
      </c>
      <c r="C10" t="s">
        <v>32</v>
      </c>
      <c r="D10" t="s">
        <v>33</v>
      </c>
      <c r="E10" t="s">
        <v>34</v>
      </c>
      <c r="F10" t="s">
        <v>49</v>
      </c>
      <c r="G10" t="s">
        <v>36</v>
      </c>
      <c r="H10" t="s">
        <v>47</v>
      </c>
      <c r="I10" t="s">
        <v>50</v>
      </c>
      <c r="J10" t="s">
        <v>62</v>
      </c>
      <c r="K10">
        <v>4</v>
      </c>
      <c r="L10">
        <v>2</v>
      </c>
      <c r="M10" t="s">
        <v>48</v>
      </c>
      <c r="N10" t="s">
        <v>61</v>
      </c>
      <c r="O10" t="s">
        <v>36</v>
      </c>
      <c r="P10" t="s">
        <v>43</v>
      </c>
      <c r="Q10">
        <v>11</v>
      </c>
      <c r="R10">
        <v>1</v>
      </c>
      <c r="S10">
        <v>10</v>
      </c>
      <c r="T10">
        <v>0</v>
      </c>
      <c r="U10">
        <v>5</v>
      </c>
      <c r="V10">
        <v>15</v>
      </c>
      <c r="W10">
        <v>73</v>
      </c>
      <c r="X10">
        <v>621</v>
      </c>
      <c r="Y10">
        <v>14075</v>
      </c>
      <c r="Z10">
        <v>7978</v>
      </c>
      <c r="AA10">
        <v>2</v>
      </c>
      <c r="AB10">
        <v>28757</v>
      </c>
      <c r="AC10" s="10">
        <v>39422</v>
      </c>
      <c r="AD10" s="10">
        <v>42737</v>
      </c>
      <c r="AE10" t="s">
        <v>44</v>
      </c>
      <c r="AF10" t="s">
        <v>45</v>
      </c>
    </row>
    <row r="11" spans="1:32" x14ac:dyDescent="0.25">
      <c r="A11">
        <v>647</v>
      </c>
      <c r="B11">
        <v>33</v>
      </c>
      <c r="C11" t="s">
        <v>32</v>
      </c>
      <c r="D11" t="s">
        <v>46</v>
      </c>
      <c r="E11" t="s">
        <v>34</v>
      </c>
      <c r="F11" t="s">
        <v>49</v>
      </c>
      <c r="G11" t="s">
        <v>36</v>
      </c>
      <c r="H11" t="s">
        <v>47</v>
      </c>
      <c r="I11" t="s">
        <v>50</v>
      </c>
      <c r="J11" t="s">
        <v>51</v>
      </c>
      <c r="K11">
        <v>3</v>
      </c>
      <c r="L11">
        <v>3</v>
      </c>
      <c r="M11" t="s">
        <v>48</v>
      </c>
      <c r="N11" t="s">
        <v>61</v>
      </c>
      <c r="O11" t="s">
        <v>36</v>
      </c>
      <c r="P11" t="s">
        <v>32</v>
      </c>
      <c r="Q11">
        <v>16</v>
      </c>
      <c r="R11">
        <v>1</v>
      </c>
      <c r="S11">
        <v>6</v>
      </c>
      <c r="T11">
        <v>1</v>
      </c>
      <c r="U11">
        <v>2</v>
      </c>
      <c r="V11">
        <v>7</v>
      </c>
      <c r="W11">
        <v>55</v>
      </c>
      <c r="X11">
        <v>1287</v>
      </c>
      <c r="Y11">
        <v>14168</v>
      </c>
      <c r="Z11">
        <v>2886</v>
      </c>
      <c r="AA11">
        <v>4</v>
      </c>
      <c r="AB11">
        <v>32424</v>
      </c>
      <c r="AC11" s="10">
        <v>40872</v>
      </c>
      <c r="AD11" s="10">
        <v>42760</v>
      </c>
      <c r="AE11" t="s">
        <v>44</v>
      </c>
      <c r="AF11" t="s">
        <v>45</v>
      </c>
    </row>
    <row r="12" spans="1:32" x14ac:dyDescent="0.25">
      <c r="A12">
        <v>401</v>
      </c>
      <c r="B12">
        <v>35</v>
      </c>
      <c r="C12" t="s">
        <v>32</v>
      </c>
      <c r="D12" t="s">
        <v>33</v>
      </c>
      <c r="E12" t="s">
        <v>56</v>
      </c>
      <c r="F12" t="s">
        <v>35</v>
      </c>
      <c r="G12" t="s">
        <v>59</v>
      </c>
      <c r="H12" t="s">
        <v>37</v>
      </c>
      <c r="I12" t="s">
        <v>38</v>
      </c>
      <c r="J12" t="s">
        <v>57</v>
      </c>
      <c r="K12">
        <v>4</v>
      </c>
      <c r="L12">
        <v>3</v>
      </c>
      <c r="M12" t="s">
        <v>48</v>
      </c>
      <c r="N12" t="s">
        <v>41</v>
      </c>
      <c r="O12" t="s">
        <v>42</v>
      </c>
      <c r="P12" t="s">
        <v>32</v>
      </c>
      <c r="Q12">
        <v>12</v>
      </c>
      <c r="R12">
        <v>1</v>
      </c>
      <c r="S12">
        <v>8</v>
      </c>
      <c r="T12">
        <v>7</v>
      </c>
      <c r="U12">
        <v>4</v>
      </c>
      <c r="V12">
        <v>4</v>
      </c>
      <c r="W12">
        <v>48</v>
      </c>
      <c r="X12">
        <v>950</v>
      </c>
      <c r="Y12">
        <v>8450</v>
      </c>
      <c r="Z12">
        <v>5828</v>
      </c>
      <c r="AA12">
        <v>0</v>
      </c>
      <c r="AB12">
        <v>31859</v>
      </c>
      <c r="AC12" s="10">
        <v>40219</v>
      </c>
      <c r="AD12" s="10">
        <v>42787</v>
      </c>
      <c r="AE12" t="s">
        <v>44</v>
      </c>
      <c r="AF12" t="s">
        <v>45</v>
      </c>
    </row>
    <row r="13" spans="1:32" x14ac:dyDescent="0.25">
      <c r="A13">
        <v>190</v>
      </c>
      <c r="B13">
        <v>32</v>
      </c>
      <c r="C13" t="s">
        <v>32</v>
      </c>
      <c r="D13" t="s">
        <v>33</v>
      </c>
      <c r="E13" t="s">
        <v>34</v>
      </c>
      <c r="F13" t="s">
        <v>49</v>
      </c>
      <c r="G13" t="s">
        <v>36</v>
      </c>
      <c r="H13" t="s">
        <v>47</v>
      </c>
      <c r="I13" t="s">
        <v>50</v>
      </c>
      <c r="J13" t="s">
        <v>51</v>
      </c>
      <c r="K13">
        <v>1</v>
      </c>
      <c r="L13">
        <v>2</v>
      </c>
      <c r="M13" t="s">
        <v>58</v>
      </c>
      <c r="N13" t="s">
        <v>41</v>
      </c>
      <c r="O13" t="s">
        <v>42</v>
      </c>
      <c r="P13" t="s">
        <v>43</v>
      </c>
      <c r="Q13">
        <v>22</v>
      </c>
      <c r="R13">
        <v>7</v>
      </c>
      <c r="S13">
        <v>10</v>
      </c>
      <c r="T13">
        <v>0</v>
      </c>
      <c r="U13">
        <v>4</v>
      </c>
      <c r="V13">
        <v>9</v>
      </c>
      <c r="W13">
        <v>41</v>
      </c>
      <c r="X13">
        <v>1033</v>
      </c>
      <c r="Y13">
        <v>10224</v>
      </c>
      <c r="Z13">
        <v>4200</v>
      </c>
      <c r="AA13">
        <v>2</v>
      </c>
      <c r="AB13">
        <v>33133</v>
      </c>
      <c r="AC13" s="10">
        <v>41302</v>
      </c>
      <c r="AD13" s="10">
        <v>42944</v>
      </c>
      <c r="AE13" t="s">
        <v>54</v>
      </c>
      <c r="AF13" t="s">
        <v>45</v>
      </c>
    </row>
    <row r="14" spans="1:32" x14ac:dyDescent="0.25">
      <c r="A14">
        <v>325</v>
      </c>
      <c r="B14">
        <v>33</v>
      </c>
      <c r="C14" t="s">
        <v>32</v>
      </c>
      <c r="D14" t="s">
        <v>33</v>
      </c>
      <c r="E14" t="s">
        <v>34</v>
      </c>
      <c r="F14" t="s">
        <v>49</v>
      </c>
      <c r="G14" t="s">
        <v>50</v>
      </c>
      <c r="H14" t="s">
        <v>37</v>
      </c>
      <c r="I14" t="s">
        <v>50</v>
      </c>
      <c r="J14" t="s">
        <v>51</v>
      </c>
      <c r="K14">
        <v>4</v>
      </c>
      <c r="L14">
        <v>3</v>
      </c>
      <c r="M14" t="s">
        <v>40</v>
      </c>
      <c r="N14" t="s">
        <v>61</v>
      </c>
      <c r="O14" t="s">
        <v>36</v>
      </c>
      <c r="P14" t="s">
        <v>32</v>
      </c>
      <c r="Q14">
        <v>13</v>
      </c>
      <c r="R14">
        <v>5</v>
      </c>
      <c r="S14">
        <v>8</v>
      </c>
      <c r="T14">
        <v>0</v>
      </c>
      <c r="U14">
        <v>4</v>
      </c>
      <c r="V14">
        <v>14</v>
      </c>
      <c r="W14">
        <v>58</v>
      </c>
      <c r="X14">
        <v>813</v>
      </c>
      <c r="Y14">
        <v>22149</v>
      </c>
      <c r="Z14">
        <v>2436</v>
      </c>
      <c r="AA14">
        <v>2</v>
      </c>
      <c r="AB14">
        <v>32876</v>
      </c>
      <c r="AC14" s="10">
        <v>41472</v>
      </c>
      <c r="AD14" s="10">
        <v>42958</v>
      </c>
      <c r="AE14" t="s">
        <v>44</v>
      </c>
      <c r="AF14" t="s">
        <v>55</v>
      </c>
    </row>
    <row r="15" spans="1:32" x14ac:dyDescent="0.25">
      <c r="A15">
        <v>1310</v>
      </c>
      <c r="B15">
        <v>39</v>
      </c>
      <c r="C15" t="s">
        <v>32</v>
      </c>
      <c r="D15" t="s">
        <v>33</v>
      </c>
      <c r="E15" t="s">
        <v>34</v>
      </c>
      <c r="F15" t="s">
        <v>49</v>
      </c>
      <c r="G15" t="s">
        <v>50</v>
      </c>
      <c r="H15" t="s">
        <v>37</v>
      </c>
      <c r="I15" t="s">
        <v>50</v>
      </c>
      <c r="J15" t="s">
        <v>39</v>
      </c>
      <c r="K15">
        <v>1</v>
      </c>
      <c r="L15">
        <v>3</v>
      </c>
      <c r="M15" t="s">
        <v>48</v>
      </c>
      <c r="N15" t="s">
        <v>41</v>
      </c>
      <c r="O15" t="s">
        <v>42</v>
      </c>
      <c r="P15" t="s">
        <v>43</v>
      </c>
      <c r="Q15">
        <v>13</v>
      </c>
      <c r="R15">
        <v>0</v>
      </c>
      <c r="S15">
        <v>6</v>
      </c>
      <c r="T15">
        <v>0</v>
      </c>
      <c r="U15">
        <v>3</v>
      </c>
      <c r="V15">
        <v>23</v>
      </c>
      <c r="W15">
        <v>93</v>
      </c>
      <c r="X15">
        <v>360</v>
      </c>
      <c r="Y15">
        <v>22154</v>
      </c>
      <c r="Z15">
        <v>3904</v>
      </c>
      <c r="AA15">
        <v>2</v>
      </c>
      <c r="AB15">
        <v>30731</v>
      </c>
      <c r="AC15" s="10">
        <v>41393</v>
      </c>
      <c r="AD15" s="10">
        <v>42962</v>
      </c>
      <c r="AE15" t="s">
        <v>44</v>
      </c>
      <c r="AF15" t="s">
        <v>45</v>
      </c>
    </row>
    <row r="16" spans="1:32" x14ac:dyDescent="0.25">
      <c r="A16">
        <v>1004</v>
      </c>
      <c r="B16">
        <v>30</v>
      </c>
      <c r="C16" t="s">
        <v>32</v>
      </c>
      <c r="D16" t="s">
        <v>33</v>
      </c>
      <c r="E16" t="s">
        <v>34</v>
      </c>
      <c r="F16" t="s">
        <v>49</v>
      </c>
      <c r="G16" t="s">
        <v>36</v>
      </c>
      <c r="H16" t="s">
        <v>47</v>
      </c>
      <c r="I16" t="s">
        <v>50</v>
      </c>
      <c r="J16" t="s">
        <v>39</v>
      </c>
      <c r="K16">
        <v>3</v>
      </c>
      <c r="L16">
        <v>3</v>
      </c>
      <c r="M16" t="s">
        <v>48</v>
      </c>
      <c r="N16" t="s">
        <v>61</v>
      </c>
      <c r="O16" t="s">
        <v>42</v>
      </c>
      <c r="P16" t="s">
        <v>32</v>
      </c>
      <c r="Q16">
        <v>11</v>
      </c>
      <c r="R16">
        <v>4</v>
      </c>
      <c r="S16">
        <v>7</v>
      </c>
      <c r="T16">
        <v>0</v>
      </c>
      <c r="U16">
        <v>1</v>
      </c>
      <c r="V16">
        <v>22</v>
      </c>
      <c r="W16">
        <v>48</v>
      </c>
      <c r="X16">
        <v>138</v>
      </c>
      <c r="Y16">
        <v>11539</v>
      </c>
      <c r="Z16">
        <v>2132</v>
      </c>
      <c r="AA16">
        <v>2</v>
      </c>
      <c r="AB16">
        <v>34168</v>
      </c>
      <c r="AC16" s="10">
        <v>41367</v>
      </c>
      <c r="AD16" s="10">
        <v>42967</v>
      </c>
      <c r="AE16" t="s">
        <v>44</v>
      </c>
      <c r="AF16" t="s">
        <v>45</v>
      </c>
    </row>
    <row r="17" spans="1:32" x14ac:dyDescent="0.25">
      <c r="A17">
        <v>147</v>
      </c>
      <c r="B17">
        <v>34</v>
      </c>
      <c r="C17" t="s">
        <v>32</v>
      </c>
      <c r="D17" t="s">
        <v>46</v>
      </c>
      <c r="E17" t="s">
        <v>34</v>
      </c>
      <c r="F17" t="s">
        <v>49</v>
      </c>
      <c r="G17" t="s">
        <v>36</v>
      </c>
      <c r="H17" t="s">
        <v>37</v>
      </c>
      <c r="I17" t="s">
        <v>36</v>
      </c>
      <c r="J17" t="s">
        <v>51</v>
      </c>
      <c r="K17">
        <v>3</v>
      </c>
      <c r="L17">
        <v>4</v>
      </c>
      <c r="M17" t="s">
        <v>48</v>
      </c>
      <c r="N17" t="s">
        <v>41</v>
      </c>
      <c r="O17" t="s">
        <v>42</v>
      </c>
      <c r="P17" t="s">
        <v>32</v>
      </c>
      <c r="Q17">
        <v>24</v>
      </c>
      <c r="R17">
        <v>1</v>
      </c>
      <c r="S17">
        <v>9</v>
      </c>
      <c r="T17">
        <v>0</v>
      </c>
      <c r="U17">
        <v>6</v>
      </c>
      <c r="V17">
        <v>7</v>
      </c>
      <c r="W17">
        <v>66</v>
      </c>
      <c r="X17">
        <v>658</v>
      </c>
      <c r="Y17">
        <v>22887</v>
      </c>
      <c r="Z17">
        <v>6074</v>
      </c>
      <c r="AA17">
        <v>3</v>
      </c>
      <c r="AB17">
        <v>32474</v>
      </c>
      <c r="AC17" s="10">
        <v>40033</v>
      </c>
      <c r="AD17" s="10">
        <v>42968</v>
      </c>
      <c r="AE17" t="s">
        <v>54</v>
      </c>
      <c r="AF17" t="s">
        <v>45</v>
      </c>
    </row>
    <row r="18" spans="1:32" x14ac:dyDescent="0.25">
      <c r="A18">
        <v>1042</v>
      </c>
      <c r="B18">
        <v>36</v>
      </c>
      <c r="C18" t="s">
        <v>32</v>
      </c>
      <c r="D18" t="s">
        <v>33</v>
      </c>
      <c r="E18" t="s">
        <v>34</v>
      </c>
      <c r="F18" t="s">
        <v>35</v>
      </c>
      <c r="G18" t="s">
        <v>50</v>
      </c>
      <c r="H18" t="s">
        <v>47</v>
      </c>
      <c r="I18" t="s">
        <v>59</v>
      </c>
      <c r="J18" t="s">
        <v>51</v>
      </c>
      <c r="K18">
        <v>1</v>
      </c>
      <c r="L18">
        <v>3</v>
      </c>
      <c r="M18" t="s">
        <v>48</v>
      </c>
      <c r="N18" t="s">
        <v>41</v>
      </c>
      <c r="O18" t="s">
        <v>42</v>
      </c>
      <c r="P18" t="s">
        <v>43</v>
      </c>
      <c r="Q18">
        <v>16</v>
      </c>
      <c r="R18">
        <v>1</v>
      </c>
      <c r="S18">
        <v>18</v>
      </c>
      <c r="T18">
        <v>15</v>
      </c>
      <c r="U18">
        <v>14</v>
      </c>
      <c r="V18">
        <v>16</v>
      </c>
      <c r="W18">
        <v>43</v>
      </c>
      <c r="X18">
        <v>885</v>
      </c>
      <c r="Y18">
        <v>8269</v>
      </c>
      <c r="Z18">
        <v>2743</v>
      </c>
      <c r="AA18">
        <v>1</v>
      </c>
      <c r="AB18">
        <v>31893</v>
      </c>
      <c r="AC18" s="10">
        <v>36863</v>
      </c>
      <c r="AD18" s="10">
        <v>42987</v>
      </c>
      <c r="AE18" t="s">
        <v>44</v>
      </c>
      <c r="AF18" t="s">
        <v>45</v>
      </c>
    </row>
    <row r="19" spans="1:32" x14ac:dyDescent="0.25">
      <c r="A19">
        <v>502</v>
      </c>
      <c r="B19">
        <v>34</v>
      </c>
      <c r="C19" t="s">
        <v>32</v>
      </c>
      <c r="D19" t="s">
        <v>63</v>
      </c>
      <c r="E19" t="s">
        <v>56</v>
      </c>
      <c r="F19" t="s">
        <v>49</v>
      </c>
      <c r="G19" t="s">
        <v>36</v>
      </c>
      <c r="H19" t="s">
        <v>37</v>
      </c>
      <c r="I19" t="s">
        <v>59</v>
      </c>
      <c r="J19" t="s">
        <v>57</v>
      </c>
      <c r="K19">
        <v>4</v>
      </c>
      <c r="L19">
        <v>3</v>
      </c>
      <c r="M19" t="s">
        <v>60</v>
      </c>
      <c r="N19" t="s">
        <v>41</v>
      </c>
      <c r="O19" t="s">
        <v>42</v>
      </c>
      <c r="P19" t="s">
        <v>32</v>
      </c>
      <c r="Q19">
        <v>13</v>
      </c>
      <c r="R19">
        <v>8</v>
      </c>
      <c r="S19">
        <v>9</v>
      </c>
      <c r="T19">
        <v>0</v>
      </c>
      <c r="U19">
        <v>4</v>
      </c>
      <c r="V19">
        <v>19</v>
      </c>
      <c r="W19">
        <v>67</v>
      </c>
      <c r="X19">
        <v>1362</v>
      </c>
      <c r="Y19">
        <v>4652</v>
      </c>
      <c r="Z19">
        <v>5304</v>
      </c>
      <c r="AA19">
        <v>3</v>
      </c>
      <c r="AB19">
        <v>32391</v>
      </c>
      <c r="AC19" s="10">
        <v>41437</v>
      </c>
      <c r="AD19" s="10">
        <v>43000</v>
      </c>
      <c r="AE19" t="s">
        <v>44</v>
      </c>
      <c r="AF19" t="s">
        <v>45</v>
      </c>
    </row>
    <row r="20" spans="1:32" x14ac:dyDescent="0.25">
      <c r="A20">
        <v>967</v>
      </c>
      <c r="B20">
        <v>36</v>
      </c>
      <c r="C20" t="s">
        <v>32</v>
      </c>
      <c r="D20" t="s">
        <v>33</v>
      </c>
      <c r="E20" t="s">
        <v>56</v>
      </c>
      <c r="F20" t="s">
        <v>64</v>
      </c>
      <c r="G20" t="s">
        <v>50</v>
      </c>
      <c r="H20" t="s">
        <v>37</v>
      </c>
      <c r="I20" t="s">
        <v>38</v>
      </c>
      <c r="J20" t="s">
        <v>57</v>
      </c>
      <c r="K20">
        <v>4</v>
      </c>
      <c r="L20">
        <v>3</v>
      </c>
      <c r="M20" t="s">
        <v>48</v>
      </c>
      <c r="N20" t="s">
        <v>61</v>
      </c>
      <c r="O20" t="s">
        <v>36</v>
      </c>
      <c r="P20" t="s">
        <v>32</v>
      </c>
      <c r="Q20">
        <v>11</v>
      </c>
      <c r="R20">
        <v>1</v>
      </c>
      <c r="S20">
        <v>16</v>
      </c>
      <c r="T20">
        <v>3</v>
      </c>
      <c r="U20">
        <v>7</v>
      </c>
      <c r="V20">
        <v>3</v>
      </c>
      <c r="W20">
        <v>51</v>
      </c>
      <c r="X20">
        <v>530</v>
      </c>
      <c r="Y20">
        <v>5518</v>
      </c>
      <c r="Z20">
        <v>10325</v>
      </c>
      <c r="AA20">
        <v>6</v>
      </c>
      <c r="AB20">
        <v>31912</v>
      </c>
      <c r="AC20" s="10">
        <v>37376</v>
      </c>
      <c r="AD20" s="10">
        <v>43001</v>
      </c>
      <c r="AE20" t="s">
        <v>44</v>
      </c>
      <c r="AF20" t="s">
        <v>55</v>
      </c>
    </row>
    <row r="21" spans="1:32" x14ac:dyDescent="0.25">
      <c r="A21">
        <v>1157</v>
      </c>
      <c r="B21">
        <v>33</v>
      </c>
      <c r="C21" t="s">
        <v>32</v>
      </c>
      <c r="D21" t="s">
        <v>33</v>
      </c>
      <c r="E21" t="s">
        <v>56</v>
      </c>
      <c r="F21" t="s">
        <v>35</v>
      </c>
      <c r="G21" t="s">
        <v>36</v>
      </c>
      <c r="H21" t="s">
        <v>47</v>
      </c>
      <c r="I21" t="s">
        <v>50</v>
      </c>
      <c r="J21" t="s">
        <v>57</v>
      </c>
      <c r="K21">
        <v>1</v>
      </c>
      <c r="L21">
        <v>2</v>
      </c>
      <c r="M21" t="s">
        <v>48</v>
      </c>
      <c r="N21" t="s">
        <v>41</v>
      </c>
      <c r="O21" t="s">
        <v>42</v>
      </c>
      <c r="P21" t="s">
        <v>32</v>
      </c>
      <c r="Q21">
        <v>17</v>
      </c>
      <c r="R21">
        <v>0</v>
      </c>
      <c r="S21">
        <v>6</v>
      </c>
      <c r="T21">
        <v>0</v>
      </c>
      <c r="U21">
        <v>3</v>
      </c>
      <c r="V21">
        <v>9</v>
      </c>
      <c r="W21">
        <v>77</v>
      </c>
      <c r="X21">
        <v>603</v>
      </c>
      <c r="Y21">
        <v>18385</v>
      </c>
      <c r="Z21">
        <v>8224</v>
      </c>
      <c r="AA21">
        <v>3</v>
      </c>
      <c r="AB21">
        <v>33003</v>
      </c>
      <c r="AC21" s="10">
        <v>41331</v>
      </c>
      <c r="AD21" s="10">
        <v>43019</v>
      </c>
      <c r="AE21" t="s">
        <v>44</v>
      </c>
      <c r="AF21" t="s">
        <v>45</v>
      </c>
    </row>
    <row r="22" spans="1:32" x14ac:dyDescent="0.25">
      <c r="A22">
        <v>1573</v>
      </c>
      <c r="B22">
        <v>38</v>
      </c>
      <c r="C22" t="s">
        <v>32</v>
      </c>
      <c r="D22" t="s">
        <v>33</v>
      </c>
      <c r="E22" t="s">
        <v>34</v>
      </c>
      <c r="F22" t="s">
        <v>49</v>
      </c>
      <c r="G22" t="s">
        <v>50</v>
      </c>
      <c r="H22" t="s">
        <v>37</v>
      </c>
      <c r="I22" t="s">
        <v>50</v>
      </c>
      <c r="J22" t="s">
        <v>65</v>
      </c>
      <c r="K22">
        <v>2</v>
      </c>
      <c r="L22">
        <v>2</v>
      </c>
      <c r="M22" t="s">
        <v>48</v>
      </c>
      <c r="N22" t="s">
        <v>61</v>
      </c>
      <c r="O22" t="s">
        <v>53</v>
      </c>
      <c r="P22" t="s">
        <v>43</v>
      </c>
      <c r="Q22">
        <v>11</v>
      </c>
      <c r="R22">
        <v>4</v>
      </c>
      <c r="S22">
        <v>7</v>
      </c>
      <c r="T22">
        <v>1</v>
      </c>
      <c r="U22">
        <v>4</v>
      </c>
      <c r="V22">
        <v>2</v>
      </c>
      <c r="W22">
        <v>81</v>
      </c>
      <c r="X22">
        <v>903</v>
      </c>
      <c r="Y22">
        <v>7653</v>
      </c>
      <c r="Z22">
        <v>4855</v>
      </c>
      <c r="AA22">
        <v>2</v>
      </c>
      <c r="AB22">
        <v>30949</v>
      </c>
      <c r="AC22" s="10">
        <v>41469</v>
      </c>
      <c r="AD22" s="10">
        <v>43036</v>
      </c>
      <c r="AE22" t="s">
        <v>54</v>
      </c>
      <c r="AF22" t="s">
        <v>45</v>
      </c>
    </row>
    <row r="23" spans="1:32" x14ac:dyDescent="0.25">
      <c r="A23">
        <v>554</v>
      </c>
      <c r="B23">
        <v>24</v>
      </c>
      <c r="C23" t="s">
        <v>32</v>
      </c>
      <c r="D23" t="s">
        <v>33</v>
      </c>
      <c r="E23" t="s">
        <v>56</v>
      </c>
      <c r="F23" t="s">
        <v>64</v>
      </c>
      <c r="G23" t="s">
        <v>36</v>
      </c>
      <c r="H23" t="s">
        <v>47</v>
      </c>
      <c r="I23" t="s">
        <v>50</v>
      </c>
      <c r="J23" t="s">
        <v>66</v>
      </c>
      <c r="K23">
        <v>2</v>
      </c>
      <c r="L23">
        <v>3</v>
      </c>
      <c r="M23" t="s">
        <v>48</v>
      </c>
      <c r="N23" t="s">
        <v>41</v>
      </c>
      <c r="O23" t="s">
        <v>42</v>
      </c>
      <c r="P23" t="s">
        <v>32</v>
      </c>
      <c r="Q23">
        <v>16</v>
      </c>
      <c r="R23">
        <v>1</v>
      </c>
      <c r="S23">
        <v>6</v>
      </c>
      <c r="T23">
        <v>1</v>
      </c>
      <c r="U23">
        <v>4</v>
      </c>
      <c r="V23">
        <v>1</v>
      </c>
      <c r="W23">
        <v>62</v>
      </c>
      <c r="X23">
        <v>1448</v>
      </c>
      <c r="Y23">
        <v>21972</v>
      </c>
      <c r="Z23">
        <v>3202</v>
      </c>
      <c r="AA23">
        <v>4</v>
      </c>
      <c r="AB23">
        <v>36193</v>
      </c>
      <c r="AC23" s="10">
        <v>41493</v>
      </c>
      <c r="AD23" s="10">
        <v>43047</v>
      </c>
      <c r="AE23" t="s">
        <v>44</v>
      </c>
      <c r="AF23" t="s">
        <v>45</v>
      </c>
    </row>
    <row r="24" spans="1:32" x14ac:dyDescent="0.25">
      <c r="A24">
        <v>161</v>
      </c>
      <c r="B24">
        <v>56</v>
      </c>
      <c r="C24" t="s">
        <v>32</v>
      </c>
      <c r="D24" t="s">
        <v>33</v>
      </c>
      <c r="E24" t="s">
        <v>34</v>
      </c>
      <c r="F24" t="s">
        <v>35</v>
      </c>
      <c r="G24" t="s">
        <v>38</v>
      </c>
      <c r="H24" t="s">
        <v>47</v>
      </c>
      <c r="I24" t="s">
        <v>50</v>
      </c>
      <c r="J24" t="s">
        <v>39</v>
      </c>
      <c r="K24">
        <v>2</v>
      </c>
      <c r="L24">
        <v>3</v>
      </c>
      <c r="M24" t="s">
        <v>48</v>
      </c>
      <c r="N24" t="s">
        <v>61</v>
      </c>
      <c r="O24" t="s">
        <v>50</v>
      </c>
      <c r="P24" t="s">
        <v>32</v>
      </c>
      <c r="Q24">
        <v>18</v>
      </c>
      <c r="R24">
        <v>9</v>
      </c>
      <c r="S24">
        <v>7</v>
      </c>
      <c r="T24">
        <v>4</v>
      </c>
      <c r="U24">
        <v>3</v>
      </c>
      <c r="V24">
        <v>14</v>
      </c>
      <c r="W24">
        <v>72</v>
      </c>
      <c r="X24">
        <v>441</v>
      </c>
      <c r="Y24">
        <v>4510</v>
      </c>
      <c r="Z24">
        <v>4963</v>
      </c>
      <c r="AA24">
        <v>2</v>
      </c>
      <c r="AB24">
        <v>24365</v>
      </c>
      <c r="AC24" s="10">
        <v>41476</v>
      </c>
      <c r="AD24" s="10">
        <v>43049</v>
      </c>
      <c r="AE24" t="s">
        <v>44</v>
      </c>
      <c r="AF24" t="s">
        <v>45</v>
      </c>
    </row>
    <row r="25" spans="1:32" x14ac:dyDescent="0.25">
      <c r="A25">
        <v>297</v>
      </c>
      <c r="B25">
        <v>30</v>
      </c>
      <c r="C25" t="s">
        <v>32</v>
      </c>
      <c r="D25" t="s">
        <v>33</v>
      </c>
      <c r="E25" t="s">
        <v>34</v>
      </c>
      <c r="F25" t="s">
        <v>49</v>
      </c>
      <c r="G25" t="s">
        <v>59</v>
      </c>
      <c r="H25" t="s">
        <v>47</v>
      </c>
      <c r="I25" t="s">
        <v>50</v>
      </c>
      <c r="J25" t="s">
        <v>39</v>
      </c>
      <c r="K25">
        <v>1</v>
      </c>
      <c r="L25">
        <v>3</v>
      </c>
      <c r="M25" t="s">
        <v>48</v>
      </c>
      <c r="N25" t="s">
        <v>41</v>
      </c>
      <c r="O25" t="s">
        <v>42</v>
      </c>
      <c r="P25" t="s">
        <v>32</v>
      </c>
      <c r="Q25">
        <v>11</v>
      </c>
      <c r="R25">
        <v>5</v>
      </c>
      <c r="S25">
        <v>8</v>
      </c>
      <c r="T25">
        <v>0</v>
      </c>
      <c r="U25">
        <v>4</v>
      </c>
      <c r="V25">
        <v>3</v>
      </c>
      <c r="W25">
        <v>88</v>
      </c>
      <c r="X25">
        <v>1005</v>
      </c>
      <c r="Y25">
        <v>8556</v>
      </c>
      <c r="Z25">
        <v>2657</v>
      </c>
      <c r="AA25">
        <v>5</v>
      </c>
      <c r="AB25">
        <v>33952</v>
      </c>
      <c r="AC25" s="10">
        <v>41350</v>
      </c>
      <c r="AD25" s="10">
        <v>43068</v>
      </c>
      <c r="AE25" t="s">
        <v>44</v>
      </c>
      <c r="AF25" t="s">
        <v>45</v>
      </c>
    </row>
    <row r="26" spans="1:32" x14ac:dyDescent="0.25">
      <c r="A26">
        <v>1905</v>
      </c>
      <c r="B26">
        <v>34</v>
      </c>
      <c r="C26" t="s">
        <v>32</v>
      </c>
      <c r="D26" t="s">
        <v>63</v>
      </c>
      <c r="E26" t="s">
        <v>34</v>
      </c>
      <c r="F26" t="s">
        <v>35</v>
      </c>
      <c r="G26" t="s">
        <v>59</v>
      </c>
      <c r="H26" t="s">
        <v>37</v>
      </c>
      <c r="I26" t="s">
        <v>36</v>
      </c>
      <c r="J26" t="s">
        <v>39</v>
      </c>
      <c r="K26">
        <v>1</v>
      </c>
      <c r="L26">
        <v>4</v>
      </c>
      <c r="M26" t="s">
        <v>48</v>
      </c>
      <c r="N26" t="s">
        <v>61</v>
      </c>
      <c r="O26" t="s">
        <v>36</v>
      </c>
      <c r="P26" t="s">
        <v>32</v>
      </c>
      <c r="Q26">
        <v>23</v>
      </c>
      <c r="R26">
        <v>1</v>
      </c>
      <c r="S26">
        <v>5</v>
      </c>
      <c r="T26">
        <v>3</v>
      </c>
      <c r="U26">
        <v>0</v>
      </c>
      <c r="V26">
        <v>16</v>
      </c>
      <c r="W26">
        <v>85</v>
      </c>
      <c r="X26">
        <v>967</v>
      </c>
      <c r="Y26">
        <v>14460</v>
      </c>
      <c r="Z26">
        <v>2307</v>
      </c>
      <c r="AA26">
        <v>2</v>
      </c>
      <c r="AB26">
        <v>32420</v>
      </c>
      <c r="AC26" s="10">
        <v>41417</v>
      </c>
      <c r="AD26" s="10">
        <v>43083</v>
      </c>
      <c r="AE26" t="s">
        <v>44</v>
      </c>
      <c r="AF26" t="s">
        <v>45</v>
      </c>
    </row>
    <row r="27" spans="1:32" x14ac:dyDescent="0.25">
      <c r="A27">
        <v>1489</v>
      </c>
      <c r="B27">
        <v>34</v>
      </c>
      <c r="C27" t="s">
        <v>32</v>
      </c>
      <c r="D27" t="s">
        <v>33</v>
      </c>
      <c r="E27" t="s">
        <v>56</v>
      </c>
      <c r="F27" t="s">
        <v>35</v>
      </c>
      <c r="G27" t="s">
        <v>36</v>
      </c>
      <c r="H27" t="s">
        <v>47</v>
      </c>
      <c r="I27" t="s">
        <v>38</v>
      </c>
      <c r="J27" t="s">
        <v>57</v>
      </c>
      <c r="K27">
        <v>2</v>
      </c>
      <c r="L27">
        <v>4</v>
      </c>
      <c r="M27" t="s">
        <v>58</v>
      </c>
      <c r="N27" t="s">
        <v>41</v>
      </c>
      <c r="O27" t="s">
        <v>42</v>
      </c>
      <c r="P27" t="s">
        <v>32</v>
      </c>
      <c r="Q27">
        <v>23</v>
      </c>
      <c r="R27">
        <v>0</v>
      </c>
      <c r="S27">
        <v>16</v>
      </c>
      <c r="T27">
        <v>10</v>
      </c>
      <c r="U27">
        <v>10</v>
      </c>
      <c r="V27">
        <v>24</v>
      </c>
      <c r="W27">
        <v>40</v>
      </c>
      <c r="X27">
        <v>790</v>
      </c>
      <c r="Y27">
        <v>7815</v>
      </c>
      <c r="Z27">
        <v>4599</v>
      </c>
      <c r="AA27">
        <v>2</v>
      </c>
      <c r="AB27">
        <v>32384</v>
      </c>
      <c r="AC27" s="10">
        <v>37945</v>
      </c>
      <c r="AD27" s="10">
        <v>43098</v>
      </c>
      <c r="AE27" t="s">
        <v>44</v>
      </c>
      <c r="AF27" t="s">
        <v>45</v>
      </c>
    </row>
    <row r="28" spans="1:32" x14ac:dyDescent="0.25">
      <c r="A28">
        <v>785</v>
      </c>
      <c r="B28">
        <v>47</v>
      </c>
      <c r="C28" t="s">
        <v>32</v>
      </c>
      <c r="D28" t="s">
        <v>46</v>
      </c>
      <c r="E28" t="s">
        <v>56</v>
      </c>
      <c r="F28" t="s">
        <v>67</v>
      </c>
      <c r="G28" t="s">
        <v>38</v>
      </c>
      <c r="H28" t="s">
        <v>47</v>
      </c>
      <c r="I28" t="s">
        <v>59</v>
      </c>
      <c r="J28" t="s">
        <v>57</v>
      </c>
      <c r="K28">
        <v>3</v>
      </c>
      <c r="L28">
        <v>3</v>
      </c>
      <c r="M28" t="s">
        <v>48</v>
      </c>
      <c r="N28" t="s">
        <v>41</v>
      </c>
      <c r="O28" t="s">
        <v>42</v>
      </c>
      <c r="P28" t="s">
        <v>32</v>
      </c>
      <c r="Q28">
        <v>12</v>
      </c>
      <c r="R28">
        <v>4</v>
      </c>
      <c r="S28">
        <v>8</v>
      </c>
      <c r="T28">
        <v>1</v>
      </c>
      <c r="U28">
        <v>3</v>
      </c>
      <c r="V28">
        <v>27</v>
      </c>
      <c r="W28">
        <v>77</v>
      </c>
      <c r="X28">
        <v>719</v>
      </c>
      <c r="Y28">
        <v>10339</v>
      </c>
      <c r="Z28">
        <v>6397</v>
      </c>
      <c r="AA28">
        <v>2</v>
      </c>
      <c r="AB28">
        <v>27941</v>
      </c>
      <c r="AC28" s="10">
        <v>41493</v>
      </c>
      <c r="AD28" s="10">
        <v>43122</v>
      </c>
      <c r="AE28" t="s">
        <v>44</v>
      </c>
      <c r="AF28" t="s">
        <v>55</v>
      </c>
    </row>
    <row r="29" spans="1:32" x14ac:dyDescent="0.25">
      <c r="A29">
        <v>1389</v>
      </c>
      <c r="B29">
        <v>31</v>
      </c>
      <c r="C29" t="s">
        <v>32</v>
      </c>
      <c r="D29" t="s">
        <v>33</v>
      </c>
      <c r="E29" t="s">
        <v>34</v>
      </c>
      <c r="F29" t="s">
        <v>35</v>
      </c>
      <c r="G29" t="s">
        <v>59</v>
      </c>
      <c r="H29" t="s">
        <v>37</v>
      </c>
      <c r="I29" t="s">
        <v>50</v>
      </c>
      <c r="J29" t="s">
        <v>65</v>
      </c>
      <c r="K29">
        <v>3</v>
      </c>
      <c r="L29">
        <v>2</v>
      </c>
      <c r="M29" t="s">
        <v>60</v>
      </c>
      <c r="N29" t="s">
        <v>61</v>
      </c>
      <c r="O29" t="s">
        <v>53</v>
      </c>
      <c r="P29" t="s">
        <v>32</v>
      </c>
      <c r="Q29">
        <v>15</v>
      </c>
      <c r="R29">
        <v>1</v>
      </c>
      <c r="S29">
        <v>10</v>
      </c>
      <c r="T29">
        <v>6</v>
      </c>
      <c r="U29">
        <v>7</v>
      </c>
      <c r="V29">
        <v>22</v>
      </c>
      <c r="W29">
        <v>98</v>
      </c>
      <c r="X29">
        <v>330</v>
      </c>
      <c r="Y29">
        <v>21057</v>
      </c>
      <c r="Z29">
        <v>6179</v>
      </c>
      <c r="AA29">
        <v>3</v>
      </c>
      <c r="AB29">
        <v>33767</v>
      </c>
      <c r="AC29" s="10">
        <v>39510</v>
      </c>
      <c r="AD29" s="10">
        <v>43124</v>
      </c>
      <c r="AE29" t="s">
        <v>44</v>
      </c>
      <c r="AF29" t="s">
        <v>45</v>
      </c>
    </row>
    <row r="30" spans="1:32" x14ac:dyDescent="0.25">
      <c r="A30">
        <v>1318</v>
      </c>
      <c r="B30">
        <v>40</v>
      </c>
      <c r="C30" t="s">
        <v>32</v>
      </c>
      <c r="D30" t="s">
        <v>33</v>
      </c>
      <c r="E30" t="s">
        <v>56</v>
      </c>
      <c r="F30" t="s">
        <v>35</v>
      </c>
      <c r="G30" t="s">
        <v>59</v>
      </c>
      <c r="H30" t="s">
        <v>37</v>
      </c>
      <c r="I30" t="s">
        <v>38</v>
      </c>
      <c r="J30" t="s">
        <v>57</v>
      </c>
      <c r="K30">
        <v>2</v>
      </c>
      <c r="L30">
        <v>2</v>
      </c>
      <c r="M30" t="s">
        <v>48</v>
      </c>
      <c r="N30" t="s">
        <v>41</v>
      </c>
      <c r="O30" t="s">
        <v>42</v>
      </c>
      <c r="P30" t="s">
        <v>32</v>
      </c>
      <c r="Q30">
        <v>12</v>
      </c>
      <c r="R30">
        <v>2</v>
      </c>
      <c r="S30">
        <v>9</v>
      </c>
      <c r="T30">
        <v>1</v>
      </c>
      <c r="U30">
        <v>0</v>
      </c>
      <c r="V30">
        <v>25</v>
      </c>
      <c r="W30">
        <v>57</v>
      </c>
      <c r="X30">
        <v>299</v>
      </c>
      <c r="Y30">
        <v>17235</v>
      </c>
      <c r="Z30">
        <v>9094</v>
      </c>
      <c r="AA30">
        <v>2</v>
      </c>
      <c r="AB30">
        <v>30201</v>
      </c>
      <c r="AC30" s="10">
        <v>41485</v>
      </c>
      <c r="AD30" s="10">
        <v>43139</v>
      </c>
      <c r="AE30" t="s">
        <v>54</v>
      </c>
      <c r="AF30" t="s">
        <v>45</v>
      </c>
    </row>
    <row r="31" spans="1:32" x14ac:dyDescent="0.25">
      <c r="A31">
        <v>1684</v>
      </c>
      <c r="B31">
        <v>23</v>
      </c>
      <c r="C31" t="s">
        <v>32</v>
      </c>
      <c r="D31" t="s">
        <v>33</v>
      </c>
      <c r="E31" t="s">
        <v>34</v>
      </c>
      <c r="F31" t="s">
        <v>64</v>
      </c>
      <c r="G31" t="s">
        <v>59</v>
      </c>
      <c r="H31" t="s">
        <v>37</v>
      </c>
      <c r="I31" t="s">
        <v>38</v>
      </c>
      <c r="J31" t="s">
        <v>51</v>
      </c>
      <c r="K31">
        <v>3</v>
      </c>
      <c r="L31">
        <v>3</v>
      </c>
      <c r="M31" t="s">
        <v>48</v>
      </c>
      <c r="N31" t="s">
        <v>41</v>
      </c>
      <c r="O31" t="s">
        <v>42</v>
      </c>
      <c r="P31" t="s">
        <v>32</v>
      </c>
      <c r="Q31">
        <v>11</v>
      </c>
      <c r="R31">
        <v>1</v>
      </c>
      <c r="S31">
        <v>5</v>
      </c>
      <c r="T31">
        <v>1</v>
      </c>
      <c r="U31">
        <v>2</v>
      </c>
      <c r="V31">
        <v>8</v>
      </c>
      <c r="W31">
        <v>93</v>
      </c>
      <c r="X31">
        <v>1320</v>
      </c>
      <c r="Y31">
        <v>20586</v>
      </c>
      <c r="Z31">
        <v>3989</v>
      </c>
      <c r="AA31">
        <v>2</v>
      </c>
      <c r="AB31">
        <v>36441</v>
      </c>
      <c r="AC31" s="10">
        <v>41614</v>
      </c>
      <c r="AD31" s="10">
        <v>43139</v>
      </c>
      <c r="AE31" t="s">
        <v>54</v>
      </c>
      <c r="AF31" t="s">
        <v>45</v>
      </c>
    </row>
    <row r="32" spans="1:32" x14ac:dyDescent="0.25">
      <c r="A32">
        <v>1487</v>
      </c>
      <c r="B32">
        <v>29</v>
      </c>
      <c r="C32" t="s">
        <v>32</v>
      </c>
      <c r="D32" t="s">
        <v>46</v>
      </c>
      <c r="E32" t="s">
        <v>56</v>
      </c>
      <c r="F32" t="s">
        <v>49</v>
      </c>
      <c r="G32" t="s">
        <v>36</v>
      </c>
      <c r="H32" t="s">
        <v>47</v>
      </c>
      <c r="I32" t="s">
        <v>50</v>
      </c>
      <c r="J32" t="s">
        <v>57</v>
      </c>
      <c r="K32">
        <v>2</v>
      </c>
      <c r="L32">
        <v>3</v>
      </c>
      <c r="M32" t="s">
        <v>40</v>
      </c>
      <c r="N32" t="s">
        <v>41</v>
      </c>
      <c r="O32" t="s">
        <v>42</v>
      </c>
      <c r="P32" t="s">
        <v>43</v>
      </c>
      <c r="Q32">
        <v>11</v>
      </c>
      <c r="R32">
        <v>5</v>
      </c>
      <c r="S32">
        <v>7</v>
      </c>
      <c r="T32">
        <v>0</v>
      </c>
      <c r="U32">
        <v>0</v>
      </c>
      <c r="V32">
        <v>13</v>
      </c>
      <c r="W32">
        <v>51</v>
      </c>
      <c r="X32">
        <v>115</v>
      </c>
      <c r="Y32">
        <v>17485</v>
      </c>
      <c r="Z32">
        <v>5765</v>
      </c>
      <c r="AA32">
        <v>4</v>
      </c>
      <c r="AB32">
        <v>34456</v>
      </c>
      <c r="AC32" s="10">
        <v>41430</v>
      </c>
      <c r="AD32" s="10">
        <v>43139</v>
      </c>
      <c r="AE32" t="s">
        <v>44</v>
      </c>
      <c r="AF32" t="s">
        <v>45</v>
      </c>
    </row>
    <row r="33" spans="1:32" x14ac:dyDescent="0.25">
      <c r="A33">
        <v>27</v>
      </c>
      <c r="B33">
        <v>36</v>
      </c>
      <c r="C33" t="s">
        <v>32</v>
      </c>
      <c r="D33" t="s">
        <v>33</v>
      </c>
      <c r="E33" t="s">
        <v>56</v>
      </c>
      <c r="F33" t="s">
        <v>35</v>
      </c>
      <c r="G33" t="s">
        <v>50</v>
      </c>
      <c r="H33" t="s">
        <v>37</v>
      </c>
      <c r="I33" t="s">
        <v>38</v>
      </c>
      <c r="J33" t="s">
        <v>66</v>
      </c>
      <c r="K33">
        <v>1</v>
      </c>
      <c r="L33">
        <v>4</v>
      </c>
      <c r="M33" t="s">
        <v>48</v>
      </c>
      <c r="N33" t="s">
        <v>41</v>
      </c>
      <c r="O33" t="s">
        <v>42</v>
      </c>
      <c r="P33" t="s">
        <v>43</v>
      </c>
      <c r="Q33">
        <v>23</v>
      </c>
      <c r="R33">
        <v>7</v>
      </c>
      <c r="S33">
        <v>10</v>
      </c>
      <c r="T33">
        <v>0</v>
      </c>
      <c r="U33">
        <v>3</v>
      </c>
      <c r="V33">
        <v>9</v>
      </c>
      <c r="W33">
        <v>82</v>
      </c>
      <c r="X33">
        <v>1218</v>
      </c>
      <c r="Y33">
        <v>6986</v>
      </c>
      <c r="Z33">
        <v>3407</v>
      </c>
      <c r="AA33">
        <v>4</v>
      </c>
      <c r="AB33">
        <v>31780</v>
      </c>
      <c r="AC33" s="10">
        <v>41506</v>
      </c>
      <c r="AD33" s="10">
        <v>43150</v>
      </c>
      <c r="AE33" t="s">
        <v>44</v>
      </c>
      <c r="AF33" t="s">
        <v>45</v>
      </c>
    </row>
    <row r="34" spans="1:32" x14ac:dyDescent="0.25">
      <c r="A34">
        <v>1818</v>
      </c>
      <c r="B34">
        <v>26</v>
      </c>
      <c r="C34" t="s">
        <v>32</v>
      </c>
      <c r="D34" t="s">
        <v>33</v>
      </c>
      <c r="E34" t="s">
        <v>68</v>
      </c>
      <c r="F34" t="s">
        <v>67</v>
      </c>
      <c r="G34" t="s">
        <v>59</v>
      </c>
      <c r="H34" t="s">
        <v>47</v>
      </c>
      <c r="I34" t="s">
        <v>50</v>
      </c>
      <c r="J34" t="s">
        <v>68</v>
      </c>
      <c r="K34">
        <v>2</v>
      </c>
      <c r="L34">
        <v>1</v>
      </c>
      <c r="M34" t="s">
        <v>48</v>
      </c>
      <c r="N34" t="s">
        <v>61</v>
      </c>
      <c r="O34" t="s">
        <v>42</v>
      </c>
      <c r="P34" t="s">
        <v>32</v>
      </c>
      <c r="Q34">
        <v>11</v>
      </c>
      <c r="R34">
        <v>0</v>
      </c>
      <c r="S34">
        <v>6</v>
      </c>
      <c r="T34">
        <v>1</v>
      </c>
      <c r="U34">
        <v>4</v>
      </c>
      <c r="V34">
        <v>20</v>
      </c>
      <c r="W34">
        <v>69</v>
      </c>
      <c r="X34">
        <v>920</v>
      </c>
      <c r="Y34">
        <v>6889</v>
      </c>
      <c r="Z34">
        <v>2148</v>
      </c>
      <c r="AA34">
        <v>3</v>
      </c>
      <c r="AB34">
        <v>35635</v>
      </c>
      <c r="AC34" s="10">
        <v>41649</v>
      </c>
      <c r="AD34" s="10">
        <v>43190</v>
      </c>
      <c r="AE34" t="s">
        <v>54</v>
      </c>
      <c r="AF34" t="s">
        <v>45</v>
      </c>
    </row>
    <row r="35" spans="1:32" x14ac:dyDescent="0.25">
      <c r="A35">
        <v>1809</v>
      </c>
      <c r="B35">
        <v>37</v>
      </c>
      <c r="C35" t="s">
        <v>32</v>
      </c>
      <c r="D35" t="s">
        <v>33</v>
      </c>
      <c r="E35" t="s">
        <v>34</v>
      </c>
      <c r="F35" t="s">
        <v>35</v>
      </c>
      <c r="G35" t="s">
        <v>59</v>
      </c>
      <c r="H35" t="s">
        <v>37</v>
      </c>
      <c r="I35" t="s">
        <v>50</v>
      </c>
      <c r="J35" t="s">
        <v>65</v>
      </c>
      <c r="K35">
        <v>1</v>
      </c>
      <c r="L35">
        <v>3</v>
      </c>
      <c r="M35" t="s">
        <v>40</v>
      </c>
      <c r="N35" t="s">
        <v>41</v>
      </c>
      <c r="O35" t="s">
        <v>42</v>
      </c>
      <c r="P35" t="s">
        <v>43</v>
      </c>
      <c r="Q35">
        <v>15</v>
      </c>
      <c r="R35">
        <v>1</v>
      </c>
      <c r="S35">
        <v>10</v>
      </c>
      <c r="T35">
        <v>0</v>
      </c>
      <c r="U35">
        <v>8</v>
      </c>
      <c r="V35">
        <v>10</v>
      </c>
      <c r="W35">
        <v>58</v>
      </c>
      <c r="X35">
        <v>370</v>
      </c>
      <c r="Y35">
        <v>4992</v>
      </c>
      <c r="Z35">
        <v>4213</v>
      </c>
      <c r="AA35">
        <v>4</v>
      </c>
      <c r="AB35">
        <v>31479</v>
      </c>
      <c r="AC35" s="10">
        <v>39598</v>
      </c>
      <c r="AD35" s="10">
        <v>43190</v>
      </c>
      <c r="AE35" t="s">
        <v>44</v>
      </c>
      <c r="AF35" t="s">
        <v>45</v>
      </c>
    </row>
    <row r="36" spans="1:32" x14ac:dyDescent="0.25">
      <c r="A36">
        <v>1792</v>
      </c>
      <c r="B36">
        <v>44</v>
      </c>
      <c r="C36" t="s">
        <v>32</v>
      </c>
      <c r="D36" t="s">
        <v>46</v>
      </c>
      <c r="E36" t="s">
        <v>34</v>
      </c>
      <c r="F36" t="s">
        <v>67</v>
      </c>
      <c r="G36" t="s">
        <v>50</v>
      </c>
      <c r="H36" t="s">
        <v>37</v>
      </c>
      <c r="I36" t="s">
        <v>50</v>
      </c>
      <c r="J36" t="s">
        <v>39</v>
      </c>
      <c r="K36">
        <v>2</v>
      </c>
      <c r="L36">
        <v>3</v>
      </c>
      <c r="M36" t="s">
        <v>60</v>
      </c>
      <c r="N36" t="s">
        <v>52</v>
      </c>
      <c r="O36" t="s">
        <v>50</v>
      </c>
      <c r="P36" t="s">
        <v>32</v>
      </c>
      <c r="Q36">
        <v>12</v>
      </c>
      <c r="R36">
        <v>1</v>
      </c>
      <c r="S36">
        <v>6</v>
      </c>
      <c r="T36">
        <v>2</v>
      </c>
      <c r="U36">
        <v>3</v>
      </c>
      <c r="V36">
        <v>1</v>
      </c>
      <c r="W36">
        <v>99</v>
      </c>
      <c r="X36">
        <v>429</v>
      </c>
      <c r="Y36">
        <v>11092</v>
      </c>
      <c r="Z36">
        <v>2342</v>
      </c>
      <c r="AA36">
        <v>2</v>
      </c>
      <c r="AB36">
        <v>28869</v>
      </c>
      <c r="AC36" s="10">
        <v>41664</v>
      </c>
      <c r="AD36" s="10">
        <v>43201</v>
      </c>
      <c r="AE36" t="s">
        <v>44</v>
      </c>
      <c r="AF36" t="s">
        <v>45</v>
      </c>
    </row>
    <row r="37" spans="1:32" x14ac:dyDescent="0.25">
      <c r="A37">
        <v>433</v>
      </c>
      <c r="B37">
        <v>52</v>
      </c>
      <c r="C37" t="s">
        <v>32</v>
      </c>
      <c r="D37" t="s">
        <v>33</v>
      </c>
      <c r="E37" t="s">
        <v>34</v>
      </c>
      <c r="F37" t="s">
        <v>35</v>
      </c>
      <c r="G37" t="s">
        <v>50</v>
      </c>
      <c r="H37" t="s">
        <v>37</v>
      </c>
      <c r="I37" t="s">
        <v>38</v>
      </c>
      <c r="J37" t="s">
        <v>39</v>
      </c>
      <c r="K37">
        <v>2</v>
      </c>
      <c r="L37">
        <v>3</v>
      </c>
      <c r="M37" t="s">
        <v>60</v>
      </c>
      <c r="N37" t="s">
        <v>61</v>
      </c>
      <c r="O37" t="s">
        <v>42</v>
      </c>
      <c r="P37" t="s">
        <v>43</v>
      </c>
      <c r="Q37">
        <v>15</v>
      </c>
      <c r="R37">
        <v>2</v>
      </c>
      <c r="S37">
        <v>11</v>
      </c>
      <c r="T37">
        <v>7</v>
      </c>
      <c r="U37">
        <v>7</v>
      </c>
      <c r="V37">
        <v>8</v>
      </c>
      <c r="W37">
        <v>85</v>
      </c>
      <c r="X37">
        <v>723</v>
      </c>
      <c r="Y37">
        <v>17747</v>
      </c>
      <c r="Z37">
        <v>4941</v>
      </c>
      <c r="AA37">
        <v>3</v>
      </c>
      <c r="AB37">
        <v>26011</v>
      </c>
      <c r="AC37" s="10">
        <v>40331</v>
      </c>
      <c r="AD37" s="10">
        <v>43211</v>
      </c>
      <c r="AE37" t="s">
        <v>44</v>
      </c>
      <c r="AF37" t="s">
        <v>55</v>
      </c>
    </row>
    <row r="38" spans="1:32" x14ac:dyDescent="0.25">
      <c r="A38">
        <v>842</v>
      </c>
      <c r="B38">
        <v>55</v>
      </c>
      <c r="C38" t="s">
        <v>32</v>
      </c>
      <c r="D38" t="s">
        <v>33</v>
      </c>
      <c r="E38" t="s">
        <v>56</v>
      </c>
      <c r="F38" t="s">
        <v>64</v>
      </c>
      <c r="G38" t="s">
        <v>50</v>
      </c>
      <c r="H38" t="s">
        <v>37</v>
      </c>
      <c r="I38" t="s">
        <v>50</v>
      </c>
      <c r="J38" t="s">
        <v>57</v>
      </c>
      <c r="K38">
        <v>4</v>
      </c>
      <c r="L38">
        <v>3</v>
      </c>
      <c r="M38" t="s">
        <v>60</v>
      </c>
      <c r="N38" t="s">
        <v>41</v>
      </c>
      <c r="O38" t="s">
        <v>42</v>
      </c>
      <c r="P38" t="s">
        <v>43</v>
      </c>
      <c r="Q38">
        <v>16</v>
      </c>
      <c r="R38">
        <v>4</v>
      </c>
      <c r="S38">
        <v>12</v>
      </c>
      <c r="T38">
        <v>7</v>
      </c>
      <c r="U38">
        <v>3</v>
      </c>
      <c r="V38">
        <v>2</v>
      </c>
      <c r="W38">
        <v>37</v>
      </c>
      <c r="X38">
        <v>436</v>
      </c>
      <c r="Y38">
        <v>21519</v>
      </c>
      <c r="Z38">
        <v>5160</v>
      </c>
      <c r="AA38">
        <v>3</v>
      </c>
      <c r="AB38">
        <v>24951</v>
      </c>
      <c r="AC38" s="10">
        <v>40282</v>
      </c>
      <c r="AD38" s="10">
        <v>43232</v>
      </c>
      <c r="AE38" t="s">
        <v>44</v>
      </c>
      <c r="AF38" t="s">
        <v>55</v>
      </c>
    </row>
    <row r="39" spans="1:32" x14ac:dyDescent="0.25">
      <c r="A39">
        <v>1534</v>
      </c>
      <c r="B39">
        <v>40</v>
      </c>
      <c r="C39" t="s">
        <v>32</v>
      </c>
      <c r="D39" t="s">
        <v>33</v>
      </c>
      <c r="E39" t="s">
        <v>34</v>
      </c>
      <c r="F39" t="s">
        <v>35</v>
      </c>
      <c r="G39" t="s">
        <v>59</v>
      </c>
      <c r="H39" t="s">
        <v>37</v>
      </c>
      <c r="I39" t="s">
        <v>50</v>
      </c>
      <c r="J39" t="s">
        <v>51</v>
      </c>
      <c r="K39">
        <v>1</v>
      </c>
      <c r="L39">
        <v>3</v>
      </c>
      <c r="M39" t="s">
        <v>40</v>
      </c>
      <c r="N39" t="s">
        <v>41</v>
      </c>
      <c r="O39" t="s">
        <v>42</v>
      </c>
      <c r="P39" t="s">
        <v>43</v>
      </c>
      <c r="Q39">
        <v>14</v>
      </c>
      <c r="R39">
        <v>3</v>
      </c>
      <c r="S39">
        <v>15</v>
      </c>
      <c r="T39">
        <v>1</v>
      </c>
      <c r="U39">
        <v>0</v>
      </c>
      <c r="V39">
        <v>9</v>
      </c>
      <c r="W39">
        <v>86</v>
      </c>
      <c r="X39">
        <v>676</v>
      </c>
      <c r="Y39">
        <v>21831</v>
      </c>
      <c r="Z39">
        <v>2018</v>
      </c>
      <c r="AA39">
        <v>3</v>
      </c>
      <c r="AB39">
        <v>30226</v>
      </c>
      <c r="AC39" s="10">
        <v>41636</v>
      </c>
      <c r="AD39" s="10">
        <v>43233</v>
      </c>
      <c r="AE39" t="s">
        <v>54</v>
      </c>
      <c r="AF39" t="s">
        <v>45</v>
      </c>
    </row>
    <row r="40" spans="1:32" x14ac:dyDescent="0.25">
      <c r="A40">
        <v>787</v>
      </c>
      <c r="B40">
        <v>55</v>
      </c>
      <c r="C40" t="s">
        <v>32</v>
      </c>
      <c r="D40" t="s">
        <v>33</v>
      </c>
      <c r="E40" t="s">
        <v>34</v>
      </c>
      <c r="F40" t="s">
        <v>49</v>
      </c>
      <c r="G40" t="s">
        <v>59</v>
      </c>
      <c r="H40" t="s">
        <v>37</v>
      </c>
      <c r="I40" t="s">
        <v>50</v>
      </c>
      <c r="J40" t="s">
        <v>69</v>
      </c>
      <c r="K40">
        <v>1</v>
      </c>
      <c r="L40">
        <v>3</v>
      </c>
      <c r="M40" t="s">
        <v>48</v>
      </c>
      <c r="N40" t="s">
        <v>61</v>
      </c>
      <c r="O40" t="s">
        <v>36</v>
      </c>
      <c r="P40" t="s">
        <v>32</v>
      </c>
      <c r="Q40">
        <v>13</v>
      </c>
      <c r="R40">
        <v>5</v>
      </c>
      <c r="S40">
        <v>24</v>
      </c>
      <c r="T40">
        <v>1</v>
      </c>
      <c r="U40">
        <v>4</v>
      </c>
      <c r="V40">
        <v>2</v>
      </c>
      <c r="W40">
        <v>78</v>
      </c>
      <c r="X40">
        <v>725</v>
      </c>
      <c r="Y40">
        <v>21199</v>
      </c>
      <c r="Z40">
        <v>19859</v>
      </c>
      <c r="AA40">
        <v>2</v>
      </c>
      <c r="AB40">
        <v>24886</v>
      </c>
      <c r="AC40" s="10">
        <v>41451</v>
      </c>
      <c r="AD40" s="10">
        <v>43257</v>
      </c>
      <c r="AE40" t="s">
        <v>44</v>
      </c>
      <c r="AF40" t="s">
        <v>45</v>
      </c>
    </row>
    <row r="41" spans="1:32" x14ac:dyDescent="0.25">
      <c r="A41">
        <v>1127</v>
      </c>
      <c r="B41">
        <v>39</v>
      </c>
      <c r="C41" t="s">
        <v>32</v>
      </c>
      <c r="D41" t="s">
        <v>46</v>
      </c>
      <c r="E41" t="s">
        <v>34</v>
      </c>
      <c r="F41" t="s">
        <v>49</v>
      </c>
      <c r="G41" t="s">
        <v>36</v>
      </c>
      <c r="H41" t="s">
        <v>37</v>
      </c>
      <c r="I41" t="s">
        <v>50</v>
      </c>
      <c r="J41" t="s">
        <v>62</v>
      </c>
      <c r="K41">
        <v>4</v>
      </c>
      <c r="L41">
        <v>3</v>
      </c>
      <c r="M41" t="s">
        <v>48</v>
      </c>
      <c r="N41" t="s">
        <v>52</v>
      </c>
      <c r="O41" t="s">
        <v>50</v>
      </c>
      <c r="P41" t="s">
        <v>43</v>
      </c>
      <c r="Q41">
        <v>11</v>
      </c>
      <c r="R41">
        <v>7</v>
      </c>
      <c r="S41">
        <v>21</v>
      </c>
      <c r="T41">
        <v>11</v>
      </c>
      <c r="U41">
        <v>5</v>
      </c>
      <c r="V41">
        <v>2</v>
      </c>
      <c r="W41">
        <v>84</v>
      </c>
      <c r="X41">
        <v>203</v>
      </c>
      <c r="Y41">
        <v>13547</v>
      </c>
      <c r="Z41">
        <v>12169</v>
      </c>
      <c r="AA41">
        <v>4</v>
      </c>
      <c r="AB41">
        <v>30784</v>
      </c>
      <c r="AC41" s="10">
        <v>37059</v>
      </c>
      <c r="AD41" s="10">
        <v>43303</v>
      </c>
      <c r="AE41" t="s">
        <v>44</v>
      </c>
      <c r="AF41" t="s">
        <v>45</v>
      </c>
    </row>
    <row r="42" spans="1:32" x14ac:dyDescent="0.25">
      <c r="A42">
        <v>1188</v>
      </c>
      <c r="B42">
        <v>43</v>
      </c>
      <c r="C42" t="s">
        <v>32</v>
      </c>
      <c r="D42" t="s">
        <v>33</v>
      </c>
      <c r="E42" t="s">
        <v>56</v>
      </c>
      <c r="F42" t="s">
        <v>49</v>
      </c>
      <c r="G42" t="s">
        <v>36</v>
      </c>
      <c r="H42" t="s">
        <v>47</v>
      </c>
      <c r="I42" t="s">
        <v>36</v>
      </c>
      <c r="J42" t="s">
        <v>57</v>
      </c>
      <c r="K42">
        <v>3</v>
      </c>
      <c r="L42">
        <v>3</v>
      </c>
      <c r="M42" t="s">
        <v>60</v>
      </c>
      <c r="N42" t="s">
        <v>41</v>
      </c>
      <c r="O42" t="s">
        <v>42</v>
      </c>
      <c r="P42" t="s">
        <v>43</v>
      </c>
      <c r="Q42">
        <v>13</v>
      </c>
      <c r="R42">
        <v>8</v>
      </c>
      <c r="S42">
        <v>7</v>
      </c>
      <c r="T42">
        <v>1</v>
      </c>
      <c r="U42">
        <v>3</v>
      </c>
      <c r="V42">
        <v>9</v>
      </c>
      <c r="W42">
        <v>85</v>
      </c>
      <c r="X42">
        <v>1372</v>
      </c>
      <c r="Y42">
        <v>9489</v>
      </c>
      <c r="Z42">
        <v>5346</v>
      </c>
      <c r="AA42">
        <v>2</v>
      </c>
      <c r="AB42">
        <v>29171</v>
      </c>
      <c r="AC42" s="10">
        <v>42075</v>
      </c>
      <c r="AD42" s="10">
        <v>43306</v>
      </c>
      <c r="AE42" t="s">
        <v>44</v>
      </c>
      <c r="AF42" t="s">
        <v>45</v>
      </c>
    </row>
    <row r="43" spans="1:32" x14ac:dyDescent="0.25">
      <c r="A43">
        <v>1420</v>
      </c>
      <c r="B43">
        <v>49</v>
      </c>
      <c r="C43" t="s">
        <v>32</v>
      </c>
      <c r="D43" t="s">
        <v>46</v>
      </c>
      <c r="E43" t="s">
        <v>34</v>
      </c>
      <c r="F43" t="s">
        <v>67</v>
      </c>
      <c r="G43" t="s">
        <v>36</v>
      </c>
      <c r="H43" t="s">
        <v>37</v>
      </c>
      <c r="I43" t="s">
        <v>38</v>
      </c>
      <c r="J43" t="s">
        <v>51</v>
      </c>
      <c r="K43">
        <v>1</v>
      </c>
      <c r="L43">
        <v>4</v>
      </c>
      <c r="M43" t="s">
        <v>48</v>
      </c>
      <c r="N43" t="s">
        <v>41</v>
      </c>
      <c r="O43" t="s">
        <v>42</v>
      </c>
      <c r="P43" t="s">
        <v>43</v>
      </c>
      <c r="Q43">
        <v>20</v>
      </c>
      <c r="R43">
        <v>3</v>
      </c>
      <c r="S43">
        <v>20</v>
      </c>
      <c r="T43">
        <v>1</v>
      </c>
      <c r="U43">
        <v>3</v>
      </c>
      <c r="V43">
        <v>28</v>
      </c>
      <c r="W43">
        <v>97</v>
      </c>
      <c r="X43">
        <v>1475</v>
      </c>
      <c r="Y43">
        <v>22710</v>
      </c>
      <c r="Z43">
        <v>4284</v>
      </c>
      <c r="AA43">
        <v>2</v>
      </c>
      <c r="AB43">
        <v>27111</v>
      </c>
      <c r="AC43" s="10">
        <v>41944</v>
      </c>
      <c r="AD43" s="10">
        <v>43327</v>
      </c>
      <c r="AE43" t="s">
        <v>44</v>
      </c>
      <c r="AF43" t="s">
        <v>45</v>
      </c>
    </row>
    <row r="44" spans="1:32" x14ac:dyDescent="0.25">
      <c r="A44">
        <v>2032</v>
      </c>
      <c r="B44">
        <v>56</v>
      </c>
      <c r="C44" t="s">
        <v>32</v>
      </c>
      <c r="D44" t="s">
        <v>33</v>
      </c>
      <c r="E44" t="s">
        <v>34</v>
      </c>
      <c r="F44" t="s">
        <v>67</v>
      </c>
      <c r="G44" t="s">
        <v>59</v>
      </c>
      <c r="H44" t="s">
        <v>37</v>
      </c>
      <c r="I44" t="s">
        <v>50</v>
      </c>
      <c r="J44" t="s">
        <v>51</v>
      </c>
      <c r="K44">
        <v>3</v>
      </c>
      <c r="L44">
        <v>3</v>
      </c>
      <c r="M44" t="s">
        <v>40</v>
      </c>
      <c r="N44" t="s">
        <v>61</v>
      </c>
      <c r="O44" t="s">
        <v>36</v>
      </c>
      <c r="P44" t="s">
        <v>43</v>
      </c>
      <c r="Q44">
        <v>11</v>
      </c>
      <c r="R44">
        <v>8</v>
      </c>
      <c r="S44">
        <v>14</v>
      </c>
      <c r="T44">
        <v>9</v>
      </c>
      <c r="U44">
        <v>8</v>
      </c>
      <c r="V44">
        <v>7</v>
      </c>
      <c r="W44">
        <v>72</v>
      </c>
      <c r="X44">
        <v>310</v>
      </c>
      <c r="Y44">
        <v>3666</v>
      </c>
      <c r="Z44">
        <v>2339</v>
      </c>
      <c r="AA44">
        <v>4</v>
      </c>
      <c r="AB44">
        <v>24647</v>
      </c>
      <c r="AC44" s="10">
        <v>39827</v>
      </c>
      <c r="AD44" s="10">
        <v>43330</v>
      </c>
      <c r="AE44" t="s">
        <v>44</v>
      </c>
      <c r="AF44" t="s">
        <v>45</v>
      </c>
    </row>
    <row r="45" spans="1:32" x14ac:dyDescent="0.25">
      <c r="A45">
        <v>1869</v>
      </c>
      <c r="B45">
        <v>46</v>
      </c>
      <c r="C45" t="s">
        <v>32</v>
      </c>
      <c r="D45" t="s">
        <v>33</v>
      </c>
      <c r="E45" t="s">
        <v>56</v>
      </c>
      <c r="F45" t="s">
        <v>49</v>
      </c>
      <c r="G45" t="s">
        <v>50</v>
      </c>
      <c r="H45" t="s">
        <v>47</v>
      </c>
      <c r="I45" t="s">
        <v>50</v>
      </c>
      <c r="J45" t="s">
        <v>57</v>
      </c>
      <c r="K45">
        <v>2</v>
      </c>
      <c r="L45">
        <v>4</v>
      </c>
      <c r="M45" t="s">
        <v>48</v>
      </c>
      <c r="N45" t="s">
        <v>61</v>
      </c>
      <c r="O45" t="s">
        <v>50</v>
      </c>
      <c r="P45" t="s">
        <v>43</v>
      </c>
      <c r="Q45">
        <v>21</v>
      </c>
      <c r="R45">
        <v>5</v>
      </c>
      <c r="S45">
        <v>14</v>
      </c>
      <c r="T45">
        <v>0</v>
      </c>
      <c r="U45">
        <v>7</v>
      </c>
      <c r="V45">
        <v>10</v>
      </c>
      <c r="W45">
        <v>64</v>
      </c>
      <c r="X45">
        <v>1254</v>
      </c>
      <c r="Y45">
        <v>14011</v>
      </c>
      <c r="Z45">
        <v>7314</v>
      </c>
      <c r="AA45">
        <v>2</v>
      </c>
      <c r="AB45">
        <v>28253</v>
      </c>
      <c r="AC45" s="10">
        <v>40560</v>
      </c>
      <c r="AD45" s="10">
        <v>43344</v>
      </c>
      <c r="AE45" t="s">
        <v>44</v>
      </c>
      <c r="AF45" t="s">
        <v>55</v>
      </c>
    </row>
    <row r="46" spans="1:32" x14ac:dyDescent="0.25">
      <c r="A46">
        <v>315</v>
      </c>
      <c r="B46">
        <v>29</v>
      </c>
      <c r="C46" t="s">
        <v>32</v>
      </c>
      <c r="D46" t="s">
        <v>33</v>
      </c>
      <c r="E46" t="s">
        <v>34</v>
      </c>
      <c r="F46" t="s">
        <v>64</v>
      </c>
      <c r="G46" t="s">
        <v>50</v>
      </c>
      <c r="H46" t="s">
        <v>37</v>
      </c>
      <c r="I46" t="s">
        <v>38</v>
      </c>
      <c r="J46" t="s">
        <v>39</v>
      </c>
      <c r="K46">
        <v>4</v>
      </c>
      <c r="L46">
        <v>1</v>
      </c>
      <c r="M46" t="s">
        <v>60</v>
      </c>
      <c r="N46" t="s">
        <v>41</v>
      </c>
      <c r="O46" t="s">
        <v>42</v>
      </c>
      <c r="P46" t="s">
        <v>32</v>
      </c>
      <c r="Q46">
        <v>13</v>
      </c>
      <c r="R46">
        <v>1</v>
      </c>
      <c r="S46">
        <v>4</v>
      </c>
      <c r="T46">
        <v>0</v>
      </c>
      <c r="U46">
        <v>1</v>
      </c>
      <c r="V46">
        <v>18</v>
      </c>
      <c r="W46">
        <v>86</v>
      </c>
      <c r="X46">
        <v>896</v>
      </c>
      <c r="Y46">
        <v>14961</v>
      </c>
      <c r="Z46">
        <v>2389</v>
      </c>
      <c r="AA46">
        <v>3</v>
      </c>
      <c r="AB46">
        <v>34455</v>
      </c>
      <c r="AC46" s="10">
        <v>42056</v>
      </c>
      <c r="AD46" s="10">
        <v>43353</v>
      </c>
      <c r="AE46" t="s">
        <v>54</v>
      </c>
      <c r="AF46" t="s">
        <v>45</v>
      </c>
    </row>
    <row r="47" spans="1:32" x14ac:dyDescent="0.25">
      <c r="A47">
        <v>142</v>
      </c>
      <c r="B47">
        <v>25</v>
      </c>
      <c r="C47" t="s">
        <v>32</v>
      </c>
      <c r="D47" t="s">
        <v>33</v>
      </c>
      <c r="E47" t="s">
        <v>56</v>
      </c>
      <c r="F47" t="s">
        <v>49</v>
      </c>
      <c r="G47" t="s">
        <v>50</v>
      </c>
      <c r="H47" t="s">
        <v>37</v>
      </c>
      <c r="I47" t="s">
        <v>38</v>
      </c>
      <c r="J47" t="s">
        <v>57</v>
      </c>
      <c r="K47">
        <v>3</v>
      </c>
      <c r="L47">
        <v>3</v>
      </c>
      <c r="M47" t="s">
        <v>48</v>
      </c>
      <c r="N47" t="s">
        <v>41</v>
      </c>
      <c r="O47" t="s">
        <v>42</v>
      </c>
      <c r="P47" t="s">
        <v>32</v>
      </c>
      <c r="Q47">
        <v>11</v>
      </c>
      <c r="R47">
        <v>1</v>
      </c>
      <c r="S47">
        <v>6</v>
      </c>
      <c r="T47">
        <v>0</v>
      </c>
      <c r="U47">
        <v>3</v>
      </c>
      <c r="V47">
        <v>5</v>
      </c>
      <c r="W47">
        <v>46</v>
      </c>
      <c r="X47">
        <v>240</v>
      </c>
      <c r="Y47">
        <v>26959</v>
      </c>
      <c r="Z47">
        <v>5744</v>
      </c>
      <c r="AA47">
        <v>1</v>
      </c>
      <c r="AB47">
        <v>35994</v>
      </c>
      <c r="AC47" s="10">
        <v>41310</v>
      </c>
      <c r="AD47" s="10">
        <v>43356</v>
      </c>
      <c r="AE47" t="s">
        <v>44</v>
      </c>
      <c r="AF47" t="s">
        <v>45</v>
      </c>
    </row>
    <row r="48" spans="1:32" x14ac:dyDescent="0.25">
      <c r="A48">
        <v>796</v>
      </c>
      <c r="B48">
        <v>26</v>
      </c>
      <c r="C48" t="s">
        <v>32</v>
      </c>
      <c r="D48" t="s">
        <v>33</v>
      </c>
      <c r="E48" t="s">
        <v>56</v>
      </c>
      <c r="F48" t="s">
        <v>49</v>
      </c>
      <c r="G48" t="s">
        <v>59</v>
      </c>
      <c r="H48" t="s">
        <v>37</v>
      </c>
      <c r="I48" t="s">
        <v>38</v>
      </c>
      <c r="J48" t="s">
        <v>57</v>
      </c>
      <c r="K48">
        <v>1</v>
      </c>
      <c r="L48">
        <v>2</v>
      </c>
      <c r="M48" t="s">
        <v>60</v>
      </c>
      <c r="N48" t="s">
        <v>41</v>
      </c>
      <c r="O48" t="s">
        <v>42</v>
      </c>
      <c r="P48" t="s">
        <v>43</v>
      </c>
      <c r="Q48">
        <v>17</v>
      </c>
      <c r="R48">
        <v>6</v>
      </c>
      <c r="S48">
        <v>6</v>
      </c>
      <c r="T48">
        <v>1</v>
      </c>
      <c r="U48">
        <v>2</v>
      </c>
      <c r="V48">
        <v>8</v>
      </c>
      <c r="W48">
        <v>38</v>
      </c>
      <c r="X48">
        <v>1146</v>
      </c>
      <c r="Y48">
        <v>3064</v>
      </c>
      <c r="Z48">
        <v>5326</v>
      </c>
      <c r="AA48">
        <v>2</v>
      </c>
      <c r="AB48">
        <v>35562</v>
      </c>
      <c r="AC48" s="10">
        <v>42090</v>
      </c>
      <c r="AD48" s="10">
        <v>43358</v>
      </c>
      <c r="AE48" t="s">
        <v>44</v>
      </c>
      <c r="AF48" t="s">
        <v>55</v>
      </c>
    </row>
    <row r="49" spans="1:32" x14ac:dyDescent="0.25">
      <c r="A49">
        <v>1106</v>
      </c>
      <c r="B49">
        <v>25</v>
      </c>
      <c r="C49" t="s">
        <v>32</v>
      </c>
      <c r="D49" t="s">
        <v>33</v>
      </c>
      <c r="E49" t="s">
        <v>34</v>
      </c>
      <c r="F49" t="s">
        <v>64</v>
      </c>
      <c r="G49" t="s">
        <v>59</v>
      </c>
      <c r="H49" t="s">
        <v>37</v>
      </c>
      <c r="I49" t="s">
        <v>50</v>
      </c>
      <c r="J49" t="s">
        <v>51</v>
      </c>
      <c r="K49">
        <v>4</v>
      </c>
      <c r="L49">
        <v>3</v>
      </c>
      <c r="M49" t="s">
        <v>58</v>
      </c>
      <c r="N49" t="s">
        <v>61</v>
      </c>
      <c r="O49" t="s">
        <v>36</v>
      </c>
      <c r="P49" t="s">
        <v>32</v>
      </c>
      <c r="Q49">
        <v>15</v>
      </c>
      <c r="R49">
        <v>1</v>
      </c>
      <c r="S49">
        <v>7</v>
      </c>
      <c r="T49">
        <v>5</v>
      </c>
      <c r="U49">
        <v>6</v>
      </c>
      <c r="V49">
        <v>4</v>
      </c>
      <c r="W49">
        <v>32</v>
      </c>
      <c r="X49">
        <v>1219</v>
      </c>
      <c r="Y49">
        <v>4605</v>
      </c>
      <c r="Z49">
        <v>3691</v>
      </c>
      <c r="AA49">
        <v>3</v>
      </c>
      <c r="AB49">
        <v>35978</v>
      </c>
      <c r="AC49" s="10">
        <v>41119</v>
      </c>
      <c r="AD49" s="10">
        <v>43359</v>
      </c>
      <c r="AE49" t="s">
        <v>44</v>
      </c>
      <c r="AF49" t="s">
        <v>45</v>
      </c>
    </row>
    <row r="50" spans="1:32" x14ac:dyDescent="0.25">
      <c r="A50">
        <v>291</v>
      </c>
      <c r="B50">
        <v>32</v>
      </c>
      <c r="C50" t="s">
        <v>32</v>
      </c>
      <c r="D50" t="s">
        <v>33</v>
      </c>
      <c r="E50" t="s">
        <v>56</v>
      </c>
      <c r="F50" t="s">
        <v>35</v>
      </c>
      <c r="G50" t="s">
        <v>59</v>
      </c>
      <c r="H50" t="s">
        <v>37</v>
      </c>
      <c r="I50" t="s">
        <v>36</v>
      </c>
      <c r="J50" t="s">
        <v>57</v>
      </c>
      <c r="K50">
        <v>4</v>
      </c>
      <c r="L50">
        <v>3</v>
      </c>
      <c r="M50" t="s">
        <v>60</v>
      </c>
      <c r="N50" t="s">
        <v>61</v>
      </c>
      <c r="O50" t="s">
        <v>42</v>
      </c>
      <c r="P50" t="s">
        <v>43</v>
      </c>
      <c r="Q50">
        <v>11</v>
      </c>
      <c r="R50">
        <v>1</v>
      </c>
      <c r="S50">
        <v>14</v>
      </c>
      <c r="T50">
        <v>9</v>
      </c>
      <c r="U50">
        <v>8</v>
      </c>
      <c r="V50">
        <v>4</v>
      </c>
      <c r="W50">
        <v>32</v>
      </c>
      <c r="X50">
        <v>1045</v>
      </c>
      <c r="Y50">
        <v>25812</v>
      </c>
      <c r="Z50">
        <v>10400</v>
      </c>
      <c r="AA50">
        <v>2</v>
      </c>
      <c r="AB50">
        <v>33129</v>
      </c>
      <c r="AC50" s="10">
        <v>38523</v>
      </c>
      <c r="AD50" s="10">
        <v>43371</v>
      </c>
      <c r="AE50" t="s">
        <v>44</v>
      </c>
      <c r="AF50" t="s">
        <v>45</v>
      </c>
    </row>
    <row r="51" spans="1:32" x14ac:dyDescent="0.25">
      <c r="A51">
        <v>492</v>
      </c>
      <c r="B51">
        <v>40</v>
      </c>
      <c r="C51" t="s">
        <v>32</v>
      </c>
      <c r="D51" t="s">
        <v>33</v>
      </c>
      <c r="E51" t="s">
        <v>56</v>
      </c>
      <c r="F51" t="s">
        <v>67</v>
      </c>
      <c r="G51" t="s">
        <v>50</v>
      </c>
      <c r="H51" t="s">
        <v>37</v>
      </c>
      <c r="I51" t="s">
        <v>38</v>
      </c>
      <c r="J51" t="s">
        <v>57</v>
      </c>
      <c r="K51">
        <v>3</v>
      </c>
      <c r="L51">
        <v>2</v>
      </c>
      <c r="M51" t="s">
        <v>48</v>
      </c>
      <c r="N51" t="s">
        <v>61</v>
      </c>
      <c r="O51" t="s">
        <v>53</v>
      </c>
      <c r="P51" t="s">
        <v>32</v>
      </c>
      <c r="Q51">
        <v>12</v>
      </c>
      <c r="R51">
        <v>2</v>
      </c>
      <c r="S51">
        <v>8</v>
      </c>
      <c r="T51">
        <v>1</v>
      </c>
      <c r="U51">
        <v>0</v>
      </c>
      <c r="V51">
        <v>22</v>
      </c>
      <c r="W51">
        <v>68</v>
      </c>
      <c r="X51">
        <v>575</v>
      </c>
      <c r="Y51">
        <v>6110</v>
      </c>
      <c r="Z51">
        <v>6380</v>
      </c>
      <c r="AA51">
        <v>6</v>
      </c>
      <c r="AB51">
        <v>30191</v>
      </c>
      <c r="AC51" s="10">
        <v>41390</v>
      </c>
      <c r="AD51" s="10">
        <v>43372</v>
      </c>
      <c r="AE51" t="s">
        <v>54</v>
      </c>
      <c r="AF51" t="s">
        <v>45</v>
      </c>
    </row>
    <row r="52" spans="1:32" x14ac:dyDescent="0.25">
      <c r="A52">
        <v>1939</v>
      </c>
      <c r="B52">
        <v>32</v>
      </c>
      <c r="C52" t="s">
        <v>32</v>
      </c>
      <c r="D52" t="s">
        <v>46</v>
      </c>
      <c r="E52" t="s">
        <v>34</v>
      </c>
      <c r="F52" t="s">
        <v>67</v>
      </c>
      <c r="G52" t="s">
        <v>36</v>
      </c>
      <c r="H52" t="s">
        <v>47</v>
      </c>
      <c r="I52" t="s">
        <v>59</v>
      </c>
      <c r="J52" t="s">
        <v>39</v>
      </c>
      <c r="K52">
        <v>3</v>
      </c>
      <c r="L52">
        <v>3</v>
      </c>
      <c r="M52" t="s">
        <v>48</v>
      </c>
      <c r="N52" t="s">
        <v>41</v>
      </c>
      <c r="O52" t="s">
        <v>42</v>
      </c>
      <c r="P52" t="s">
        <v>32</v>
      </c>
      <c r="Q52">
        <v>14</v>
      </c>
      <c r="R52">
        <v>3</v>
      </c>
      <c r="S52">
        <v>8</v>
      </c>
      <c r="T52">
        <v>0</v>
      </c>
      <c r="U52">
        <v>3</v>
      </c>
      <c r="V52">
        <v>5</v>
      </c>
      <c r="W52">
        <v>47</v>
      </c>
      <c r="X52">
        <v>238</v>
      </c>
      <c r="Y52">
        <v>15318</v>
      </c>
      <c r="Z52">
        <v>2432</v>
      </c>
      <c r="AA52">
        <v>2</v>
      </c>
      <c r="AB52">
        <v>33238</v>
      </c>
      <c r="AC52" s="10">
        <v>42106</v>
      </c>
      <c r="AD52" s="10">
        <v>43399</v>
      </c>
      <c r="AE52" t="s">
        <v>44</v>
      </c>
      <c r="AF52" t="s">
        <v>45</v>
      </c>
    </row>
    <row r="53" spans="1:32" x14ac:dyDescent="0.25">
      <c r="A53">
        <v>510</v>
      </c>
      <c r="B53">
        <v>26</v>
      </c>
      <c r="C53" t="s">
        <v>32</v>
      </c>
      <c r="D53" t="s">
        <v>46</v>
      </c>
      <c r="E53" t="s">
        <v>34</v>
      </c>
      <c r="F53" t="s">
        <v>64</v>
      </c>
      <c r="G53" t="s">
        <v>50</v>
      </c>
      <c r="H53" t="s">
        <v>37</v>
      </c>
      <c r="I53" t="s">
        <v>50</v>
      </c>
      <c r="J53" t="s">
        <v>39</v>
      </c>
      <c r="K53">
        <v>1</v>
      </c>
      <c r="L53">
        <v>4</v>
      </c>
      <c r="M53" t="s">
        <v>48</v>
      </c>
      <c r="N53" t="s">
        <v>41</v>
      </c>
      <c r="O53" t="s">
        <v>42</v>
      </c>
      <c r="P53" t="s">
        <v>43</v>
      </c>
      <c r="Q53">
        <v>22</v>
      </c>
      <c r="R53">
        <v>0</v>
      </c>
      <c r="S53">
        <v>7</v>
      </c>
      <c r="T53">
        <v>0</v>
      </c>
      <c r="U53">
        <v>4</v>
      </c>
      <c r="V53">
        <v>3</v>
      </c>
      <c r="W53">
        <v>73</v>
      </c>
      <c r="X53">
        <v>575</v>
      </c>
      <c r="Y53">
        <v>6582</v>
      </c>
      <c r="Z53">
        <v>3102</v>
      </c>
      <c r="AA53">
        <v>2</v>
      </c>
      <c r="AB53">
        <v>35626</v>
      </c>
      <c r="AC53" s="10">
        <v>41555</v>
      </c>
      <c r="AD53" s="10">
        <v>43410</v>
      </c>
      <c r="AE53" t="s">
        <v>44</v>
      </c>
      <c r="AF53" t="s">
        <v>45</v>
      </c>
    </row>
    <row r="54" spans="1:32" x14ac:dyDescent="0.25">
      <c r="A54">
        <v>1747</v>
      </c>
      <c r="B54">
        <v>30</v>
      </c>
      <c r="C54" t="s">
        <v>32</v>
      </c>
      <c r="D54" t="s">
        <v>46</v>
      </c>
      <c r="E54" t="s">
        <v>68</v>
      </c>
      <c r="F54" t="s">
        <v>49</v>
      </c>
      <c r="G54" t="s">
        <v>50</v>
      </c>
      <c r="H54" t="s">
        <v>47</v>
      </c>
      <c r="I54" t="s">
        <v>38</v>
      </c>
      <c r="J54" t="s">
        <v>68</v>
      </c>
      <c r="K54">
        <v>4</v>
      </c>
      <c r="L54">
        <v>3</v>
      </c>
      <c r="M54" t="s">
        <v>60</v>
      </c>
      <c r="N54" t="s">
        <v>52</v>
      </c>
      <c r="O54" t="s">
        <v>36</v>
      </c>
      <c r="P54" t="s">
        <v>43</v>
      </c>
      <c r="Q54">
        <v>11</v>
      </c>
      <c r="R54">
        <v>6</v>
      </c>
      <c r="S54">
        <v>6</v>
      </c>
      <c r="T54">
        <v>1</v>
      </c>
      <c r="U54">
        <v>2</v>
      </c>
      <c r="V54">
        <v>8</v>
      </c>
      <c r="W54">
        <v>66</v>
      </c>
      <c r="X54">
        <v>600</v>
      </c>
      <c r="Y54">
        <v>9732</v>
      </c>
      <c r="Z54">
        <v>2180</v>
      </c>
      <c r="AA54">
        <v>0</v>
      </c>
      <c r="AB54">
        <v>34015</v>
      </c>
      <c r="AC54" s="10">
        <v>42133</v>
      </c>
      <c r="AD54" s="10">
        <v>43426</v>
      </c>
      <c r="AE54" t="s">
        <v>44</v>
      </c>
      <c r="AF54" t="s">
        <v>45</v>
      </c>
    </row>
    <row r="55" spans="1:32" x14ac:dyDescent="0.25">
      <c r="A55">
        <v>1081</v>
      </c>
      <c r="B55">
        <v>51</v>
      </c>
      <c r="C55" t="s">
        <v>32</v>
      </c>
      <c r="D55" t="s">
        <v>33</v>
      </c>
      <c r="E55" t="s">
        <v>34</v>
      </c>
      <c r="F55" t="s">
        <v>35</v>
      </c>
      <c r="G55" t="s">
        <v>36</v>
      </c>
      <c r="H55" t="s">
        <v>37</v>
      </c>
      <c r="I55" t="s">
        <v>50</v>
      </c>
      <c r="J55" t="s">
        <v>39</v>
      </c>
      <c r="K55">
        <v>3</v>
      </c>
      <c r="L55">
        <v>3</v>
      </c>
      <c r="M55" t="s">
        <v>58</v>
      </c>
      <c r="N55" t="s">
        <v>61</v>
      </c>
      <c r="O55" t="s">
        <v>50</v>
      </c>
      <c r="P55" t="s">
        <v>32</v>
      </c>
      <c r="Q55">
        <v>12</v>
      </c>
      <c r="R55">
        <v>9</v>
      </c>
      <c r="S55">
        <v>18</v>
      </c>
      <c r="T55">
        <v>2</v>
      </c>
      <c r="U55">
        <v>7</v>
      </c>
      <c r="V55">
        <v>4</v>
      </c>
      <c r="W55">
        <v>34</v>
      </c>
      <c r="X55">
        <v>1323</v>
      </c>
      <c r="Y55">
        <v>10332</v>
      </c>
      <c r="Z55">
        <v>2461</v>
      </c>
      <c r="AA55">
        <v>2</v>
      </c>
      <c r="AB55">
        <v>26396</v>
      </c>
      <c r="AC55" s="10">
        <v>40000</v>
      </c>
      <c r="AD55" s="10">
        <v>43435</v>
      </c>
      <c r="AE55" t="s">
        <v>44</v>
      </c>
      <c r="AF55" t="s">
        <v>45</v>
      </c>
    </row>
    <row r="56" spans="1:32" x14ac:dyDescent="0.25">
      <c r="A56">
        <v>1038</v>
      </c>
      <c r="B56">
        <v>52</v>
      </c>
      <c r="C56" t="s">
        <v>32</v>
      </c>
      <c r="D56" t="s">
        <v>33</v>
      </c>
      <c r="E56" t="s">
        <v>56</v>
      </c>
      <c r="F56" t="s">
        <v>64</v>
      </c>
      <c r="G56" t="s">
        <v>36</v>
      </c>
      <c r="H56" t="s">
        <v>47</v>
      </c>
      <c r="I56" t="s">
        <v>36</v>
      </c>
      <c r="J56" t="s">
        <v>69</v>
      </c>
      <c r="K56">
        <v>4</v>
      </c>
      <c r="L56">
        <v>3</v>
      </c>
      <c r="M56" t="s">
        <v>48</v>
      </c>
      <c r="N56" t="s">
        <v>61</v>
      </c>
      <c r="O56" t="s">
        <v>36</v>
      </c>
      <c r="P56" t="s">
        <v>43</v>
      </c>
      <c r="Q56">
        <v>15</v>
      </c>
      <c r="R56">
        <v>1</v>
      </c>
      <c r="S56">
        <v>33</v>
      </c>
      <c r="T56">
        <v>6</v>
      </c>
      <c r="U56">
        <v>9</v>
      </c>
      <c r="V56">
        <v>2</v>
      </c>
      <c r="W56">
        <v>57</v>
      </c>
      <c r="X56">
        <v>266</v>
      </c>
      <c r="Y56">
        <v>25846</v>
      </c>
      <c r="Z56">
        <v>19845</v>
      </c>
      <c r="AA56">
        <v>3</v>
      </c>
      <c r="AB56">
        <v>25923</v>
      </c>
      <c r="AC56" s="10">
        <v>32014</v>
      </c>
      <c r="AD56" s="10">
        <v>43438</v>
      </c>
      <c r="AE56" t="s">
        <v>44</v>
      </c>
      <c r="AF56" t="s">
        <v>45</v>
      </c>
    </row>
    <row r="57" spans="1:32" x14ac:dyDescent="0.25">
      <c r="A57">
        <v>1277</v>
      </c>
      <c r="B57">
        <v>45</v>
      </c>
      <c r="C57" t="s">
        <v>32</v>
      </c>
      <c r="D57" t="s">
        <v>33</v>
      </c>
      <c r="E57" t="s">
        <v>56</v>
      </c>
      <c r="F57" t="s">
        <v>49</v>
      </c>
      <c r="G57" t="s">
        <v>36</v>
      </c>
      <c r="H57" t="s">
        <v>47</v>
      </c>
      <c r="I57" t="s">
        <v>36</v>
      </c>
      <c r="J57" t="s">
        <v>69</v>
      </c>
      <c r="K57">
        <v>2</v>
      </c>
      <c r="L57">
        <v>2</v>
      </c>
      <c r="M57" t="s">
        <v>48</v>
      </c>
      <c r="N57" t="s">
        <v>41</v>
      </c>
      <c r="O57" t="s">
        <v>42</v>
      </c>
      <c r="P57" t="s">
        <v>32</v>
      </c>
      <c r="Q57">
        <v>16</v>
      </c>
      <c r="R57">
        <v>2</v>
      </c>
      <c r="S57">
        <v>26</v>
      </c>
      <c r="T57">
        <v>1</v>
      </c>
      <c r="U57">
        <v>11</v>
      </c>
      <c r="V57">
        <v>2</v>
      </c>
      <c r="W57">
        <v>94</v>
      </c>
      <c r="X57">
        <v>1449</v>
      </c>
      <c r="Y57">
        <v>2493</v>
      </c>
      <c r="Z57">
        <v>18824</v>
      </c>
      <c r="AA57">
        <v>2</v>
      </c>
      <c r="AB57">
        <v>28460</v>
      </c>
      <c r="AC57" s="10">
        <v>34898</v>
      </c>
      <c r="AD57" s="10">
        <v>43445</v>
      </c>
      <c r="AE57" t="s">
        <v>54</v>
      </c>
      <c r="AF57" t="s">
        <v>45</v>
      </c>
    </row>
    <row r="58" spans="1:32" x14ac:dyDescent="0.25">
      <c r="A58">
        <v>667</v>
      </c>
      <c r="B58">
        <v>27</v>
      </c>
      <c r="C58" t="s">
        <v>32</v>
      </c>
      <c r="D58" t="s">
        <v>33</v>
      </c>
      <c r="E58" t="s">
        <v>56</v>
      </c>
      <c r="F58" t="s">
        <v>64</v>
      </c>
      <c r="G58" t="s">
        <v>50</v>
      </c>
      <c r="H58" t="s">
        <v>37</v>
      </c>
      <c r="I58" t="s">
        <v>50</v>
      </c>
      <c r="J58" t="s">
        <v>66</v>
      </c>
      <c r="K58">
        <v>1</v>
      </c>
      <c r="L58">
        <v>3</v>
      </c>
      <c r="M58" t="s">
        <v>48</v>
      </c>
      <c r="N58" t="s">
        <v>52</v>
      </c>
      <c r="O58" t="s">
        <v>36</v>
      </c>
      <c r="P58" t="s">
        <v>43</v>
      </c>
      <c r="Q58">
        <v>11</v>
      </c>
      <c r="R58">
        <v>0</v>
      </c>
      <c r="S58">
        <v>5</v>
      </c>
      <c r="T58">
        <v>0</v>
      </c>
      <c r="U58">
        <v>2</v>
      </c>
      <c r="V58">
        <v>2</v>
      </c>
      <c r="W58">
        <v>85</v>
      </c>
      <c r="X58">
        <v>1420</v>
      </c>
      <c r="Y58">
        <v>16346</v>
      </c>
      <c r="Z58">
        <v>3041</v>
      </c>
      <c r="AA58">
        <v>3</v>
      </c>
      <c r="AB58">
        <v>35084</v>
      </c>
      <c r="AC58" s="10">
        <v>42137</v>
      </c>
      <c r="AD58" s="10">
        <v>43479</v>
      </c>
      <c r="AE58" t="s">
        <v>44</v>
      </c>
      <c r="AF58" t="s">
        <v>45</v>
      </c>
    </row>
    <row r="59" spans="1:32" x14ac:dyDescent="0.25">
      <c r="A59">
        <v>454</v>
      </c>
      <c r="B59">
        <v>29</v>
      </c>
      <c r="C59" t="s">
        <v>32</v>
      </c>
      <c r="D59" t="s">
        <v>33</v>
      </c>
      <c r="E59" t="s">
        <v>34</v>
      </c>
      <c r="F59" t="s">
        <v>35</v>
      </c>
      <c r="G59" t="s">
        <v>38</v>
      </c>
      <c r="H59" t="s">
        <v>37</v>
      </c>
      <c r="I59" t="s">
        <v>36</v>
      </c>
      <c r="J59" t="s">
        <v>51</v>
      </c>
      <c r="K59">
        <v>1</v>
      </c>
      <c r="L59">
        <v>3</v>
      </c>
      <c r="M59" t="s">
        <v>60</v>
      </c>
      <c r="N59" t="s">
        <v>61</v>
      </c>
      <c r="O59" t="s">
        <v>42</v>
      </c>
      <c r="P59" t="s">
        <v>32</v>
      </c>
      <c r="Q59">
        <v>11</v>
      </c>
      <c r="R59">
        <v>1</v>
      </c>
      <c r="S59">
        <v>7</v>
      </c>
      <c r="T59">
        <v>0</v>
      </c>
      <c r="U59">
        <v>7</v>
      </c>
      <c r="V59">
        <v>8</v>
      </c>
      <c r="W59">
        <v>77</v>
      </c>
      <c r="X59">
        <v>318</v>
      </c>
      <c r="Y59">
        <v>4759</v>
      </c>
      <c r="Z59">
        <v>2119</v>
      </c>
      <c r="AA59">
        <v>4</v>
      </c>
      <c r="AB59">
        <v>34522</v>
      </c>
      <c r="AC59" s="10">
        <v>40955</v>
      </c>
      <c r="AD59" s="10">
        <v>43482</v>
      </c>
      <c r="AE59" t="s">
        <v>44</v>
      </c>
      <c r="AF59" t="s">
        <v>55</v>
      </c>
    </row>
    <row r="60" spans="1:32" x14ac:dyDescent="0.25">
      <c r="A60">
        <v>1907</v>
      </c>
      <c r="B60">
        <v>56</v>
      </c>
      <c r="C60" t="s">
        <v>32</v>
      </c>
      <c r="D60" t="s">
        <v>33</v>
      </c>
      <c r="E60" t="s">
        <v>34</v>
      </c>
      <c r="F60" t="s">
        <v>67</v>
      </c>
      <c r="G60" t="s">
        <v>36</v>
      </c>
      <c r="H60" t="s">
        <v>37</v>
      </c>
      <c r="I60" t="s">
        <v>50</v>
      </c>
      <c r="J60" t="s">
        <v>51</v>
      </c>
      <c r="K60">
        <v>4</v>
      </c>
      <c r="L60">
        <v>3</v>
      </c>
      <c r="M60" t="s">
        <v>48</v>
      </c>
      <c r="N60" t="s">
        <v>41</v>
      </c>
      <c r="O60" t="s">
        <v>42</v>
      </c>
      <c r="P60" t="s">
        <v>43</v>
      </c>
      <c r="Q60">
        <v>16</v>
      </c>
      <c r="R60">
        <v>1</v>
      </c>
      <c r="S60">
        <v>5</v>
      </c>
      <c r="T60">
        <v>1</v>
      </c>
      <c r="U60">
        <v>0</v>
      </c>
      <c r="V60">
        <v>24</v>
      </c>
      <c r="W60">
        <v>97</v>
      </c>
      <c r="X60">
        <v>1162</v>
      </c>
      <c r="Y60">
        <v>10261</v>
      </c>
      <c r="Z60">
        <v>2587</v>
      </c>
      <c r="AA60">
        <v>3</v>
      </c>
      <c r="AB60">
        <v>24459</v>
      </c>
      <c r="AC60" s="10">
        <v>42114</v>
      </c>
      <c r="AD60" s="10">
        <v>43483</v>
      </c>
      <c r="AE60" t="s">
        <v>44</v>
      </c>
      <c r="AF60" t="s">
        <v>55</v>
      </c>
    </row>
    <row r="61" spans="1:32" x14ac:dyDescent="0.25">
      <c r="A61">
        <v>248</v>
      </c>
      <c r="B61">
        <v>41</v>
      </c>
      <c r="C61" t="s">
        <v>32</v>
      </c>
      <c r="D61" t="s">
        <v>33</v>
      </c>
      <c r="E61" t="s">
        <v>56</v>
      </c>
      <c r="F61" t="s">
        <v>67</v>
      </c>
      <c r="G61" t="s">
        <v>38</v>
      </c>
      <c r="H61" t="s">
        <v>47</v>
      </c>
      <c r="I61" t="s">
        <v>50</v>
      </c>
      <c r="J61" t="s">
        <v>66</v>
      </c>
      <c r="K61">
        <v>2</v>
      </c>
      <c r="L61">
        <v>4</v>
      </c>
      <c r="M61" t="s">
        <v>60</v>
      </c>
      <c r="N61" t="s">
        <v>41</v>
      </c>
      <c r="O61" t="s">
        <v>42</v>
      </c>
      <c r="P61" t="s">
        <v>32</v>
      </c>
      <c r="Q61">
        <v>22</v>
      </c>
      <c r="R61">
        <v>1</v>
      </c>
      <c r="S61">
        <v>4</v>
      </c>
      <c r="T61">
        <v>0</v>
      </c>
      <c r="U61">
        <v>2</v>
      </c>
      <c r="V61">
        <v>20</v>
      </c>
      <c r="W61">
        <v>70</v>
      </c>
      <c r="X61">
        <v>1356</v>
      </c>
      <c r="Y61">
        <v>21728</v>
      </c>
      <c r="Z61">
        <v>3140</v>
      </c>
      <c r="AA61">
        <v>5</v>
      </c>
      <c r="AB61">
        <v>30143</v>
      </c>
      <c r="AC61" s="10">
        <v>42276</v>
      </c>
      <c r="AD61" s="10">
        <v>43483</v>
      </c>
      <c r="AE61" t="s">
        <v>44</v>
      </c>
      <c r="AF61" t="s">
        <v>55</v>
      </c>
    </row>
    <row r="62" spans="1:32" x14ac:dyDescent="0.25">
      <c r="A62">
        <v>328</v>
      </c>
      <c r="B62">
        <v>33</v>
      </c>
      <c r="C62" t="s">
        <v>32</v>
      </c>
      <c r="D62" t="s">
        <v>33</v>
      </c>
      <c r="E62" t="s">
        <v>34</v>
      </c>
      <c r="F62" t="s">
        <v>67</v>
      </c>
      <c r="G62" t="s">
        <v>36</v>
      </c>
      <c r="H62" t="s">
        <v>47</v>
      </c>
      <c r="I62" t="s">
        <v>50</v>
      </c>
      <c r="J62" t="s">
        <v>51</v>
      </c>
      <c r="K62">
        <v>1</v>
      </c>
      <c r="L62">
        <v>2</v>
      </c>
      <c r="M62" t="s">
        <v>58</v>
      </c>
      <c r="N62" t="s">
        <v>61</v>
      </c>
      <c r="O62" t="s">
        <v>42</v>
      </c>
      <c r="P62" t="s">
        <v>43</v>
      </c>
      <c r="Q62">
        <v>20</v>
      </c>
      <c r="R62">
        <v>7</v>
      </c>
      <c r="S62">
        <v>13</v>
      </c>
      <c r="T62">
        <v>1</v>
      </c>
      <c r="U62">
        <v>7</v>
      </c>
      <c r="V62">
        <v>2</v>
      </c>
      <c r="W62">
        <v>39</v>
      </c>
      <c r="X62">
        <v>465</v>
      </c>
      <c r="Y62">
        <v>21509</v>
      </c>
      <c r="Z62">
        <v>2707</v>
      </c>
      <c r="AA62">
        <v>3</v>
      </c>
      <c r="AB62">
        <v>32729</v>
      </c>
      <c r="AC62" s="10">
        <v>40293</v>
      </c>
      <c r="AD62" s="10">
        <v>43489</v>
      </c>
      <c r="AE62" t="s">
        <v>54</v>
      </c>
      <c r="AF62" t="s">
        <v>55</v>
      </c>
    </row>
    <row r="63" spans="1:32" x14ac:dyDescent="0.25">
      <c r="A63">
        <v>31</v>
      </c>
      <c r="B63">
        <v>34</v>
      </c>
      <c r="C63" t="s">
        <v>32</v>
      </c>
      <c r="D63" t="s">
        <v>33</v>
      </c>
      <c r="E63" t="s">
        <v>34</v>
      </c>
      <c r="F63" t="s">
        <v>64</v>
      </c>
      <c r="G63" t="s">
        <v>38</v>
      </c>
      <c r="H63" t="s">
        <v>37</v>
      </c>
      <c r="I63" t="s">
        <v>50</v>
      </c>
      <c r="J63" t="s">
        <v>39</v>
      </c>
      <c r="K63">
        <v>1</v>
      </c>
      <c r="L63">
        <v>3</v>
      </c>
      <c r="M63" t="s">
        <v>48</v>
      </c>
      <c r="N63" t="s">
        <v>41</v>
      </c>
      <c r="O63" t="s">
        <v>42</v>
      </c>
      <c r="P63" t="s">
        <v>43</v>
      </c>
      <c r="Q63">
        <v>11</v>
      </c>
      <c r="R63">
        <v>2</v>
      </c>
      <c r="S63">
        <v>8</v>
      </c>
      <c r="T63">
        <v>1</v>
      </c>
      <c r="U63">
        <v>3</v>
      </c>
      <c r="V63">
        <v>6</v>
      </c>
      <c r="W63">
        <v>83</v>
      </c>
      <c r="X63">
        <v>699</v>
      </c>
      <c r="Y63">
        <v>17102</v>
      </c>
      <c r="Z63">
        <v>2960</v>
      </c>
      <c r="AA63">
        <v>2</v>
      </c>
      <c r="AB63">
        <v>32542</v>
      </c>
      <c r="AC63" s="10">
        <v>42357</v>
      </c>
      <c r="AD63" s="10">
        <v>43503</v>
      </c>
      <c r="AE63" t="s">
        <v>44</v>
      </c>
      <c r="AF63" t="s">
        <v>45</v>
      </c>
    </row>
    <row r="64" spans="1:32" x14ac:dyDescent="0.25">
      <c r="A64">
        <v>631</v>
      </c>
      <c r="B64">
        <v>32</v>
      </c>
      <c r="C64" t="s">
        <v>32</v>
      </c>
      <c r="D64" t="s">
        <v>63</v>
      </c>
      <c r="E64" t="s">
        <v>56</v>
      </c>
      <c r="F64" t="s">
        <v>35</v>
      </c>
      <c r="G64" t="s">
        <v>59</v>
      </c>
      <c r="H64" t="s">
        <v>37</v>
      </c>
      <c r="I64" t="s">
        <v>59</v>
      </c>
      <c r="J64" t="s">
        <v>57</v>
      </c>
      <c r="K64">
        <v>3</v>
      </c>
      <c r="L64">
        <v>2</v>
      </c>
      <c r="M64" t="s">
        <v>48</v>
      </c>
      <c r="N64" t="s">
        <v>61</v>
      </c>
      <c r="O64" t="s">
        <v>42</v>
      </c>
      <c r="P64" t="s">
        <v>43</v>
      </c>
      <c r="Q64">
        <v>12</v>
      </c>
      <c r="R64">
        <v>8</v>
      </c>
      <c r="S64">
        <v>6</v>
      </c>
      <c r="T64">
        <v>1</v>
      </c>
      <c r="U64">
        <v>2</v>
      </c>
      <c r="V64">
        <v>11</v>
      </c>
      <c r="W64">
        <v>60</v>
      </c>
      <c r="X64">
        <v>1474</v>
      </c>
      <c r="Y64">
        <v>23914</v>
      </c>
      <c r="Z64">
        <v>4707</v>
      </c>
      <c r="AA64">
        <v>2</v>
      </c>
      <c r="AB64">
        <v>33269</v>
      </c>
      <c r="AC64" s="10">
        <v>42178</v>
      </c>
      <c r="AD64" s="10">
        <v>43541</v>
      </c>
      <c r="AE64" t="s">
        <v>54</v>
      </c>
      <c r="AF64" t="s">
        <v>45</v>
      </c>
    </row>
    <row r="65" spans="1:32" x14ac:dyDescent="0.25">
      <c r="A65">
        <v>1691</v>
      </c>
      <c r="B65">
        <v>48</v>
      </c>
      <c r="C65" t="s">
        <v>32</v>
      </c>
      <c r="D65" t="s">
        <v>46</v>
      </c>
      <c r="E65" t="s">
        <v>56</v>
      </c>
      <c r="F65" t="s">
        <v>67</v>
      </c>
      <c r="G65" t="s">
        <v>59</v>
      </c>
      <c r="H65" t="s">
        <v>47</v>
      </c>
      <c r="I65" t="s">
        <v>50</v>
      </c>
      <c r="J65" t="s">
        <v>66</v>
      </c>
      <c r="K65">
        <v>3</v>
      </c>
      <c r="L65">
        <v>3</v>
      </c>
      <c r="M65" t="s">
        <v>48</v>
      </c>
      <c r="N65" t="s">
        <v>61</v>
      </c>
      <c r="O65" t="s">
        <v>53</v>
      </c>
      <c r="P65" t="s">
        <v>32</v>
      </c>
      <c r="Q65">
        <v>11</v>
      </c>
      <c r="R65">
        <v>2</v>
      </c>
      <c r="S65">
        <v>19</v>
      </c>
      <c r="T65">
        <v>7</v>
      </c>
      <c r="U65">
        <v>7</v>
      </c>
      <c r="V65">
        <v>7</v>
      </c>
      <c r="W65">
        <v>95</v>
      </c>
      <c r="X65">
        <v>708</v>
      </c>
      <c r="Y65">
        <v>11740</v>
      </c>
      <c r="Z65">
        <v>2655</v>
      </c>
      <c r="AA65">
        <v>3</v>
      </c>
      <c r="AB65">
        <v>27289</v>
      </c>
      <c r="AC65" s="10">
        <v>40562</v>
      </c>
      <c r="AD65" s="10">
        <v>43545</v>
      </c>
      <c r="AE65" t="s">
        <v>44</v>
      </c>
      <c r="AF65" t="s">
        <v>45</v>
      </c>
    </row>
    <row r="66" spans="1:32" x14ac:dyDescent="0.25">
      <c r="A66">
        <v>1100</v>
      </c>
      <c r="B66">
        <v>35</v>
      </c>
      <c r="C66" t="s">
        <v>32</v>
      </c>
      <c r="D66" t="s">
        <v>33</v>
      </c>
      <c r="E66" t="s">
        <v>56</v>
      </c>
      <c r="F66" t="s">
        <v>49</v>
      </c>
      <c r="G66" t="s">
        <v>59</v>
      </c>
      <c r="H66" t="s">
        <v>37</v>
      </c>
      <c r="I66" t="s">
        <v>50</v>
      </c>
      <c r="J66" t="s">
        <v>57</v>
      </c>
      <c r="K66">
        <v>1</v>
      </c>
      <c r="L66">
        <v>4</v>
      </c>
      <c r="M66" t="s">
        <v>48</v>
      </c>
      <c r="N66" t="s">
        <v>41</v>
      </c>
      <c r="O66" t="s">
        <v>42</v>
      </c>
      <c r="P66" t="s">
        <v>32</v>
      </c>
      <c r="Q66">
        <v>22</v>
      </c>
      <c r="R66">
        <v>0</v>
      </c>
      <c r="S66">
        <v>9</v>
      </c>
      <c r="T66">
        <v>4</v>
      </c>
      <c r="U66">
        <v>7</v>
      </c>
      <c r="V66">
        <v>4</v>
      </c>
      <c r="W66">
        <v>86</v>
      </c>
      <c r="X66">
        <v>1204</v>
      </c>
      <c r="Y66">
        <v>10333</v>
      </c>
      <c r="Z66">
        <v>9582</v>
      </c>
      <c r="AA66">
        <v>2</v>
      </c>
      <c r="AB66">
        <v>32076</v>
      </c>
      <c r="AC66" s="10">
        <v>40658</v>
      </c>
      <c r="AD66" s="10">
        <v>43549</v>
      </c>
      <c r="AE66" t="s">
        <v>44</v>
      </c>
      <c r="AF66" t="s">
        <v>45</v>
      </c>
    </row>
    <row r="67" spans="1:32" x14ac:dyDescent="0.25">
      <c r="A67">
        <v>1797</v>
      </c>
      <c r="B67">
        <v>35</v>
      </c>
      <c r="C67" t="s">
        <v>32</v>
      </c>
      <c r="D67" t="s">
        <v>33</v>
      </c>
      <c r="E67" t="s">
        <v>56</v>
      </c>
      <c r="F67" t="s">
        <v>49</v>
      </c>
      <c r="G67" t="s">
        <v>50</v>
      </c>
      <c r="H67" t="s">
        <v>37</v>
      </c>
      <c r="I67" t="s">
        <v>50</v>
      </c>
      <c r="J67" t="s">
        <v>57</v>
      </c>
      <c r="K67">
        <v>4</v>
      </c>
      <c r="L67">
        <v>3</v>
      </c>
      <c r="M67" t="s">
        <v>48</v>
      </c>
      <c r="N67" t="s">
        <v>41</v>
      </c>
      <c r="O67" t="s">
        <v>42</v>
      </c>
      <c r="P67" t="s">
        <v>32</v>
      </c>
      <c r="Q67">
        <v>18</v>
      </c>
      <c r="R67">
        <v>1</v>
      </c>
      <c r="S67">
        <v>10</v>
      </c>
      <c r="T67">
        <v>7</v>
      </c>
      <c r="U67">
        <v>7</v>
      </c>
      <c r="V67">
        <v>27</v>
      </c>
      <c r="W67">
        <v>84</v>
      </c>
      <c r="X67">
        <v>303</v>
      </c>
      <c r="Y67">
        <v>13492</v>
      </c>
      <c r="Z67">
        <v>5813</v>
      </c>
      <c r="AA67">
        <v>2</v>
      </c>
      <c r="AB67">
        <v>32242</v>
      </c>
      <c r="AC67" s="10">
        <v>40254</v>
      </c>
      <c r="AD67" s="10">
        <v>43556</v>
      </c>
      <c r="AE67" t="s">
        <v>44</v>
      </c>
      <c r="AF67" t="s">
        <v>45</v>
      </c>
    </row>
    <row r="68" spans="1:32" x14ac:dyDescent="0.25">
      <c r="A68">
        <v>582</v>
      </c>
      <c r="B68">
        <v>33</v>
      </c>
      <c r="C68" t="s">
        <v>32</v>
      </c>
      <c r="D68" t="s">
        <v>33</v>
      </c>
      <c r="E68" t="s">
        <v>34</v>
      </c>
      <c r="F68" t="s">
        <v>64</v>
      </c>
      <c r="G68" t="s">
        <v>38</v>
      </c>
      <c r="H68" t="s">
        <v>37</v>
      </c>
      <c r="I68" t="s">
        <v>50</v>
      </c>
      <c r="J68" t="s">
        <v>69</v>
      </c>
      <c r="K68">
        <v>3</v>
      </c>
      <c r="L68">
        <v>3</v>
      </c>
      <c r="M68" t="s">
        <v>58</v>
      </c>
      <c r="N68" t="s">
        <v>61</v>
      </c>
      <c r="O68" t="s">
        <v>42</v>
      </c>
      <c r="P68" t="s">
        <v>32</v>
      </c>
      <c r="Q68">
        <v>12</v>
      </c>
      <c r="R68">
        <v>7</v>
      </c>
      <c r="S68">
        <v>15</v>
      </c>
      <c r="T68">
        <v>3</v>
      </c>
      <c r="U68">
        <v>4</v>
      </c>
      <c r="V68">
        <v>15</v>
      </c>
      <c r="W68">
        <v>56</v>
      </c>
      <c r="X68">
        <v>1277</v>
      </c>
      <c r="Y68">
        <v>24619</v>
      </c>
      <c r="Z68">
        <v>13610</v>
      </c>
      <c r="AA68">
        <v>2</v>
      </c>
      <c r="AB68">
        <v>32898</v>
      </c>
      <c r="AC68" s="10">
        <v>41367</v>
      </c>
      <c r="AD68" s="10">
        <v>43564</v>
      </c>
      <c r="AE68" t="s">
        <v>44</v>
      </c>
      <c r="AF68" t="s">
        <v>45</v>
      </c>
    </row>
    <row r="69" spans="1:32" x14ac:dyDescent="0.25">
      <c r="A69">
        <v>1967</v>
      </c>
      <c r="B69">
        <v>31</v>
      </c>
      <c r="C69" t="s">
        <v>32</v>
      </c>
      <c r="D69" t="s">
        <v>46</v>
      </c>
      <c r="E69" t="s">
        <v>56</v>
      </c>
      <c r="F69" t="s">
        <v>35</v>
      </c>
      <c r="G69" t="s">
        <v>36</v>
      </c>
      <c r="H69" t="s">
        <v>37</v>
      </c>
      <c r="I69" t="s">
        <v>50</v>
      </c>
      <c r="J69" t="s">
        <v>57</v>
      </c>
      <c r="K69">
        <v>4</v>
      </c>
      <c r="L69">
        <v>3</v>
      </c>
      <c r="M69" t="s">
        <v>48</v>
      </c>
      <c r="N69" t="s">
        <v>61</v>
      </c>
      <c r="O69" t="s">
        <v>42</v>
      </c>
      <c r="P69" t="s">
        <v>32</v>
      </c>
      <c r="Q69">
        <v>11</v>
      </c>
      <c r="R69">
        <v>1</v>
      </c>
      <c r="S69">
        <v>10</v>
      </c>
      <c r="T69">
        <v>0</v>
      </c>
      <c r="U69">
        <v>8</v>
      </c>
      <c r="V69">
        <v>26</v>
      </c>
      <c r="W69">
        <v>63</v>
      </c>
      <c r="X69">
        <v>754</v>
      </c>
      <c r="Y69">
        <v>21075</v>
      </c>
      <c r="Z69">
        <v>5617</v>
      </c>
      <c r="AA69">
        <v>4</v>
      </c>
      <c r="AB69">
        <v>33772</v>
      </c>
      <c r="AC69" s="10">
        <v>40010</v>
      </c>
      <c r="AD69" s="10">
        <v>43569</v>
      </c>
      <c r="AE69" t="s">
        <v>44</v>
      </c>
      <c r="AF69" t="s">
        <v>55</v>
      </c>
    </row>
    <row r="70" spans="1:32" x14ac:dyDescent="0.25">
      <c r="A70">
        <v>118</v>
      </c>
      <c r="B70">
        <v>46</v>
      </c>
      <c r="C70" t="s">
        <v>32</v>
      </c>
      <c r="D70" t="s">
        <v>33</v>
      </c>
      <c r="E70" t="s">
        <v>56</v>
      </c>
      <c r="F70" t="s">
        <v>67</v>
      </c>
      <c r="G70" t="s">
        <v>50</v>
      </c>
      <c r="H70" t="s">
        <v>37</v>
      </c>
      <c r="I70" t="s">
        <v>38</v>
      </c>
      <c r="J70" t="s">
        <v>57</v>
      </c>
      <c r="K70">
        <v>4</v>
      </c>
      <c r="L70">
        <v>3</v>
      </c>
      <c r="M70" t="s">
        <v>48</v>
      </c>
      <c r="N70" t="s">
        <v>41</v>
      </c>
      <c r="O70" t="s">
        <v>42</v>
      </c>
      <c r="P70" t="s">
        <v>43</v>
      </c>
      <c r="Q70">
        <v>16</v>
      </c>
      <c r="R70">
        <v>1</v>
      </c>
      <c r="S70">
        <v>9</v>
      </c>
      <c r="T70">
        <v>4</v>
      </c>
      <c r="U70">
        <v>7</v>
      </c>
      <c r="V70">
        <v>9</v>
      </c>
      <c r="W70">
        <v>64</v>
      </c>
      <c r="X70">
        <v>669</v>
      </c>
      <c r="Y70">
        <v>13596</v>
      </c>
      <c r="Z70">
        <v>9619</v>
      </c>
      <c r="AA70">
        <v>3</v>
      </c>
      <c r="AB70">
        <v>28242</v>
      </c>
      <c r="AC70" s="10">
        <v>40508</v>
      </c>
      <c r="AD70" s="10">
        <v>43570</v>
      </c>
      <c r="AE70" t="s">
        <v>44</v>
      </c>
      <c r="AF70" t="s">
        <v>55</v>
      </c>
    </row>
    <row r="71" spans="1:32" x14ac:dyDescent="0.25">
      <c r="A71">
        <v>1082</v>
      </c>
      <c r="B71">
        <v>28</v>
      </c>
      <c r="C71" t="s">
        <v>32</v>
      </c>
      <c r="D71" t="s">
        <v>63</v>
      </c>
      <c r="E71" t="s">
        <v>34</v>
      </c>
      <c r="F71" t="s">
        <v>67</v>
      </c>
      <c r="G71" t="s">
        <v>38</v>
      </c>
      <c r="H71" t="s">
        <v>37</v>
      </c>
      <c r="I71" t="s">
        <v>38</v>
      </c>
      <c r="J71" t="s">
        <v>62</v>
      </c>
      <c r="K71">
        <v>1</v>
      </c>
      <c r="L71">
        <v>1</v>
      </c>
      <c r="M71" t="s">
        <v>60</v>
      </c>
      <c r="N71" t="s">
        <v>41</v>
      </c>
      <c r="O71" t="s">
        <v>42</v>
      </c>
      <c r="P71" t="s">
        <v>43</v>
      </c>
      <c r="Q71">
        <v>12</v>
      </c>
      <c r="R71">
        <v>1</v>
      </c>
      <c r="S71">
        <v>10</v>
      </c>
      <c r="T71">
        <v>1</v>
      </c>
      <c r="U71">
        <v>9</v>
      </c>
      <c r="V71">
        <v>24</v>
      </c>
      <c r="W71">
        <v>72</v>
      </c>
      <c r="X71">
        <v>1366</v>
      </c>
      <c r="Y71">
        <v>12355</v>
      </c>
      <c r="Z71">
        <v>8722</v>
      </c>
      <c r="AA71">
        <v>2</v>
      </c>
      <c r="AB71">
        <v>34677</v>
      </c>
      <c r="AC71" s="10">
        <v>40195</v>
      </c>
      <c r="AD71" s="10">
        <v>43571</v>
      </c>
      <c r="AE71" t="s">
        <v>54</v>
      </c>
      <c r="AF71" t="s">
        <v>45</v>
      </c>
    </row>
    <row r="72" spans="1:32" x14ac:dyDescent="0.25">
      <c r="A72">
        <v>1010</v>
      </c>
      <c r="B72">
        <v>35</v>
      </c>
      <c r="C72" t="s">
        <v>32</v>
      </c>
      <c r="D72" t="s">
        <v>33</v>
      </c>
      <c r="E72" t="s">
        <v>34</v>
      </c>
      <c r="F72" t="s">
        <v>35</v>
      </c>
      <c r="G72" t="s">
        <v>50</v>
      </c>
      <c r="H72" t="s">
        <v>37</v>
      </c>
      <c r="I72" t="s">
        <v>38</v>
      </c>
      <c r="J72" t="s">
        <v>51</v>
      </c>
      <c r="K72">
        <v>2</v>
      </c>
      <c r="L72">
        <v>4</v>
      </c>
      <c r="M72" t="s">
        <v>40</v>
      </c>
      <c r="N72" t="s">
        <v>52</v>
      </c>
      <c r="O72" t="s">
        <v>36</v>
      </c>
      <c r="P72" t="s">
        <v>32</v>
      </c>
      <c r="Q72">
        <v>24</v>
      </c>
      <c r="R72">
        <v>1</v>
      </c>
      <c r="S72">
        <v>5</v>
      </c>
      <c r="T72">
        <v>0</v>
      </c>
      <c r="U72">
        <v>2</v>
      </c>
      <c r="V72">
        <v>14</v>
      </c>
      <c r="W72">
        <v>39</v>
      </c>
      <c r="X72">
        <v>622</v>
      </c>
      <c r="Y72">
        <v>10074</v>
      </c>
      <c r="Z72">
        <v>3743</v>
      </c>
      <c r="AA72">
        <v>2</v>
      </c>
      <c r="AB72">
        <v>32276</v>
      </c>
      <c r="AC72" s="10">
        <v>42385</v>
      </c>
      <c r="AD72" s="10">
        <v>43574</v>
      </c>
      <c r="AE72" t="s">
        <v>44</v>
      </c>
      <c r="AF72" t="s">
        <v>55</v>
      </c>
    </row>
    <row r="73" spans="1:32" x14ac:dyDescent="0.25">
      <c r="A73">
        <v>1380</v>
      </c>
      <c r="B73">
        <v>35</v>
      </c>
      <c r="C73" t="s">
        <v>32</v>
      </c>
      <c r="D73" t="s">
        <v>46</v>
      </c>
      <c r="E73" t="s">
        <v>56</v>
      </c>
      <c r="F73" t="s">
        <v>35</v>
      </c>
      <c r="G73" t="s">
        <v>59</v>
      </c>
      <c r="H73" t="s">
        <v>47</v>
      </c>
      <c r="I73" t="s">
        <v>50</v>
      </c>
      <c r="J73" t="s">
        <v>57</v>
      </c>
      <c r="K73">
        <v>3</v>
      </c>
      <c r="L73">
        <v>3</v>
      </c>
      <c r="M73" t="s">
        <v>60</v>
      </c>
      <c r="N73" t="s">
        <v>61</v>
      </c>
      <c r="O73" t="s">
        <v>36</v>
      </c>
      <c r="P73" t="s">
        <v>32</v>
      </c>
      <c r="Q73">
        <v>18</v>
      </c>
      <c r="R73">
        <v>0</v>
      </c>
      <c r="S73">
        <v>5</v>
      </c>
      <c r="T73">
        <v>3</v>
      </c>
      <c r="U73">
        <v>2</v>
      </c>
      <c r="V73">
        <v>18</v>
      </c>
      <c r="W73">
        <v>67</v>
      </c>
      <c r="X73">
        <v>662</v>
      </c>
      <c r="Y73">
        <v>23288</v>
      </c>
      <c r="Z73">
        <v>4614</v>
      </c>
      <c r="AA73">
        <v>0</v>
      </c>
      <c r="AB73">
        <v>32232</v>
      </c>
      <c r="AC73" s="10">
        <v>42312</v>
      </c>
      <c r="AD73" s="10">
        <v>43582</v>
      </c>
      <c r="AE73" t="s">
        <v>44</v>
      </c>
      <c r="AF73" t="s">
        <v>45</v>
      </c>
    </row>
    <row r="74" spans="1:32" x14ac:dyDescent="0.25">
      <c r="A74">
        <v>970</v>
      </c>
      <c r="B74">
        <v>37</v>
      </c>
      <c r="C74" t="s">
        <v>32</v>
      </c>
      <c r="D74" t="s">
        <v>33</v>
      </c>
      <c r="E74" t="s">
        <v>56</v>
      </c>
      <c r="F74" t="s">
        <v>35</v>
      </c>
      <c r="G74" t="s">
        <v>36</v>
      </c>
      <c r="H74" t="s">
        <v>37</v>
      </c>
      <c r="I74" t="s">
        <v>38</v>
      </c>
      <c r="J74" t="s">
        <v>57</v>
      </c>
      <c r="K74">
        <v>3</v>
      </c>
      <c r="L74">
        <v>3</v>
      </c>
      <c r="M74" t="s">
        <v>40</v>
      </c>
      <c r="N74" t="s">
        <v>61</v>
      </c>
      <c r="O74" t="s">
        <v>42</v>
      </c>
      <c r="P74" t="s">
        <v>43</v>
      </c>
      <c r="Q74">
        <v>11</v>
      </c>
      <c r="R74">
        <v>5</v>
      </c>
      <c r="S74">
        <v>17</v>
      </c>
      <c r="T74">
        <v>11</v>
      </c>
      <c r="U74">
        <v>7</v>
      </c>
      <c r="V74">
        <v>1</v>
      </c>
      <c r="W74">
        <v>46</v>
      </c>
      <c r="X74">
        <v>625</v>
      </c>
      <c r="Y74">
        <v>14922</v>
      </c>
      <c r="Z74">
        <v>10609</v>
      </c>
      <c r="AA74">
        <v>2</v>
      </c>
      <c r="AB74">
        <v>31592</v>
      </c>
      <c r="AC74" s="10">
        <v>38745</v>
      </c>
      <c r="AD74" s="10">
        <v>43590</v>
      </c>
      <c r="AE74" t="s">
        <v>54</v>
      </c>
      <c r="AF74" t="s">
        <v>45</v>
      </c>
    </row>
    <row r="75" spans="1:32" x14ac:dyDescent="0.25">
      <c r="A75">
        <v>1459</v>
      </c>
      <c r="B75">
        <v>31</v>
      </c>
      <c r="C75" t="s">
        <v>32</v>
      </c>
      <c r="D75" t="s">
        <v>46</v>
      </c>
      <c r="E75" t="s">
        <v>34</v>
      </c>
      <c r="F75" t="s">
        <v>70</v>
      </c>
      <c r="G75" t="s">
        <v>50</v>
      </c>
      <c r="H75" t="s">
        <v>47</v>
      </c>
      <c r="I75" t="s">
        <v>59</v>
      </c>
      <c r="J75" t="s">
        <v>65</v>
      </c>
      <c r="K75">
        <v>2</v>
      </c>
      <c r="L75">
        <v>3</v>
      </c>
      <c r="M75" t="s">
        <v>48</v>
      </c>
      <c r="N75" t="s">
        <v>41</v>
      </c>
      <c r="O75" t="s">
        <v>42</v>
      </c>
      <c r="P75" t="s">
        <v>43</v>
      </c>
      <c r="Q75">
        <v>11</v>
      </c>
      <c r="R75">
        <v>1</v>
      </c>
      <c r="S75">
        <v>10</v>
      </c>
      <c r="T75">
        <v>4</v>
      </c>
      <c r="U75">
        <v>7</v>
      </c>
      <c r="V75">
        <v>1</v>
      </c>
      <c r="W75">
        <v>100</v>
      </c>
      <c r="X75">
        <v>1445</v>
      </c>
      <c r="Y75">
        <v>8931</v>
      </c>
      <c r="Z75">
        <v>7446</v>
      </c>
      <c r="AA75">
        <v>2</v>
      </c>
      <c r="AB75">
        <v>33773</v>
      </c>
      <c r="AC75" s="10">
        <v>40323</v>
      </c>
      <c r="AD75" s="10">
        <v>43611</v>
      </c>
      <c r="AE75" t="s">
        <v>44</v>
      </c>
      <c r="AF75" t="s">
        <v>45</v>
      </c>
    </row>
    <row r="76" spans="1:32" x14ac:dyDescent="0.25">
      <c r="A76">
        <v>283</v>
      </c>
      <c r="B76">
        <v>29</v>
      </c>
      <c r="C76" t="s">
        <v>32</v>
      </c>
      <c r="D76" t="s">
        <v>33</v>
      </c>
      <c r="E76" t="s">
        <v>56</v>
      </c>
      <c r="F76" t="s">
        <v>49</v>
      </c>
      <c r="G76" t="s">
        <v>38</v>
      </c>
      <c r="H76" t="s">
        <v>47</v>
      </c>
      <c r="I76" t="s">
        <v>50</v>
      </c>
      <c r="J76" t="s">
        <v>57</v>
      </c>
      <c r="K76">
        <v>4</v>
      </c>
      <c r="L76">
        <v>4</v>
      </c>
      <c r="M76" t="s">
        <v>60</v>
      </c>
      <c r="N76" t="s">
        <v>61</v>
      </c>
      <c r="O76" t="s">
        <v>50</v>
      </c>
      <c r="P76" t="s">
        <v>43</v>
      </c>
      <c r="Q76">
        <v>22</v>
      </c>
      <c r="R76">
        <v>1</v>
      </c>
      <c r="S76">
        <v>10</v>
      </c>
      <c r="T76">
        <v>1</v>
      </c>
      <c r="U76">
        <v>9</v>
      </c>
      <c r="V76">
        <v>27</v>
      </c>
      <c r="W76">
        <v>35</v>
      </c>
      <c r="X76">
        <v>121</v>
      </c>
      <c r="Y76">
        <v>24525</v>
      </c>
      <c r="Z76">
        <v>7639</v>
      </c>
      <c r="AA76">
        <v>3</v>
      </c>
      <c r="AB76">
        <v>34531</v>
      </c>
      <c r="AC76" s="10">
        <v>40252</v>
      </c>
      <c r="AD76" s="10">
        <v>43629</v>
      </c>
      <c r="AE76" t="s">
        <v>44</v>
      </c>
      <c r="AF76" t="s">
        <v>55</v>
      </c>
    </row>
    <row r="77" spans="1:32" x14ac:dyDescent="0.25">
      <c r="A77">
        <v>584</v>
      </c>
      <c r="B77">
        <v>33</v>
      </c>
      <c r="C77" t="s">
        <v>32</v>
      </c>
      <c r="D77" t="s">
        <v>33</v>
      </c>
      <c r="E77" t="s">
        <v>34</v>
      </c>
      <c r="F77" t="s">
        <v>64</v>
      </c>
      <c r="G77" t="s">
        <v>36</v>
      </c>
      <c r="H77" t="s">
        <v>37</v>
      </c>
      <c r="I77" t="s">
        <v>36</v>
      </c>
      <c r="J77" t="s">
        <v>51</v>
      </c>
      <c r="K77">
        <v>4</v>
      </c>
      <c r="L77">
        <v>3</v>
      </c>
      <c r="M77" t="s">
        <v>48</v>
      </c>
      <c r="N77" t="s">
        <v>52</v>
      </c>
      <c r="O77" t="s">
        <v>50</v>
      </c>
      <c r="P77" t="s">
        <v>43</v>
      </c>
      <c r="Q77">
        <v>13</v>
      </c>
      <c r="R77">
        <v>7</v>
      </c>
      <c r="S77">
        <v>8</v>
      </c>
      <c r="T77">
        <v>1</v>
      </c>
      <c r="U77">
        <v>3</v>
      </c>
      <c r="V77">
        <v>10</v>
      </c>
      <c r="W77">
        <v>38</v>
      </c>
      <c r="X77">
        <v>587</v>
      </c>
      <c r="Y77">
        <v>6705</v>
      </c>
      <c r="Z77">
        <v>3408</v>
      </c>
      <c r="AA77">
        <v>2</v>
      </c>
      <c r="AB77">
        <v>32796</v>
      </c>
      <c r="AC77" s="10">
        <v>42242</v>
      </c>
      <c r="AD77" s="10">
        <v>43649</v>
      </c>
      <c r="AE77" t="s">
        <v>44</v>
      </c>
      <c r="AF77" t="s">
        <v>55</v>
      </c>
    </row>
    <row r="78" spans="1:32" x14ac:dyDescent="0.25">
      <c r="A78">
        <v>179</v>
      </c>
      <c r="B78">
        <v>51</v>
      </c>
      <c r="C78" t="s">
        <v>32</v>
      </c>
      <c r="D78" t="s">
        <v>46</v>
      </c>
      <c r="E78" t="s">
        <v>34</v>
      </c>
      <c r="F78" t="s">
        <v>35</v>
      </c>
      <c r="G78" t="s">
        <v>36</v>
      </c>
      <c r="H78" t="s">
        <v>37</v>
      </c>
      <c r="I78" t="s">
        <v>36</v>
      </c>
      <c r="J78" t="s">
        <v>65</v>
      </c>
      <c r="K78">
        <v>4</v>
      </c>
      <c r="L78">
        <v>3</v>
      </c>
      <c r="M78" t="s">
        <v>48</v>
      </c>
      <c r="N78" t="s">
        <v>41</v>
      </c>
      <c r="O78" t="s">
        <v>42</v>
      </c>
      <c r="P78" t="s">
        <v>43</v>
      </c>
      <c r="Q78">
        <v>15</v>
      </c>
      <c r="R78">
        <v>2</v>
      </c>
      <c r="S78">
        <v>18</v>
      </c>
      <c r="T78">
        <v>0</v>
      </c>
      <c r="U78">
        <v>3</v>
      </c>
      <c r="V78">
        <v>8</v>
      </c>
      <c r="W78">
        <v>53</v>
      </c>
      <c r="X78">
        <v>1150</v>
      </c>
      <c r="Y78">
        <v>25150</v>
      </c>
      <c r="Z78">
        <v>10650</v>
      </c>
      <c r="AA78">
        <v>2</v>
      </c>
      <c r="AB78">
        <v>26202</v>
      </c>
      <c r="AC78" s="10">
        <v>42362</v>
      </c>
      <c r="AD78" s="10">
        <v>43649</v>
      </c>
      <c r="AE78" t="s">
        <v>44</v>
      </c>
      <c r="AF78" t="s">
        <v>55</v>
      </c>
    </row>
    <row r="79" spans="1:32" x14ac:dyDescent="0.25">
      <c r="A79">
        <v>608</v>
      </c>
      <c r="B79">
        <v>26</v>
      </c>
      <c r="C79" t="s">
        <v>32</v>
      </c>
      <c r="D79" t="s">
        <v>46</v>
      </c>
      <c r="E79" t="s">
        <v>68</v>
      </c>
      <c r="F79" t="s">
        <v>35</v>
      </c>
      <c r="G79" t="s">
        <v>38</v>
      </c>
      <c r="H79" t="s">
        <v>47</v>
      </c>
      <c r="I79" t="s">
        <v>50</v>
      </c>
      <c r="J79" t="s">
        <v>68</v>
      </c>
      <c r="K79">
        <v>3</v>
      </c>
      <c r="L79">
        <v>3</v>
      </c>
      <c r="M79" t="s">
        <v>60</v>
      </c>
      <c r="N79" t="s">
        <v>52</v>
      </c>
      <c r="O79" t="s">
        <v>36</v>
      </c>
      <c r="P79" t="s">
        <v>32</v>
      </c>
      <c r="Q79">
        <v>11</v>
      </c>
      <c r="R79">
        <v>0</v>
      </c>
      <c r="S79">
        <v>8</v>
      </c>
      <c r="T79">
        <v>1</v>
      </c>
      <c r="U79">
        <v>0</v>
      </c>
      <c r="V79">
        <v>17</v>
      </c>
      <c r="W79">
        <v>58</v>
      </c>
      <c r="X79">
        <v>426</v>
      </c>
      <c r="Y79">
        <v>22808</v>
      </c>
      <c r="Z79">
        <v>2741</v>
      </c>
      <c r="AA79">
        <v>2</v>
      </c>
      <c r="AB79">
        <v>35488</v>
      </c>
      <c r="AC79" s="10">
        <v>41298</v>
      </c>
      <c r="AD79" s="10">
        <v>43653</v>
      </c>
      <c r="AE79" t="s">
        <v>54</v>
      </c>
      <c r="AF79" t="s">
        <v>45</v>
      </c>
    </row>
    <row r="80" spans="1:32" x14ac:dyDescent="0.25">
      <c r="A80">
        <v>1960</v>
      </c>
      <c r="B80">
        <v>28</v>
      </c>
      <c r="C80" t="s">
        <v>32</v>
      </c>
      <c r="D80" t="s">
        <v>33</v>
      </c>
      <c r="E80" t="s">
        <v>34</v>
      </c>
      <c r="F80" t="s">
        <v>49</v>
      </c>
      <c r="G80" t="s">
        <v>50</v>
      </c>
      <c r="H80" t="s">
        <v>37</v>
      </c>
      <c r="I80" t="s">
        <v>38</v>
      </c>
      <c r="J80" t="s">
        <v>51</v>
      </c>
      <c r="K80">
        <v>4</v>
      </c>
      <c r="L80">
        <v>2</v>
      </c>
      <c r="M80" t="s">
        <v>60</v>
      </c>
      <c r="N80" t="s">
        <v>52</v>
      </c>
      <c r="O80" t="s">
        <v>36</v>
      </c>
      <c r="P80" t="s">
        <v>43</v>
      </c>
      <c r="Q80">
        <v>12</v>
      </c>
      <c r="R80">
        <v>5</v>
      </c>
      <c r="S80">
        <v>6</v>
      </c>
      <c r="T80">
        <v>0</v>
      </c>
      <c r="U80">
        <v>3</v>
      </c>
      <c r="V80">
        <v>17</v>
      </c>
      <c r="W80">
        <v>32</v>
      </c>
      <c r="X80">
        <v>1404</v>
      </c>
      <c r="Y80">
        <v>18779</v>
      </c>
      <c r="Z80">
        <v>2367</v>
      </c>
      <c r="AA80">
        <v>2</v>
      </c>
      <c r="AB80">
        <v>34764</v>
      </c>
      <c r="AC80" s="10">
        <v>42511</v>
      </c>
      <c r="AD80" s="10">
        <v>43662</v>
      </c>
      <c r="AE80" t="s">
        <v>44</v>
      </c>
      <c r="AF80" t="s">
        <v>55</v>
      </c>
    </row>
    <row r="81" spans="1:32" x14ac:dyDescent="0.25">
      <c r="A81">
        <v>1639</v>
      </c>
      <c r="B81">
        <v>35</v>
      </c>
      <c r="C81" t="s">
        <v>32</v>
      </c>
      <c r="D81" t="s">
        <v>33</v>
      </c>
      <c r="E81" t="s">
        <v>56</v>
      </c>
      <c r="F81" t="s">
        <v>49</v>
      </c>
      <c r="G81" t="s">
        <v>59</v>
      </c>
      <c r="H81" t="s">
        <v>37</v>
      </c>
      <c r="I81" t="s">
        <v>38</v>
      </c>
      <c r="J81" t="s">
        <v>57</v>
      </c>
      <c r="K81">
        <v>1</v>
      </c>
      <c r="L81">
        <v>2</v>
      </c>
      <c r="M81" t="s">
        <v>48</v>
      </c>
      <c r="N81" t="s">
        <v>61</v>
      </c>
      <c r="O81" t="s">
        <v>42</v>
      </c>
      <c r="P81" t="s">
        <v>43</v>
      </c>
      <c r="Q81">
        <v>17</v>
      </c>
      <c r="R81">
        <v>9</v>
      </c>
      <c r="S81">
        <v>15</v>
      </c>
      <c r="T81">
        <v>6</v>
      </c>
      <c r="U81">
        <v>0</v>
      </c>
      <c r="V81">
        <v>10</v>
      </c>
      <c r="W81">
        <v>55</v>
      </c>
      <c r="X81">
        <v>737</v>
      </c>
      <c r="Y81">
        <v>21530</v>
      </c>
      <c r="Z81">
        <v>10306</v>
      </c>
      <c r="AA81">
        <v>3</v>
      </c>
      <c r="AB81">
        <v>32076</v>
      </c>
      <c r="AC81" s="10">
        <v>39025</v>
      </c>
      <c r="AD81" s="10">
        <v>43666</v>
      </c>
      <c r="AE81" t="s">
        <v>54</v>
      </c>
      <c r="AF81" t="s">
        <v>45</v>
      </c>
    </row>
    <row r="82" spans="1:32" x14ac:dyDescent="0.25">
      <c r="A82">
        <v>163</v>
      </c>
      <c r="B82">
        <v>31</v>
      </c>
      <c r="C82" t="s">
        <v>32</v>
      </c>
      <c r="D82" t="s">
        <v>33</v>
      </c>
      <c r="E82" t="s">
        <v>56</v>
      </c>
      <c r="F82" t="s">
        <v>35</v>
      </c>
      <c r="G82" t="s">
        <v>38</v>
      </c>
      <c r="H82" t="s">
        <v>37</v>
      </c>
      <c r="I82" t="s">
        <v>36</v>
      </c>
      <c r="J82" t="s">
        <v>57</v>
      </c>
      <c r="K82">
        <v>3</v>
      </c>
      <c r="L82">
        <v>2</v>
      </c>
      <c r="M82" t="s">
        <v>60</v>
      </c>
      <c r="N82" t="s">
        <v>61</v>
      </c>
      <c r="O82" t="s">
        <v>42</v>
      </c>
      <c r="P82" t="s">
        <v>32</v>
      </c>
      <c r="Q82">
        <v>18</v>
      </c>
      <c r="R82">
        <v>4</v>
      </c>
      <c r="S82">
        <v>12</v>
      </c>
      <c r="T82">
        <v>7</v>
      </c>
      <c r="U82">
        <v>7</v>
      </c>
      <c r="V82">
        <v>6</v>
      </c>
      <c r="W82">
        <v>76</v>
      </c>
      <c r="X82">
        <v>249</v>
      </c>
      <c r="Y82">
        <v>20739</v>
      </c>
      <c r="Z82">
        <v>6172</v>
      </c>
      <c r="AA82">
        <v>3</v>
      </c>
      <c r="AB82">
        <v>33685</v>
      </c>
      <c r="AC82" s="10">
        <v>41232</v>
      </c>
      <c r="AD82" s="10">
        <v>43685</v>
      </c>
      <c r="AE82" t="s">
        <v>44</v>
      </c>
      <c r="AF82" t="s">
        <v>45</v>
      </c>
    </row>
    <row r="83" spans="1:32" x14ac:dyDescent="0.25">
      <c r="A83">
        <v>440</v>
      </c>
      <c r="B83">
        <v>28</v>
      </c>
      <c r="C83" t="s">
        <v>32</v>
      </c>
      <c r="D83" t="s">
        <v>33</v>
      </c>
      <c r="E83" t="s">
        <v>34</v>
      </c>
      <c r="F83" t="s">
        <v>35</v>
      </c>
      <c r="G83" t="s">
        <v>36</v>
      </c>
      <c r="H83" t="s">
        <v>37</v>
      </c>
      <c r="I83" t="s">
        <v>36</v>
      </c>
      <c r="J83" t="s">
        <v>39</v>
      </c>
      <c r="K83">
        <v>4</v>
      </c>
      <c r="L83">
        <v>3</v>
      </c>
      <c r="M83" t="s">
        <v>60</v>
      </c>
      <c r="N83" t="s">
        <v>61</v>
      </c>
      <c r="O83" t="s">
        <v>42</v>
      </c>
      <c r="P83" t="s">
        <v>32</v>
      </c>
      <c r="Q83">
        <v>13</v>
      </c>
      <c r="R83">
        <v>5</v>
      </c>
      <c r="S83">
        <v>5</v>
      </c>
      <c r="T83">
        <v>2</v>
      </c>
      <c r="U83">
        <v>2</v>
      </c>
      <c r="V83">
        <v>2</v>
      </c>
      <c r="W83">
        <v>84</v>
      </c>
      <c r="X83">
        <v>1157</v>
      </c>
      <c r="Y83">
        <v>24737</v>
      </c>
      <c r="Z83">
        <v>3464</v>
      </c>
      <c r="AA83">
        <v>4</v>
      </c>
      <c r="AB83">
        <v>34600</v>
      </c>
      <c r="AC83" s="10">
        <v>42835</v>
      </c>
      <c r="AD83" s="10">
        <v>43693</v>
      </c>
      <c r="AE83" t="s">
        <v>44</v>
      </c>
      <c r="AF83" t="s">
        <v>55</v>
      </c>
    </row>
    <row r="84" spans="1:32" x14ac:dyDescent="0.25">
      <c r="A84">
        <v>650</v>
      </c>
      <c r="B84">
        <v>31</v>
      </c>
      <c r="C84" t="s">
        <v>32</v>
      </c>
      <c r="D84" t="s">
        <v>33</v>
      </c>
      <c r="E84" t="s">
        <v>56</v>
      </c>
      <c r="F84" t="s">
        <v>35</v>
      </c>
      <c r="G84" t="s">
        <v>38</v>
      </c>
      <c r="H84" t="s">
        <v>37</v>
      </c>
      <c r="I84" t="s">
        <v>50</v>
      </c>
      <c r="J84" t="s">
        <v>57</v>
      </c>
      <c r="K84">
        <v>1</v>
      </c>
      <c r="L84">
        <v>3</v>
      </c>
      <c r="M84" t="s">
        <v>40</v>
      </c>
      <c r="N84" t="s">
        <v>52</v>
      </c>
      <c r="O84" t="s">
        <v>42</v>
      </c>
      <c r="P84" t="s">
        <v>43</v>
      </c>
      <c r="Q84">
        <v>17</v>
      </c>
      <c r="R84">
        <v>2</v>
      </c>
      <c r="S84">
        <v>9</v>
      </c>
      <c r="T84">
        <v>1</v>
      </c>
      <c r="U84">
        <v>2</v>
      </c>
      <c r="V84">
        <v>13</v>
      </c>
      <c r="W84">
        <v>46</v>
      </c>
      <c r="X84">
        <v>1365</v>
      </c>
      <c r="Y84">
        <v>11512</v>
      </c>
      <c r="Z84">
        <v>4233</v>
      </c>
      <c r="AA84">
        <v>2</v>
      </c>
      <c r="AB84">
        <v>33560</v>
      </c>
      <c r="AC84" s="10">
        <v>42686</v>
      </c>
      <c r="AD84" s="10">
        <v>43699</v>
      </c>
      <c r="AE84" t="s">
        <v>44</v>
      </c>
      <c r="AF84" t="s">
        <v>55</v>
      </c>
    </row>
    <row r="85" spans="1:32" x14ac:dyDescent="0.25">
      <c r="A85">
        <v>991</v>
      </c>
      <c r="B85">
        <v>31</v>
      </c>
      <c r="C85" t="s">
        <v>32</v>
      </c>
      <c r="D85" t="s">
        <v>63</v>
      </c>
      <c r="E85" t="s">
        <v>34</v>
      </c>
      <c r="F85" t="s">
        <v>67</v>
      </c>
      <c r="G85" t="s">
        <v>50</v>
      </c>
      <c r="H85" t="s">
        <v>37</v>
      </c>
      <c r="I85" t="s">
        <v>38</v>
      </c>
      <c r="J85" t="s">
        <v>39</v>
      </c>
      <c r="K85">
        <v>1</v>
      </c>
      <c r="L85">
        <v>4</v>
      </c>
      <c r="M85" t="s">
        <v>48</v>
      </c>
      <c r="N85" t="s">
        <v>41</v>
      </c>
      <c r="O85" t="s">
        <v>42</v>
      </c>
      <c r="P85" t="s">
        <v>32</v>
      </c>
      <c r="Q85">
        <v>22</v>
      </c>
      <c r="R85">
        <v>0</v>
      </c>
      <c r="S85">
        <v>4</v>
      </c>
      <c r="T85">
        <v>1</v>
      </c>
      <c r="U85">
        <v>2</v>
      </c>
      <c r="V85">
        <v>9</v>
      </c>
      <c r="W85">
        <v>46</v>
      </c>
      <c r="X85">
        <v>335</v>
      </c>
      <c r="Y85">
        <v>10322</v>
      </c>
      <c r="Z85">
        <v>2321</v>
      </c>
      <c r="AA85">
        <v>0</v>
      </c>
      <c r="AB85">
        <v>33808</v>
      </c>
      <c r="AC85" s="10">
        <v>42748</v>
      </c>
      <c r="AD85" s="10">
        <v>43725</v>
      </c>
      <c r="AE85" t="s">
        <v>44</v>
      </c>
      <c r="AF85" t="s">
        <v>45</v>
      </c>
    </row>
    <row r="86" spans="1:32" x14ac:dyDescent="0.25">
      <c r="A86">
        <v>1537</v>
      </c>
      <c r="B86">
        <v>31</v>
      </c>
      <c r="C86" t="s">
        <v>32</v>
      </c>
      <c r="D86" t="s">
        <v>46</v>
      </c>
      <c r="E86" t="s">
        <v>34</v>
      </c>
      <c r="F86" t="s">
        <v>49</v>
      </c>
      <c r="G86" t="s">
        <v>59</v>
      </c>
      <c r="H86" t="s">
        <v>47</v>
      </c>
      <c r="I86" t="s">
        <v>50</v>
      </c>
      <c r="J86" t="s">
        <v>39</v>
      </c>
      <c r="K86">
        <v>3</v>
      </c>
      <c r="L86">
        <v>3</v>
      </c>
      <c r="M86" t="s">
        <v>40</v>
      </c>
      <c r="N86" t="s">
        <v>41</v>
      </c>
      <c r="O86" t="s">
        <v>42</v>
      </c>
      <c r="P86" t="s">
        <v>43</v>
      </c>
      <c r="Q86">
        <v>12</v>
      </c>
      <c r="R86">
        <v>1</v>
      </c>
      <c r="S86">
        <v>7</v>
      </c>
      <c r="T86">
        <v>7</v>
      </c>
      <c r="U86">
        <v>7</v>
      </c>
      <c r="V86">
        <v>3</v>
      </c>
      <c r="W86">
        <v>33</v>
      </c>
      <c r="X86">
        <v>561</v>
      </c>
      <c r="Y86">
        <v>4156</v>
      </c>
      <c r="Z86">
        <v>4084</v>
      </c>
      <c r="AA86">
        <v>2</v>
      </c>
      <c r="AB86">
        <v>33601</v>
      </c>
      <c r="AC86" s="10">
        <v>41228</v>
      </c>
      <c r="AD86" s="10">
        <v>43747</v>
      </c>
      <c r="AE86" t="s">
        <v>54</v>
      </c>
      <c r="AF86" t="s">
        <v>45</v>
      </c>
    </row>
    <row r="87" spans="1:32" x14ac:dyDescent="0.25">
      <c r="A87">
        <v>19</v>
      </c>
      <c r="B87">
        <v>28</v>
      </c>
      <c r="C87" t="s">
        <v>32</v>
      </c>
      <c r="D87" t="s">
        <v>33</v>
      </c>
      <c r="E87" t="s">
        <v>34</v>
      </c>
      <c r="F87" t="s">
        <v>49</v>
      </c>
      <c r="G87" t="s">
        <v>50</v>
      </c>
      <c r="H87" t="s">
        <v>37</v>
      </c>
      <c r="I87" t="s">
        <v>38</v>
      </c>
      <c r="J87" t="s">
        <v>51</v>
      </c>
      <c r="K87">
        <v>3</v>
      </c>
      <c r="L87">
        <v>3</v>
      </c>
      <c r="M87" t="s">
        <v>48</v>
      </c>
      <c r="N87" t="s">
        <v>41</v>
      </c>
      <c r="O87" t="s">
        <v>42</v>
      </c>
      <c r="P87" t="s">
        <v>32</v>
      </c>
      <c r="Q87">
        <v>14</v>
      </c>
      <c r="R87">
        <v>5</v>
      </c>
      <c r="S87">
        <v>6</v>
      </c>
      <c r="T87">
        <v>0</v>
      </c>
      <c r="U87">
        <v>3</v>
      </c>
      <c r="V87">
        <v>24</v>
      </c>
      <c r="W87">
        <v>50</v>
      </c>
      <c r="X87">
        <v>103</v>
      </c>
      <c r="Y87">
        <v>12947</v>
      </c>
      <c r="Z87">
        <v>2028</v>
      </c>
      <c r="AA87">
        <v>4</v>
      </c>
      <c r="AB87">
        <v>34614</v>
      </c>
      <c r="AC87" s="10">
        <v>42419</v>
      </c>
      <c r="AD87" s="10">
        <v>43762</v>
      </c>
      <c r="AE87" t="s">
        <v>44</v>
      </c>
      <c r="AF87" t="s">
        <v>45</v>
      </c>
    </row>
    <row r="88" spans="1:32" x14ac:dyDescent="0.25">
      <c r="A88">
        <v>2055</v>
      </c>
      <c r="B88">
        <v>50</v>
      </c>
      <c r="C88" t="s">
        <v>32</v>
      </c>
      <c r="D88" t="s">
        <v>33</v>
      </c>
      <c r="E88" t="s">
        <v>56</v>
      </c>
      <c r="F88" t="s">
        <v>49</v>
      </c>
      <c r="G88" t="s">
        <v>59</v>
      </c>
      <c r="H88" t="s">
        <v>37</v>
      </c>
      <c r="I88" t="s">
        <v>38</v>
      </c>
      <c r="J88" t="s">
        <v>57</v>
      </c>
      <c r="K88">
        <v>1</v>
      </c>
      <c r="L88">
        <v>1</v>
      </c>
      <c r="M88" t="s">
        <v>48</v>
      </c>
      <c r="N88" t="s">
        <v>52</v>
      </c>
      <c r="O88" t="s">
        <v>36</v>
      </c>
      <c r="P88" t="s">
        <v>32</v>
      </c>
      <c r="Q88">
        <v>13</v>
      </c>
      <c r="R88">
        <v>4</v>
      </c>
      <c r="S88">
        <v>20</v>
      </c>
      <c r="T88">
        <v>2</v>
      </c>
      <c r="U88">
        <v>0</v>
      </c>
      <c r="V88">
        <v>28</v>
      </c>
      <c r="W88">
        <v>39</v>
      </c>
      <c r="X88">
        <v>410</v>
      </c>
      <c r="Y88">
        <v>16586</v>
      </c>
      <c r="Z88">
        <v>10854</v>
      </c>
      <c r="AA88">
        <v>3</v>
      </c>
      <c r="AB88">
        <v>26697</v>
      </c>
      <c r="AC88" s="10">
        <v>42966</v>
      </c>
      <c r="AD88" s="10">
        <v>43776</v>
      </c>
      <c r="AE88" t="s">
        <v>54</v>
      </c>
      <c r="AF88" t="s">
        <v>55</v>
      </c>
    </row>
    <row r="89" spans="1:32" x14ac:dyDescent="0.25">
      <c r="A89">
        <v>1053</v>
      </c>
      <c r="B89">
        <v>26</v>
      </c>
      <c r="C89" t="s">
        <v>32</v>
      </c>
      <c r="D89" t="s">
        <v>46</v>
      </c>
      <c r="E89" t="s">
        <v>34</v>
      </c>
      <c r="F89" t="s">
        <v>49</v>
      </c>
      <c r="G89" t="s">
        <v>36</v>
      </c>
      <c r="H89" t="s">
        <v>37</v>
      </c>
      <c r="I89" t="s">
        <v>50</v>
      </c>
      <c r="J89" t="s">
        <v>39</v>
      </c>
      <c r="K89">
        <v>1</v>
      </c>
      <c r="L89">
        <v>3</v>
      </c>
      <c r="M89" t="s">
        <v>48</v>
      </c>
      <c r="N89" t="s">
        <v>61</v>
      </c>
      <c r="O89" t="s">
        <v>36</v>
      </c>
      <c r="P89" t="s">
        <v>32</v>
      </c>
      <c r="Q89">
        <v>14</v>
      </c>
      <c r="R89">
        <v>6</v>
      </c>
      <c r="S89">
        <v>6</v>
      </c>
      <c r="T89">
        <v>1</v>
      </c>
      <c r="U89">
        <v>2</v>
      </c>
      <c r="V89">
        <v>2</v>
      </c>
      <c r="W89">
        <v>57</v>
      </c>
      <c r="X89">
        <v>342</v>
      </c>
      <c r="Y89">
        <v>15346</v>
      </c>
      <c r="Z89">
        <v>2042</v>
      </c>
      <c r="AA89">
        <v>2</v>
      </c>
      <c r="AB89">
        <v>35433</v>
      </c>
      <c r="AC89" s="10">
        <v>42898</v>
      </c>
      <c r="AD89" s="10">
        <v>43779</v>
      </c>
      <c r="AE89" t="s">
        <v>44</v>
      </c>
      <c r="AF89" t="s">
        <v>45</v>
      </c>
    </row>
    <row r="90" spans="1:32" x14ac:dyDescent="0.25">
      <c r="A90">
        <v>1319</v>
      </c>
      <c r="B90">
        <v>52</v>
      </c>
      <c r="C90" t="s">
        <v>32</v>
      </c>
      <c r="D90" t="s">
        <v>33</v>
      </c>
      <c r="E90" t="s">
        <v>56</v>
      </c>
      <c r="F90" t="s">
        <v>49</v>
      </c>
      <c r="G90" t="s">
        <v>38</v>
      </c>
      <c r="H90" t="s">
        <v>37</v>
      </c>
      <c r="I90" t="s">
        <v>50</v>
      </c>
      <c r="J90" t="s">
        <v>57</v>
      </c>
      <c r="K90">
        <v>2</v>
      </c>
      <c r="L90">
        <v>2</v>
      </c>
      <c r="M90" t="s">
        <v>60</v>
      </c>
      <c r="N90" t="s">
        <v>41</v>
      </c>
      <c r="O90" t="s">
        <v>42</v>
      </c>
      <c r="P90" t="s">
        <v>32</v>
      </c>
      <c r="Q90">
        <v>19</v>
      </c>
      <c r="R90">
        <v>9</v>
      </c>
      <c r="S90">
        <v>10</v>
      </c>
      <c r="T90">
        <v>7</v>
      </c>
      <c r="U90">
        <v>7</v>
      </c>
      <c r="V90">
        <v>5</v>
      </c>
      <c r="W90">
        <v>64</v>
      </c>
      <c r="X90">
        <v>1030</v>
      </c>
      <c r="Y90">
        <v>21534</v>
      </c>
      <c r="Z90">
        <v>8446</v>
      </c>
      <c r="AA90">
        <v>2</v>
      </c>
      <c r="AB90">
        <v>26059</v>
      </c>
      <c r="AC90" s="10">
        <v>41059</v>
      </c>
      <c r="AD90" s="10">
        <v>43780</v>
      </c>
      <c r="AE90" t="s">
        <v>54</v>
      </c>
      <c r="AF90" t="s">
        <v>45</v>
      </c>
    </row>
    <row r="91" spans="1:32" x14ac:dyDescent="0.25">
      <c r="A91">
        <v>1309</v>
      </c>
      <c r="B91">
        <v>32</v>
      </c>
      <c r="C91" t="s">
        <v>32</v>
      </c>
      <c r="D91" t="s">
        <v>33</v>
      </c>
      <c r="E91" t="s">
        <v>34</v>
      </c>
      <c r="F91" t="s">
        <v>67</v>
      </c>
      <c r="G91" t="s">
        <v>59</v>
      </c>
      <c r="H91" t="s">
        <v>37</v>
      </c>
      <c r="I91" t="s">
        <v>50</v>
      </c>
      <c r="J91" t="s">
        <v>51</v>
      </c>
      <c r="K91">
        <v>3</v>
      </c>
      <c r="L91">
        <v>3</v>
      </c>
      <c r="M91" t="s">
        <v>48</v>
      </c>
      <c r="N91" t="s">
        <v>61</v>
      </c>
      <c r="O91" t="s">
        <v>36</v>
      </c>
      <c r="P91" t="s">
        <v>43</v>
      </c>
      <c r="Q91">
        <v>18</v>
      </c>
      <c r="R91">
        <v>1</v>
      </c>
      <c r="S91">
        <v>10</v>
      </c>
      <c r="T91">
        <v>1</v>
      </c>
      <c r="U91">
        <v>1</v>
      </c>
      <c r="V91">
        <v>7</v>
      </c>
      <c r="W91">
        <v>79</v>
      </c>
      <c r="X91">
        <v>1089</v>
      </c>
      <c r="Y91">
        <v>22845</v>
      </c>
      <c r="Z91">
        <v>4883</v>
      </c>
      <c r="AA91">
        <v>3</v>
      </c>
      <c r="AB91">
        <v>33163</v>
      </c>
      <c r="AC91" s="10">
        <v>40492</v>
      </c>
      <c r="AD91" s="10">
        <v>43784</v>
      </c>
      <c r="AE91" t="s">
        <v>44</v>
      </c>
      <c r="AF91" t="s">
        <v>45</v>
      </c>
    </row>
    <row r="92" spans="1:32" x14ac:dyDescent="0.25">
      <c r="A92">
        <v>1</v>
      </c>
      <c r="B92">
        <v>41</v>
      </c>
      <c r="C92" t="s">
        <v>32</v>
      </c>
      <c r="D92" t="s">
        <v>33</v>
      </c>
      <c r="E92" t="s">
        <v>56</v>
      </c>
      <c r="F92" t="s">
        <v>67</v>
      </c>
      <c r="G92" t="s">
        <v>38</v>
      </c>
      <c r="H92" t="s">
        <v>47</v>
      </c>
      <c r="I92" t="s">
        <v>50</v>
      </c>
      <c r="J92" t="s">
        <v>57</v>
      </c>
      <c r="K92">
        <v>4</v>
      </c>
      <c r="L92">
        <v>3</v>
      </c>
      <c r="M92" t="s">
        <v>40</v>
      </c>
      <c r="N92" t="s">
        <v>41</v>
      </c>
      <c r="O92" t="s">
        <v>42</v>
      </c>
      <c r="P92" t="s">
        <v>32</v>
      </c>
      <c r="Q92">
        <v>11</v>
      </c>
      <c r="R92">
        <v>8</v>
      </c>
      <c r="S92">
        <v>8</v>
      </c>
      <c r="T92">
        <v>0</v>
      </c>
      <c r="U92">
        <v>5</v>
      </c>
      <c r="V92">
        <v>1</v>
      </c>
      <c r="W92">
        <v>94</v>
      </c>
      <c r="X92">
        <v>1102</v>
      </c>
      <c r="Y92">
        <v>19479</v>
      </c>
      <c r="Z92">
        <v>5993</v>
      </c>
      <c r="AA92">
        <v>0</v>
      </c>
      <c r="AB92">
        <v>29813</v>
      </c>
      <c r="AC92" s="10">
        <v>41851</v>
      </c>
      <c r="AD92" s="10">
        <v>43794</v>
      </c>
      <c r="AE92" t="s">
        <v>44</v>
      </c>
      <c r="AF92" t="s">
        <v>45</v>
      </c>
    </row>
    <row r="93" spans="1:32" x14ac:dyDescent="0.25">
      <c r="A93">
        <v>840</v>
      </c>
      <c r="B93">
        <v>49</v>
      </c>
      <c r="C93" t="s">
        <v>32</v>
      </c>
      <c r="D93" t="s">
        <v>33</v>
      </c>
      <c r="E93" t="s">
        <v>56</v>
      </c>
      <c r="F93" t="s">
        <v>49</v>
      </c>
      <c r="G93" t="s">
        <v>50</v>
      </c>
      <c r="H93" t="s">
        <v>47</v>
      </c>
      <c r="I93" t="s">
        <v>50</v>
      </c>
      <c r="J93" t="s">
        <v>57</v>
      </c>
      <c r="K93">
        <v>4</v>
      </c>
      <c r="L93">
        <v>3</v>
      </c>
      <c r="M93" t="s">
        <v>58</v>
      </c>
      <c r="N93" t="s">
        <v>61</v>
      </c>
      <c r="O93" t="s">
        <v>53</v>
      </c>
      <c r="P93" t="s">
        <v>43</v>
      </c>
      <c r="Q93">
        <v>18</v>
      </c>
      <c r="R93">
        <v>1</v>
      </c>
      <c r="S93">
        <v>9</v>
      </c>
      <c r="T93">
        <v>7</v>
      </c>
      <c r="U93">
        <v>7</v>
      </c>
      <c r="V93">
        <v>11</v>
      </c>
      <c r="W93">
        <v>43</v>
      </c>
      <c r="X93">
        <v>1184</v>
      </c>
      <c r="Y93">
        <v>5860</v>
      </c>
      <c r="Z93">
        <v>7654</v>
      </c>
      <c r="AA93">
        <v>3</v>
      </c>
      <c r="AB93">
        <v>26948</v>
      </c>
      <c r="AC93" s="10">
        <v>40524</v>
      </c>
      <c r="AD93" s="10">
        <v>43804</v>
      </c>
      <c r="AE93" t="s">
        <v>44</v>
      </c>
      <c r="AF93" t="s">
        <v>55</v>
      </c>
    </row>
    <row r="94" spans="1:32" x14ac:dyDescent="0.25">
      <c r="A94">
        <v>1017</v>
      </c>
      <c r="B94">
        <v>30</v>
      </c>
      <c r="C94" t="s">
        <v>32</v>
      </c>
      <c r="D94" t="s">
        <v>46</v>
      </c>
      <c r="E94" t="s">
        <v>34</v>
      </c>
      <c r="F94" t="s">
        <v>49</v>
      </c>
      <c r="G94" t="s">
        <v>38</v>
      </c>
      <c r="H94" t="s">
        <v>47</v>
      </c>
      <c r="I94" t="s">
        <v>50</v>
      </c>
      <c r="J94" t="s">
        <v>51</v>
      </c>
      <c r="K94">
        <v>2</v>
      </c>
      <c r="L94">
        <v>3</v>
      </c>
      <c r="M94" t="s">
        <v>48</v>
      </c>
      <c r="N94" t="s">
        <v>41</v>
      </c>
      <c r="O94" t="s">
        <v>42</v>
      </c>
      <c r="P94" t="s">
        <v>43</v>
      </c>
      <c r="Q94">
        <v>17</v>
      </c>
      <c r="R94">
        <v>0</v>
      </c>
      <c r="S94">
        <v>4</v>
      </c>
      <c r="T94">
        <v>1</v>
      </c>
      <c r="U94">
        <v>2</v>
      </c>
      <c r="V94">
        <v>5</v>
      </c>
      <c r="W94">
        <v>60</v>
      </c>
      <c r="X94">
        <v>109</v>
      </c>
      <c r="Y94">
        <v>25725</v>
      </c>
      <c r="Z94">
        <v>2422</v>
      </c>
      <c r="AA94">
        <v>3</v>
      </c>
      <c r="AB94">
        <v>33949</v>
      </c>
      <c r="AC94" s="10">
        <v>42989</v>
      </c>
      <c r="AD94" s="10">
        <v>43806</v>
      </c>
      <c r="AE94" t="s">
        <v>44</v>
      </c>
      <c r="AF94" t="s">
        <v>45</v>
      </c>
    </row>
    <row r="95" spans="1:32" x14ac:dyDescent="0.25">
      <c r="A95">
        <v>848</v>
      </c>
      <c r="B95">
        <v>26</v>
      </c>
      <c r="C95" t="s">
        <v>32</v>
      </c>
      <c r="D95" t="s">
        <v>46</v>
      </c>
      <c r="E95" t="s">
        <v>34</v>
      </c>
      <c r="F95" t="s">
        <v>67</v>
      </c>
      <c r="G95" t="s">
        <v>50</v>
      </c>
      <c r="H95" t="s">
        <v>47</v>
      </c>
      <c r="I95" t="s">
        <v>38</v>
      </c>
      <c r="J95" t="s">
        <v>39</v>
      </c>
      <c r="K95">
        <v>3</v>
      </c>
      <c r="L95">
        <v>2</v>
      </c>
      <c r="M95" t="s">
        <v>48</v>
      </c>
      <c r="N95" t="s">
        <v>61</v>
      </c>
      <c r="O95" t="s">
        <v>36</v>
      </c>
      <c r="P95" t="s">
        <v>32</v>
      </c>
      <c r="Q95">
        <v>14</v>
      </c>
      <c r="R95">
        <v>1</v>
      </c>
      <c r="S95">
        <v>8</v>
      </c>
      <c r="T95">
        <v>1</v>
      </c>
      <c r="U95">
        <v>7</v>
      </c>
      <c r="V95">
        <v>5</v>
      </c>
      <c r="W95">
        <v>88</v>
      </c>
      <c r="X95">
        <v>887</v>
      </c>
      <c r="Y95">
        <v>20898</v>
      </c>
      <c r="Z95">
        <v>2366</v>
      </c>
      <c r="AA95">
        <v>2</v>
      </c>
      <c r="AB95">
        <v>35382</v>
      </c>
      <c r="AC95" s="10">
        <v>41241</v>
      </c>
      <c r="AD95" s="10">
        <v>43807</v>
      </c>
      <c r="AE95" t="s">
        <v>54</v>
      </c>
      <c r="AF95" t="s">
        <v>45</v>
      </c>
    </row>
    <row r="96" spans="1:32" x14ac:dyDescent="0.25">
      <c r="A96">
        <v>2044</v>
      </c>
      <c r="B96">
        <v>50</v>
      </c>
      <c r="C96" t="s">
        <v>32</v>
      </c>
      <c r="D96" t="s">
        <v>46</v>
      </c>
      <c r="E96" t="s">
        <v>56</v>
      </c>
      <c r="F96" t="s">
        <v>35</v>
      </c>
      <c r="G96" t="s">
        <v>38</v>
      </c>
      <c r="H96" t="s">
        <v>37</v>
      </c>
      <c r="I96" t="s">
        <v>50</v>
      </c>
      <c r="J96" t="s">
        <v>57</v>
      </c>
      <c r="K96">
        <v>3</v>
      </c>
      <c r="L96">
        <v>3</v>
      </c>
      <c r="M96" t="s">
        <v>48</v>
      </c>
      <c r="N96" t="s">
        <v>52</v>
      </c>
      <c r="O96" t="s">
        <v>53</v>
      </c>
      <c r="P96" t="s">
        <v>43</v>
      </c>
      <c r="Q96">
        <v>12</v>
      </c>
      <c r="R96">
        <v>7</v>
      </c>
      <c r="S96">
        <v>12</v>
      </c>
      <c r="T96">
        <v>0</v>
      </c>
      <c r="U96">
        <v>1</v>
      </c>
      <c r="V96">
        <v>1</v>
      </c>
      <c r="W96">
        <v>94</v>
      </c>
      <c r="X96">
        <v>878</v>
      </c>
      <c r="Y96">
        <v>14255</v>
      </c>
      <c r="Z96">
        <v>6728</v>
      </c>
      <c r="AA96">
        <v>3</v>
      </c>
      <c r="AB96">
        <v>26824</v>
      </c>
      <c r="AC96" s="10">
        <v>41727</v>
      </c>
      <c r="AD96" s="10">
        <v>43825</v>
      </c>
      <c r="AE96" t="s">
        <v>44</v>
      </c>
      <c r="AF96" t="s">
        <v>45</v>
      </c>
    </row>
    <row r="97" spans="1:32" x14ac:dyDescent="0.25">
      <c r="A97">
        <v>33</v>
      </c>
      <c r="B97">
        <v>32</v>
      </c>
      <c r="C97" t="s">
        <v>32</v>
      </c>
      <c r="D97" t="s">
        <v>46</v>
      </c>
      <c r="E97" t="s">
        <v>56</v>
      </c>
      <c r="F97" t="s">
        <v>49</v>
      </c>
      <c r="G97" t="s">
        <v>36</v>
      </c>
      <c r="H97" t="s">
        <v>37</v>
      </c>
      <c r="I97" t="s">
        <v>50</v>
      </c>
      <c r="J97" t="s">
        <v>57</v>
      </c>
      <c r="K97">
        <v>2</v>
      </c>
      <c r="L97">
        <v>3</v>
      </c>
      <c r="M97" t="s">
        <v>48</v>
      </c>
      <c r="N97" t="s">
        <v>41</v>
      </c>
      <c r="O97" t="s">
        <v>42</v>
      </c>
      <c r="P97" t="s">
        <v>43</v>
      </c>
      <c r="Q97">
        <v>18</v>
      </c>
      <c r="R97">
        <v>1</v>
      </c>
      <c r="S97">
        <v>8</v>
      </c>
      <c r="T97">
        <v>7</v>
      </c>
      <c r="U97">
        <v>7</v>
      </c>
      <c r="V97">
        <v>4</v>
      </c>
      <c r="W97">
        <v>56</v>
      </c>
      <c r="X97">
        <v>143</v>
      </c>
      <c r="Y97">
        <v>9558</v>
      </c>
      <c r="Z97">
        <v>9355</v>
      </c>
      <c r="AA97">
        <v>5</v>
      </c>
      <c r="AB97">
        <v>29434</v>
      </c>
      <c r="AC97" s="10">
        <v>40946</v>
      </c>
      <c r="AD97" s="10">
        <v>43850</v>
      </c>
      <c r="AE97" t="s">
        <v>44</v>
      </c>
      <c r="AF97" t="s">
        <v>45</v>
      </c>
    </row>
    <row r="98" spans="1:32" x14ac:dyDescent="0.25">
      <c r="A98">
        <v>376</v>
      </c>
      <c r="B98">
        <v>47</v>
      </c>
      <c r="C98" t="s">
        <v>32</v>
      </c>
      <c r="D98" t="s">
        <v>63</v>
      </c>
      <c r="E98" t="s">
        <v>56</v>
      </c>
      <c r="F98" t="s">
        <v>49</v>
      </c>
      <c r="G98" t="s">
        <v>50</v>
      </c>
      <c r="H98" t="s">
        <v>37</v>
      </c>
      <c r="I98" t="s">
        <v>50</v>
      </c>
      <c r="J98" t="s">
        <v>57</v>
      </c>
      <c r="K98">
        <v>1</v>
      </c>
      <c r="L98">
        <v>1</v>
      </c>
      <c r="M98" t="s">
        <v>60</v>
      </c>
      <c r="N98" t="s">
        <v>41</v>
      </c>
      <c r="O98" t="s">
        <v>42</v>
      </c>
      <c r="P98" t="s">
        <v>32</v>
      </c>
      <c r="Q98">
        <v>12</v>
      </c>
      <c r="R98">
        <v>0</v>
      </c>
      <c r="S98">
        <v>22</v>
      </c>
      <c r="T98">
        <v>13</v>
      </c>
      <c r="U98">
        <v>14</v>
      </c>
      <c r="V98">
        <v>12</v>
      </c>
      <c r="W98">
        <v>44</v>
      </c>
      <c r="X98">
        <v>481</v>
      </c>
      <c r="Y98">
        <v>2447</v>
      </c>
      <c r="Z98">
        <v>13758</v>
      </c>
      <c r="AA98">
        <v>2</v>
      </c>
      <c r="AB98">
        <v>27690</v>
      </c>
      <c r="AC98" s="10">
        <v>36376</v>
      </c>
      <c r="AD98" s="10">
        <v>43862</v>
      </c>
      <c r="AE98" t="s">
        <v>54</v>
      </c>
      <c r="AF98" t="s">
        <v>45</v>
      </c>
    </row>
    <row r="99" spans="1:32" x14ac:dyDescent="0.25">
      <c r="A99">
        <v>741</v>
      </c>
      <c r="B99">
        <v>28</v>
      </c>
      <c r="C99" t="s">
        <v>32</v>
      </c>
      <c r="D99" t="s">
        <v>33</v>
      </c>
      <c r="E99" t="s">
        <v>34</v>
      </c>
      <c r="F99" t="s">
        <v>64</v>
      </c>
      <c r="G99" t="s">
        <v>50</v>
      </c>
      <c r="H99" t="s">
        <v>37</v>
      </c>
      <c r="I99" t="s">
        <v>50</v>
      </c>
      <c r="J99" t="s">
        <v>51</v>
      </c>
      <c r="K99">
        <v>3</v>
      </c>
      <c r="L99">
        <v>2</v>
      </c>
      <c r="M99" t="s">
        <v>48</v>
      </c>
      <c r="N99" t="s">
        <v>41</v>
      </c>
      <c r="O99" t="s">
        <v>42</v>
      </c>
      <c r="P99" t="s">
        <v>43</v>
      </c>
      <c r="Q99">
        <v>12</v>
      </c>
      <c r="R99">
        <v>1</v>
      </c>
      <c r="S99">
        <v>2</v>
      </c>
      <c r="T99">
        <v>0</v>
      </c>
      <c r="U99">
        <v>0</v>
      </c>
      <c r="V99">
        <v>8</v>
      </c>
      <c r="W99">
        <v>80</v>
      </c>
      <c r="X99">
        <v>247</v>
      </c>
      <c r="Y99">
        <v>13556</v>
      </c>
      <c r="Z99">
        <v>1904</v>
      </c>
      <c r="AA99">
        <v>0</v>
      </c>
      <c r="AB99">
        <v>34679</v>
      </c>
      <c r="AC99" s="10">
        <v>43418</v>
      </c>
      <c r="AD99" s="10">
        <v>43867</v>
      </c>
      <c r="AE99" t="s">
        <v>44</v>
      </c>
      <c r="AF99" t="s">
        <v>55</v>
      </c>
    </row>
    <row r="100" spans="1:32" x14ac:dyDescent="0.25">
      <c r="A100">
        <v>819</v>
      </c>
      <c r="B100">
        <v>33</v>
      </c>
      <c r="C100" t="s">
        <v>32</v>
      </c>
      <c r="D100" t="s">
        <v>33</v>
      </c>
      <c r="E100" t="s">
        <v>56</v>
      </c>
      <c r="F100" t="s">
        <v>49</v>
      </c>
      <c r="G100" t="s">
        <v>36</v>
      </c>
      <c r="H100" t="s">
        <v>37</v>
      </c>
      <c r="I100" t="s">
        <v>50</v>
      </c>
      <c r="J100" t="s">
        <v>66</v>
      </c>
      <c r="K100">
        <v>3</v>
      </c>
      <c r="L100">
        <v>3</v>
      </c>
      <c r="M100" t="s">
        <v>58</v>
      </c>
      <c r="N100" t="s">
        <v>61</v>
      </c>
      <c r="O100" t="s">
        <v>36</v>
      </c>
      <c r="P100" t="s">
        <v>43</v>
      </c>
      <c r="Q100">
        <v>15</v>
      </c>
      <c r="R100">
        <v>3</v>
      </c>
      <c r="S100">
        <v>5</v>
      </c>
      <c r="T100">
        <v>1</v>
      </c>
      <c r="U100">
        <v>2</v>
      </c>
      <c r="V100">
        <v>1</v>
      </c>
      <c r="W100">
        <v>92</v>
      </c>
      <c r="X100">
        <v>1496</v>
      </c>
      <c r="Y100">
        <v>15747</v>
      </c>
      <c r="Z100">
        <v>2909</v>
      </c>
      <c r="AA100">
        <v>3</v>
      </c>
      <c r="AB100">
        <v>32809</v>
      </c>
      <c r="AC100" s="10">
        <v>42926</v>
      </c>
      <c r="AD100" s="10">
        <v>43869</v>
      </c>
      <c r="AE100" t="s">
        <v>44</v>
      </c>
      <c r="AF100" t="s">
        <v>45</v>
      </c>
    </row>
    <row r="101" spans="1:32" x14ac:dyDescent="0.25">
      <c r="A101">
        <v>394</v>
      </c>
      <c r="B101">
        <v>26</v>
      </c>
      <c r="C101" t="s">
        <v>32</v>
      </c>
      <c r="D101" t="s">
        <v>33</v>
      </c>
      <c r="E101" t="s">
        <v>34</v>
      </c>
      <c r="F101" t="s">
        <v>35</v>
      </c>
      <c r="G101" t="s">
        <v>36</v>
      </c>
      <c r="H101" t="s">
        <v>37</v>
      </c>
      <c r="I101" t="s">
        <v>50</v>
      </c>
      <c r="J101" t="s">
        <v>51</v>
      </c>
      <c r="K101">
        <v>2</v>
      </c>
      <c r="L101">
        <v>3</v>
      </c>
      <c r="M101" t="s">
        <v>48</v>
      </c>
      <c r="N101" t="s">
        <v>52</v>
      </c>
      <c r="O101" t="s">
        <v>36</v>
      </c>
      <c r="P101" t="s">
        <v>32</v>
      </c>
      <c r="Q101">
        <v>13</v>
      </c>
      <c r="R101">
        <v>2</v>
      </c>
      <c r="S101">
        <v>5</v>
      </c>
      <c r="T101">
        <v>0</v>
      </c>
      <c r="U101">
        <v>2</v>
      </c>
      <c r="V101">
        <v>16</v>
      </c>
      <c r="W101">
        <v>45</v>
      </c>
      <c r="X101">
        <v>1449</v>
      </c>
      <c r="Y101">
        <v>14180</v>
      </c>
      <c r="Z101">
        <v>2373</v>
      </c>
      <c r="AA101">
        <v>2</v>
      </c>
      <c r="AB101">
        <v>35623</v>
      </c>
      <c r="AC101" s="10">
        <v>42926</v>
      </c>
      <c r="AD101" s="10">
        <v>43875</v>
      </c>
      <c r="AE101" t="s">
        <v>44</v>
      </c>
      <c r="AF101" t="s">
        <v>45</v>
      </c>
    </row>
    <row r="102" spans="1:32" x14ac:dyDescent="0.25">
      <c r="A102">
        <v>478</v>
      </c>
      <c r="B102">
        <v>21</v>
      </c>
      <c r="C102" t="s">
        <v>32</v>
      </c>
      <c r="D102" t="s">
        <v>46</v>
      </c>
      <c r="E102" t="s">
        <v>56</v>
      </c>
      <c r="F102" t="s">
        <v>64</v>
      </c>
      <c r="G102" t="s">
        <v>36</v>
      </c>
      <c r="H102" t="s">
        <v>47</v>
      </c>
      <c r="I102" t="s">
        <v>38</v>
      </c>
      <c r="J102" t="s">
        <v>66</v>
      </c>
      <c r="K102">
        <v>2</v>
      </c>
      <c r="L102">
        <v>3</v>
      </c>
      <c r="M102" t="s">
        <v>48</v>
      </c>
      <c r="N102" t="s">
        <v>41</v>
      </c>
      <c r="O102" t="s">
        <v>42</v>
      </c>
      <c r="P102" t="s">
        <v>32</v>
      </c>
      <c r="Q102">
        <v>11</v>
      </c>
      <c r="R102">
        <v>1</v>
      </c>
      <c r="S102">
        <v>3</v>
      </c>
      <c r="T102">
        <v>1</v>
      </c>
      <c r="U102">
        <v>1</v>
      </c>
      <c r="V102">
        <v>1</v>
      </c>
      <c r="W102">
        <v>99</v>
      </c>
      <c r="X102">
        <v>756</v>
      </c>
      <c r="Y102">
        <v>9150</v>
      </c>
      <c r="Z102">
        <v>2174</v>
      </c>
      <c r="AA102">
        <v>3</v>
      </c>
      <c r="AB102">
        <v>37415</v>
      </c>
      <c r="AC102" s="10">
        <v>43667</v>
      </c>
      <c r="AD102" s="10">
        <v>43877</v>
      </c>
      <c r="AE102" t="s">
        <v>44</v>
      </c>
      <c r="AF102" t="s">
        <v>45</v>
      </c>
    </row>
    <row r="103" spans="1:32" x14ac:dyDescent="0.25">
      <c r="A103">
        <v>165</v>
      </c>
      <c r="B103">
        <v>58</v>
      </c>
      <c r="C103" t="s">
        <v>32</v>
      </c>
      <c r="D103" t="s">
        <v>33</v>
      </c>
      <c r="E103" t="s">
        <v>56</v>
      </c>
      <c r="F103" t="s">
        <v>49</v>
      </c>
      <c r="G103" t="s">
        <v>38</v>
      </c>
      <c r="H103" t="s">
        <v>47</v>
      </c>
      <c r="I103" t="s">
        <v>38</v>
      </c>
      <c r="J103" t="s">
        <v>66</v>
      </c>
      <c r="K103">
        <v>3</v>
      </c>
      <c r="L103">
        <v>1</v>
      </c>
      <c r="M103" t="s">
        <v>48</v>
      </c>
      <c r="N103" t="s">
        <v>52</v>
      </c>
      <c r="O103" t="s">
        <v>50</v>
      </c>
      <c r="P103" t="s">
        <v>32</v>
      </c>
      <c r="Q103">
        <v>19</v>
      </c>
      <c r="R103">
        <v>6</v>
      </c>
      <c r="S103">
        <v>5</v>
      </c>
      <c r="T103">
        <v>0</v>
      </c>
      <c r="U103">
        <v>2</v>
      </c>
      <c r="V103">
        <v>1</v>
      </c>
      <c r="W103">
        <v>48</v>
      </c>
      <c r="X103">
        <v>341</v>
      </c>
      <c r="Y103">
        <v>23522</v>
      </c>
      <c r="Z103">
        <v>2800</v>
      </c>
      <c r="AA103">
        <v>3</v>
      </c>
      <c r="AB103">
        <v>23945</v>
      </c>
      <c r="AC103" s="10">
        <v>42813</v>
      </c>
      <c r="AD103" s="10">
        <v>43882</v>
      </c>
      <c r="AE103" t="s">
        <v>54</v>
      </c>
      <c r="AF103" t="s">
        <v>45</v>
      </c>
    </row>
    <row r="104" spans="1:32" x14ac:dyDescent="0.25">
      <c r="A104">
        <v>47</v>
      </c>
      <c r="B104">
        <v>50</v>
      </c>
      <c r="C104" t="s">
        <v>32</v>
      </c>
      <c r="D104" t="s">
        <v>33</v>
      </c>
      <c r="E104" t="s">
        <v>68</v>
      </c>
      <c r="F104" t="s">
        <v>35</v>
      </c>
      <c r="G104" t="s">
        <v>50</v>
      </c>
      <c r="H104" t="s">
        <v>37</v>
      </c>
      <c r="I104" t="s">
        <v>50</v>
      </c>
      <c r="J104" t="s">
        <v>68</v>
      </c>
      <c r="K104">
        <v>1</v>
      </c>
      <c r="L104">
        <v>4</v>
      </c>
      <c r="M104" t="s">
        <v>48</v>
      </c>
      <c r="N104" t="s">
        <v>52</v>
      </c>
      <c r="O104" t="s">
        <v>42</v>
      </c>
      <c r="P104" t="s">
        <v>32</v>
      </c>
      <c r="Q104">
        <v>22</v>
      </c>
      <c r="R104">
        <v>4</v>
      </c>
      <c r="S104">
        <v>7</v>
      </c>
      <c r="T104">
        <v>0</v>
      </c>
      <c r="U104">
        <v>2</v>
      </c>
      <c r="V104">
        <v>6</v>
      </c>
      <c r="W104">
        <v>63</v>
      </c>
      <c r="X104">
        <v>807</v>
      </c>
      <c r="Y104">
        <v>23648</v>
      </c>
      <c r="Z104">
        <v>2073</v>
      </c>
      <c r="AA104">
        <v>3</v>
      </c>
      <c r="AB104">
        <v>26572</v>
      </c>
      <c r="AC104" s="10">
        <v>43117</v>
      </c>
      <c r="AD104" s="10">
        <v>43882</v>
      </c>
      <c r="AE104" t="s">
        <v>44</v>
      </c>
      <c r="AF104" t="s">
        <v>45</v>
      </c>
    </row>
    <row r="105" spans="1:32" x14ac:dyDescent="0.25">
      <c r="A105">
        <v>65</v>
      </c>
      <c r="B105">
        <v>28</v>
      </c>
      <c r="C105" t="s">
        <v>32</v>
      </c>
      <c r="D105" t="s">
        <v>33</v>
      </c>
      <c r="E105" t="s">
        <v>56</v>
      </c>
      <c r="F105" t="s">
        <v>67</v>
      </c>
      <c r="G105" t="s">
        <v>38</v>
      </c>
      <c r="H105" t="s">
        <v>47</v>
      </c>
      <c r="I105" t="s">
        <v>50</v>
      </c>
      <c r="J105" t="s">
        <v>66</v>
      </c>
      <c r="K105">
        <v>4</v>
      </c>
      <c r="L105">
        <v>3</v>
      </c>
      <c r="M105" t="s">
        <v>58</v>
      </c>
      <c r="N105" t="s">
        <v>41</v>
      </c>
      <c r="O105" t="s">
        <v>42</v>
      </c>
      <c r="P105" t="s">
        <v>32</v>
      </c>
      <c r="Q105">
        <v>12</v>
      </c>
      <c r="R105">
        <v>1</v>
      </c>
      <c r="S105">
        <v>2</v>
      </c>
      <c r="T105">
        <v>0</v>
      </c>
      <c r="U105">
        <v>0</v>
      </c>
      <c r="V105">
        <v>3</v>
      </c>
      <c r="W105">
        <v>70</v>
      </c>
      <c r="X105">
        <v>544</v>
      </c>
      <c r="Y105">
        <v>18420</v>
      </c>
      <c r="Z105">
        <v>1569</v>
      </c>
      <c r="AA105">
        <v>2</v>
      </c>
      <c r="AB105">
        <v>34723</v>
      </c>
      <c r="AC105" s="10">
        <v>43590</v>
      </c>
      <c r="AD105" s="10">
        <v>43888</v>
      </c>
      <c r="AE105" t="s">
        <v>44</v>
      </c>
      <c r="AF105" t="s">
        <v>45</v>
      </c>
    </row>
    <row r="106" spans="1:32" x14ac:dyDescent="0.25">
      <c r="A106">
        <v>590</v>
      </c>
      <c r="B106">
        <v>34</v>
      </c>
      <c r="C106" t="s">
        <v>32</v>
      </c>
      <c r="D106" t="s">
        <v>46</v>
      </c>
      <c r="E106" t="s">
        <v>34</v>
      </c>
      <c r="F106" t="s">
        <v>67</v>
      </c>
      <c r="G106" t="s">
        <v>36</v>
      </c>
      <c r="H106" t="s">
        <v>47</v>
      </c>
      <c r="I106" t="s">
        <v>36</v>
      </c>
      <c r="J106" t="s">
        <v>39</v>
      </c>
      <c r="K106">
        <v>2</v>
      </c>
      <c r="L106">
        <v>2</v>
      </c>
      <c r="M106" t="s">
        <v>48</v>
      </c>
      <c r="N106" t="s">
        <v>41</v>
      </c>
      <c r="O106" t="s">
        <v>42</v>
      </c>
      <c r="P106" t="s">
        <v>32</v>
      </c>
      <c r="Q106">
        <v>13</v>
      </c>
      <c r="R106">
        <v>7</v>
      </c>
      <c r="S106">
        <v>10</v>
      </c>
      <c r="T106">
        <v>3</v>
      </c>
      <c r="U106">
        <v>4</v>
      </c>
      <c r="V106">
        <v>1</v>
      </c>
      <c r="W106">
        <v>67</v>
      </c>
      <c r="X106">
        <v>654</v>
      </c>
      <c r="Y106">
        <v>3872</v>
      </c>
      <c r="Z106">
        <v>2216</v>
      </c>
      <c r="AA106">
        <v>4</v>
      </c>
      <c r="AB106">
        <v>32413</v>
      </c>
      <c r="AC106" s="10">
        <v>41722</v>
      </c>
      <c r="AD106" s="10">
        <v>43889</v>
      </c>
      <c r="AE106" t="s">
        <v>44</v>
      </c>
      <c r="AF106" t="s">
        <v>45</v>
      </c>
    </row>
    <row r="107" spans="1:32" x14ac:dyDescent="0.25">
      <c r="A107">
        <v>488</v>
      </c>
      <c r="B107">
        <v>41</v>
      </c>
      <c r="C107" t="s">
        <v>32</v>
      </c>
      <c r="D107" t="s">
        <v>46</v>
      </c>
      <c r="E107" t="s">
        <v>56</v>
      </c>
      <c r="F107" t="s">
        <v>67</v>
      </c>
      <c r="G107" t="s">
        <v>36</v>
      </c>
      <c r="H107" t="s">
        <v>37</v>
      </c>
      <c r="I107" t="s">
        <v>38</v>
      </c>
      <c r="J107" t="s">
        <v>66</v>
      </c>
      <c r="K107">
        <v>1</v>
      </c>
      <c r="L107">
        <v>3</v>
      </c>
      <c r="M107" t="s">
        <v>48</v>
      </c>
      <c r="N107" t="s">
        <v>61</v>
      </c>
      <c r="O107" t="s">
        <v>42</v>
      </c>
      <c r="P107" t="s">
        <v>43</v>
      </c>
      <c r="Q107">
        <v>12</v>
      </c>
      <c r="R107">
        <v>3</v>
      </c>
      <c r="S107">
        <v>6</v>
      </c>
      <c r="T107">
        <v>2</v>
      </c>
      <c r="U107">
        <v>2</v>
      </c>
      <c r="V107">
        <v>9</v>
      </c>
      <c r="W107">
        <v>68</v>
      </c>
      <c r="X107">
        <v>383</v>
      </c>
      <c r="Y107">
        <v>15182</v>
      </c>
      <c r="Z107">
        <v>4400</v>
      </c>
      <c r="AA107">
        <v>2</v>
      </c>
      <c r="AB107">
        <v>29968</v>
      </c>
      <c r="AC107" s="10">
        <v>43007</v>
      </c>
      <c r="AD107" s="10">
        <v>43889</v>
      </c>
      <c r="AE107" t="s">
        <v>44</v>
      </c>
      <c r="AF107" t="s">
        <v>55</v>
      </c>
    </row>
    <row r="108" spans="1:32" x14ac:dyDescent="0.25">
      <c r="A108">
        <v>133</v>
      </c>
      <c r="B108">
        <v>37</v>
      </c>
      <c r="C108" t="s">
        <v>32</v>
      </c>
      <c r="D108" t="s">
        <v>33</v>
      </c>
      <c r="E108" t="s">
        <v>56</v>
      </c>
      <c r="F108" t="s">
        <v>49</v>
      </c>
      <c r="G108" t="s">
        <v>50</v>
      </c>
      <c r="H108" t="s">
        <v>37</v>
      </c>
      <c r="I108" t="s">
        <v>50</v>
      </c>
      <c r="J108" t="s">
        <v>66</v>
      </c>
      <c r="K108">
        <v>4</v>
      </c>
      <c r="L108">
        <v>4</v>
      </c>
      <c r="M108" t="s">
        <v>48</v>
      </c>
      <c r="N108" t="s">
        <v>52</v>
      </c>
      <c r="O108" t="s">
        <v>36</v>
      </c>
      <c r="P108" t="s">
        <v>32</v>
      </c>
      <c r="Q108">
        <v>21</v>
      </c>
      <c r="R108">
        <v>1</v>
      </c>
      <c r="S108">
        <v>3</v>
      </c>
      <c r="T108">
        <v>0</v>
      </c>
      <c r="U108">
        <v>2</v>
      </c>
      <c r="V108">
        <v>7</v>
      </c>
      <c r="W108">
        <v>99</v>
      </c>
      <c r="X108">
        <v>427</v>
      </c>
      <c r="Y108">
        <v>25103</v>
      </c>
      <c r="Z108">
        <v>2275</v>
      </c>
      <c r="AA108">
        <v>2</v>
      </c>
      <c r="AB108">
        <v>31369</v>
      </c>
      <c r="AC108" s="10">
        <v>42927</v>
      </c>
      <c r="AD108" s="10">
        <v>43889</v>
      </c>
      <c r="AE108" t="s">
        <v>44</v>
      </c>
      <c r="AF108" t="s">
        <v>45</v>
      </c>
    </row>
    <row r="109" spans="1:32" x14ac:dyDescent="0.25">
      <c r="A109">
        <v>555</v>
      </c>
      <c r="B109">
        <v>34</v>
      </c>
      <c r="C109" t="s">
        <v>32</v>
      </c>
      <c r="D109" t="s">
        <v>46</v>
      </c>
      <c r="E109" t="s">
        <v>68</v>
      </c>
      <c r="F109" t="s">
        <v>49</v>
      </c>
      <c r="G109" t="s">
        <v>38</v>
      </c>
      <c r="H109" t="s">
        <v>47</v>
      </c>
      <c r="I109" t="s">
        <v>50</v>
      </c>
      <c r="J109" t="s">
        <v>68</v>
      </c>
      <c r="K109">
        <v>1</v>
      </c>
      <c r="L109">
        <v>3</v>
      </c>
      <c r="M109" t="s">
        <v>48</v>
      </c>
      <c r="N109" t="s">
        <v>52</v>
      </c>
      <c r="O109" t="s">
        <v>50</v>
      </c>
      <c r="P109" t="s">
        <v>32</v>
      </c>
      <c r="Q109">
        <v>15</v>
      </c>
      <c r="R109">
        <v>9</v>
      </c>
      <c r="S109">
        <v>11</v>
      </c>
      <c r="T109">
        <v>0</v>
      </c>
      <c r="U109">
        <v>2</v>
      </c>
      <c r="V109">
        <v>23</v>
      </c>
      <c r="W109">
        <v>43</v>
      </c>
      <c r="X109">
        <v>988</v>
      </c>
      <c r="Y109">
        <v>11533</v>
      </c>
      <c r="Z109">
        <v>9950</v>
      </c>
      <c r="AA109">
        <v>2</v>
      </c>
      <c r="AB109">
        <v>32701</v>
      </c>
      <c r="AC109" s="10">
        <v>42865</v>
      </c>
      <c r="AD109" s="10">
        <v>43890</v>
      </c>
      <c r="AE109" t="s">
        <v>44</v>
      </c>
      <c r="AF109" t="s">
        <v>55</v>
      </c>
    </row>
    <row r="110" spans="1:32" x14ac:dyDescent="0.25">
      <c r="A110">
        <v>720</v>
      </c>
      <c r="B110">
        <v>24</v>
      </c>
      <c r="C110" t="s">
        <v>32</v>
      </c>
      <c r="D110" t="s">
        <v>33</v>
      </c>
      <c r="E110" t="s">
        <v>34</v>
      </c>
      <c r="F110" t="s">
        <v>49</v>
      </c>
      <c r="G110" t="s">
        <v>36</v>
      </c>
      <c r="H110" t="s">
        <v>37</v>
      </c>
      <c r="I110" t="s">
        <v>50</v>
      </c>
      <c r="J110" t="s">
        <v>51</v>
      </c>
      <c r="K110">
        <v>1</v>
      </c>
      <c r="L110">
        <v>2</v>
      </c>
      <c r="M110" t="s">
        <v>58</v>
      </c>
      <c r="N110" t="s">
        <v>61</v>
      </c>
      <c r="O110" t="s">
        <v>42</v>
      </c>
      <c r="P110" t="s">
        <v>43</v>
      </c>
      <c r="Q110">
        <v>12</v>
      </c>
      <c r="R110">
        <v>4</v>
      </c>
      <c r="S110">
        <v>10</v>
      </c>
      <c r="T110">
        <v>1</v>
      </c>
      <c r="U110">
        <v>2</v>
      </c>
      <c r="V110">
        <v>3</v>
      </c>
      <c r="W110">
        <v>89</v>
      </c>
      <c r="X110">
        <v>935</v>
      </c>
      <c r="Y110">
        <v>14669</v>
      </c>
      <c r="Z110">
        <v>2362</v>
      </c>
      <c r="AA110">
        <v>4</v>
      </c>
      <c r="AB110">
        <v>36061</v>
      </c>
      <c r="AC110" s="10">
        <v>43029</v>
      </c>
      <c r="AD110" s="10">
        <v>43918</v>
      </c>
      <c r="AE110" t="s">
        <v>44</v>
      </c>
      <c r="AF110" t="s">
        <v>45</v>
      </c>
    </row>
    <row r="111" spans="1:32" x14ac:dyDescent="0.25">
      <c r="A111">
        <v>881</v>
      </c>
      <c r="B111">
        <v>35</v>
      </c>
      <c r="C111" t="s">
        <v>32</v>
      </c>
      <c r="D111" t="s">
        <v>46</v>
      </c>
      <c r="E111" t="s">
        <v>56</v>
      </c>
      <c r="F111" t="s">
        <v>67</v>
      </c>
      <c r="G111" t="s">
        <v>36</v>
      </c>
      <c r="H111" t="s">
        <v>37</v>
      </c>
      <c r="I111" t="s">
        <v>36</v>
      </c>
      <c r="J111" t="s">
        <v>57</v>
      </c>
      <c r="K111">
        <v>2</v>
      </c>
      <c r="L111">
        <v>3</v>
      </c>
      <c r="M111" t="s">
        <v>48</v>
      </c>
      <c r="N111" t="s">
        <v>41</v>
      </c>
      <c r="O111" t="s">
        <v>42</v>
      </c>
      <c r="P111" t="s">
        <v>43</v>
      </c>
      <c r="Q111">
        <v>15</v>
      </c>
      <c r="R111">
        <v>6</v>
      </c>
      <c r="S111">
        <v>10</v>
      </c>
      <c r="T111">
        <v>0</v>
      </c>
      <c r="U111">
        <v>0</v>
      </c>
      <c r="V111">
        <v>1</v>
      </c>
      <c r="W111">
        <v>34</v>
      </c>
      <c r="X111">
        <v>964</v>
      </c>
      <c r="Y111">
        <v>12147</v>
      </c>
      <c r="Z111">
        <v>6735</v>
      </c>
      <c r="AA111">
        <v>2</v>
      </c>
      <c r="AB111">
        <v>32187</v>
      </c>
      <c r="AC111" s="10">
        <v>43202</v>
      </c>
      <c r="AD111" s="10">
        <v>43930</v>
      </c>
      <c r="AE111" t="s">
        <v>54</v>
      </c>
      <c r="AF111" t="s">
        <v>45</v>
      </c>
    </row>
    <row r="112" spans="1:32" x14ac:dyDescent="0.25">
      <c r="A112">
        <v>926</v>
      </c>
      <c r="B112">
        <v>22</v>
      </c>
      <c r="C112" t="s">
        <v>32</v>
      </c>
      <c r="D112" t="s">
        <v>33</v>
      </c>
      <c r="E112" t="s">
        <v>34</v>
      </c>
      <c r="F112" t="s">
        <v>64</v>
      </c>
      <c r="G112" t="s">
        <v>38</v>
      </c>
      <c r="H112" t="s">
        <v>47</v>
      </c>
      <c r="I112" t="s">
        <v>36</v>
      </c>
      <c r="J112" t="s">
        <v>39</v>
      </c>
      <c r="K112">
        <v>1</v>
      </c>
      <c r="L112">
        <v>4</v>
      </c>
      <c r="M112" t="s">
        <v>48</v>
      </c>
      <c r="N112" t="s">
        <v>41</v>
      </c>
      <c r="O112" t="s">
        <v>42</v>
      </c>
      <c r="P112" t="s">
        <v>32</v>
      </c>
      <c r="Q112">
        <v>22</v>
      </c>
      <c r="R112">
        <v>1</v>
      </c>
      <c r="S112">
        <v>10</v>
      </c>
      <c r="T112">
        <v>6</v>
      </c>
      <c r="U112">
        <v>7</v>
      </c>
      <c r="V112">
        <v>16</v>
      </c>
      <c r="W112">
        <v>72</v>
      </c>
      <c r="X112">
        <v>1125</v>
      </c>
      <c r="Y112">
        <v>4681</v>
      </c>
      <c r="Z112">
        <v>3919</v>
      </c>
      <c r="AA112">
        <v>5</v>
      </c>
      <c r="AB112">
        <v>36869</v>
      </c>
      <c r="AC112" s="10">
        <v>40374</v>
      </c>
      <c r="AD112" s="10">
        <v>43956</v>
      </c>
      <c r="AE112" t="s">
        <v>44</v>
      </c>
      <c r="AF112" t="s">
        <v>45</v>
      </c>
    </row>
    <row r="113" spans="1:32" x14ac:dyDescent="0.25">
      <c r="A113">
        <v>932</v>
      </c>
      <c r="B113">
        <v>39</v>
      </c>
      <c r="C113" t="s">
        <v>32</v>
      </c>
      <c r="D113" t="s">
        <v>33</v>
      </c>
      <c r="E113" t="s">
        <v>56</v>
      </c>
      <c r="F113" t="s">
        <v>49</v>
      </c>
      <c r="G113" t="s">
        <v>36</v>
      </c>
      <c r="H113" t="s">
        <v>47</v>
      </c>
      <c r="I113" t="s">
        <v>50</v>
      </c>
      <c r="J113" t="s">
        <v>57</v>
      </c>
      <c r="K113">
        <v>1</v>
      </c>
      <c r="L113">
        <v>2</v>
      </c>
      <c r="M113" t="s">
        <v>48</v>
      </c>
      <c r="N113" t="s">
        <v>41</v>
      </c>
      <c r="O113" t="s">
        <v>42</v>
      </c>
      <c r="P113" t="s">
        <v>43</v>
      </c>
      <c r="Q113">
        <v>15</v>
      </c>
      <c r="R113">
        <v>5</v>
      </c>
      <c r="S113">
        <v>6</v>
      </c>
      <c r="T113">
        <v>0</v>
      </c>
      <c r="U113">
        <v>2</v>
      </c>
      <c r="V113">
        <v>16</v>
      </c>
      <c r="W113">
        <v>69</v>
      </c>
      <c r="X113">
        <v>118</v>
      </c>
      <c r="Y113">
        <v>26507</v>
      </c>
      <c r="Z113">
        <v>5324</v>
      </c>
      <c r="AA113">
        <v>3</v>
      </c>
      <c r="AB113">
        <v>30589</v>
      </c>
      <c r="AC113" s="10">
        <v>42963</v>
      </c>
      <c r="AD113" s="10">
        <v>43960</v>
      </c>
      <c r="AE113" t="s">
        <v>44</v>
      </c>
      <c r="AF113" t="s">
        <v>45</v>
      </c>
    </row>
    <row r="114" spans="1:32" x14ac:dyDescent="0.25">
      <c r="A114">
        <v>1439</v>
      </c>
      <c r="B114">
        <v>25</v>
      </c>
      <c r="C114" t="s">
        <v>32</v>
      </c>
      <c r="D114" t="s">
        <v>33</v>
      </c>
      <c r="E114" t="s">
        <v>56</v>
      </c>
      <c r="F114" t="s">
        <v>49</v>
      </c>
      <c r="G114" t="s">
        <v>38</v>
      </c>
      <c r="H114" t="s">
        <v>37</v>
      </c>
      <c r="I114" t="s">
        <v>38</v>
      </c>
      <c r="J114" t="s">
        <v>57</v>
      </c>
      <c r="K114">
        <v>1</v>
      </c>
      <c r="L114">
        <v>3</v>
      </c>
      <c r="M114" t="s">
        <v>48</v>
      </c>
      <c r="N114" t="s">
        <v>61</v>
      </c>
      <c r="O114" t="s">
        <v>36</v>
      </c>
      <c r="P114" t="s">
        <v>43</v>
      </c>
      <c r="Q114">
        <v>11</v>
      </c>
      <c r="R114">
        <v>1</v>
      </c>
      <c r="S114">
        <v>10</v>
      </c>
      <c r="T114">
        <v>6</v>
      </c>
      <c r="U114">
        <v>7</v>
      </c>
      <c r="V114">
        <v>1</v>
      </c>
      <c r="W114">
        <v>64</v>
      </c>
      <c r="X114">
        <v>740</v>
      </c>
      <c r="Y114">
        <v>5323</v>
      </c>
      <c r="Z114">
        <v>9714</v>
      </c>
      <c r="AA114">
        <v>4</v>
      </c>
      <c r="AB114">
        <v>35997</v>
      </c>
      <c r="AC114" s="10">
        <v>40753</v>
      </c>
      <c r="AD114" s="10">
        <v>43990</v>
      </c>
      <c r="AE114" t="s">
        <v>44</v>
      </c>
      <c r="AF114" t="s">
        <v>45</v>
      </c>
    </row>
    <row r="115" spans="1:32" x14ac:dyDescent="0.25">
      <c r="A115">
        <v>1037</v>
      </c>
      <c r="B115">
        <v>26</v>
      </c>
      <c r="C115" t="s">
        <v>32</v>
      </c>
      <c r="D115" t="s">
        <v>63</v>
      </c>
      <c r="E115" t="s">
        <v>56</v>
      </c>
      <c r="F115" t="s">
        <v>49</v>
      </c>
      <c r="G115" t="s">
        <v>59</v>
      </c>
      <c r="H115" t="s">
        <v>47</v>
      </c>
      <c r="I115" t="s">
        <v>50</v>
      </c>
      <c r="J115" t="s">
        <v>66</v>
      </c>
      <c r="K115">
        <v>2</v>
      </c>
      <c r="L115">
        <v>2</v>
      </c>
      <c r="M115" t="s">
        <v>58</v>
      </c>
      <c r="N115" t="s">
        <v>41</v>
      </c>
      <c r="O115" t="s">
        <v>42</v>
      </c>
      <c r="P115" t="s">
        <v>32</v>
      </c>
      <c r="Q115">
        <v>11</v>
      </c>
      <c r="R115">
        <v>1</v>
      </c>
      <c r="S115">
        <v>3</v>
      </c>
      <c r="T115">
        <v>2</v>
      </c>
      <c r="U115">
        <v>2</v>
      </c>
      <c r="V115">
        <v>1</v>
      </c>
      <c r="W115">
        <v>54</v>
      </c>
      <c r="X115">
        <v>1060</v>
      </c>
      <c r="Y115">
        <v>8319</v>
      </c>
      <c r="Z115">
        <v>2302</v>
      </c>
      <c r="AA115">
        <v>2</v>
      </c>
      <c r="AB115">
        <v>35352</v>
      </c>
      <c r="AC115" s="10">
        <v>42916</v>
      </c>
      <c r="AD115" s="10">
        <v>43997</v>
      </c>
      <c r="AE115" t="s">
        <v>44</v>
      </c>
      <c r="AF115" t="s">
        <v>55</v>
      </c>
    </row>
    <row r="116" spans="1:32" x14ac:dyDescent="0.25">
      <c r="A116">
        <v>1160</v>
      </c>
      <c r="B116">
        <v>31</v>
      </c>
      <c r="C116" t="s">
        <v>32</v>
      </c>
      <c r="D116" t="s">
        <v>46</v>
      </c>
      <c r="E116" t="s">
        <v>56</v>
      </c>
      <c r="F116" t="s">
        <v>67</v>
      </c>
      <c r="G116" t="s">
        <v>36</v>
      </c>
      <c r="H116" t="s">
        <v>37</v>
      </c>
      <c r="I116" t="s">
        <v>38</v>
      </c>
      <c r="J116" t="s">
        <v>66</v>
      </c>
      <c r="K116">
        <v>3</v>
      </c>
      <c r="L116">
        <v>3</v>
      </c>
      <c r="M116" t="s">
        <v>48</v>
      </c>
      <c r="N116" t="s">
        <v>61</v>
      </c>
      <c r="O116" t="s">
        <v>42</v>
      </c>
      <c r="P116" t="s">
        <v>32</v>
      </c>
      <c r="Q116">
        <v>14</v>
      </c>
      <c r="R116">
        <v>1</v>
      </c>
      <c r="S116">
        <v>3</v>
      </c>
      <c r="T116">
        <v>0</v>
      </c>
      <c r="U116">
        <v>2</v>
      </c>
      <c r="V116">
        <v>3</v>
      </c>
      <c r="W116">
        <v>86</v>
      </c>
      <c r="X116">
        <v>869</v>
      </c>
      <c r="Y116">
        <v>3810</v>
      </c>
      <c r="Z116">
        <v>2683</v>
      </c>
      <c r="AA116">
        <v>2</v>
      </c>
      <c r="AB116">
        <v>33478</v>
      </c>
      <c r="AC116" s="10">
        <v>43260</v>
      </c>
      <c r="AD116" s="10">
        <v>43998</v>
      </c>
      <c r="AE116" t="s">
        <v>54</v>
      </c>
      <c r="AF116" t="s">
        <v>45</v>
      </c>
    </row>
    <row r="117" spans="1:32" x14ac:dyDescent="0.25">
      <c r="A117">
        <v>896</v>
      </c>
      <c r="B117">
        <v>29</v>
      </c>
      <c r="C117" t="s">
        <v>32</v>
      </c>
      <c r="D117" t="s">
        <v>33</v>
      </c>
      <c r="E117" t="s">
        <v>34</v>
      </c>
      <c r="F117" t="s">
        <v>35</v>
      </c>
      <c r="G117" t="s">
        <v>59</v>
      </c>
      <c r="H117" t="s">
        <v>47</v>
      </c>
      <c r="I117" t="s">
        <v>50</v>
      </c>
      <c r="J117" t="s">
        <v>39</v>
      </c>
      <c r="K117">
        <v>2</v>
      </c>
      <c r="L117">
        <v>2</v>
      </c>
      <c r="M117" t="s">
        <v>60</v>
      </c>
      <c r="N117" t="s">
        <v>52</v>
      </c>
      <c r="O117" t="s">
        <v>36</v>
      </c>
      <c r="P117" t="s">
        <v>32</v>
      </c>
      <c r="Q117">
        <v>19</v>
      </c>
      <c r="R117">
        <v>1</v>
      </c>
      <c r="S117">
        <v>10</v>
      </c>
      <c r="T117">
        <v>7</v>
      </c>
      <c r="U117">
        <v>8</v>
      </c>
      <c r="V117">
        <v>25</v>
      </c>
      <c r="W117">
        <v>96</v>
      </c>
      <c r="X117">
        <v>130</v>
      </c>
      <c r="Y117">
        <v>16612</v>
      </c>
      <c r="Z117">
        <v>2022</v>
      </c>
      <c r="AA117">
        <v>3</v>
      </c>
      <c r="AB117">
        <v>34317</v>
      </c>
      <c r="AC117" s="10">
        <v>40322</v>
      </c>
      <c r="AD117" s="10">
        <v>43999</v>
      </c>
      <c r="AE117" t="s">
        <v>44</v>
      </c>
      <c r="AF117" t="s">
        <v>45</v>
      </c>
    </row>
    <row r="118" spans="1:32" x14ac:dyDescent="0.25">
      <c r="A118">
        <v>922</v>
      </c>
      <c r="B118">
        <v>20</v>
      </c>
      <c r="C118" t="s">
        <v>32</v>
      </c>
      <c r="D118" t="s">
        <v>33</v>
      </c>
      <c r="E118" t="s">
        <v>34</v>
      </c>
      <c r="F118" t="s">
        <v>64</v>
      </c>
      <c r="G118" t="s">
        <v>38</v>
      </c>
      <c r="H118" t="s">
        <v>47</v>
      </c>
      <c r="I118" t="s">
        <v>50</v>
      </c>
      <c r="J118" t="s">
        <v>65</v>
      </c>
      <c r="K118">
        <v>3</v>
      </c>
      <c r="L118">
        <v>3</v>
      </c>
      <c r="M118" t="s">
        <v>58</v>
      </c>
      <c r="N118" t="s">
        <v>61</v>
      </c>
      <c r="O118" t="s">
        <v>36</v>
      </c>
      <c r="P118" t="s">
        <v>32</v>
      </c>
      <c r="Q118">
        <v>19</v>
      </c>
      <c r="R118">
        <v>0</v>
      </c>
      <c r="S118">
        <v>4</v>
      </c>
      <c r="T118">
        <v>0</v>
      </c>
      <c r="U118">
        <v>2</v>
      </c>
      <c r="V118">
        <v>3</v>
      </c>
      <c r="W118">
        <v>34</v>
      </c>
      <c r="X118">
        <v>617</v>
      </c>
      <c r="Y118">
        <v>10022</v>
      </c>
      <c r="Z118">
        <v>4171</v>
      </c>
      <c r="AA118">
        <v>3</v>
      </c>
      <c r="AB118">
        <v>37763</v>
      </c>
      <c r="AC118" s="10">
        <v>42928</v>
      </c>
      <c r="AD118" s="10">
        <v>44004</v>
      </c>
      <c r="AE118" t="s">
        <v>44</v>
      </c>
      <c r="AF118" t="s">
        <v>45</v>
      </c>
    </row>
    <row r="119" spans="1:32" x14ac:dyDescent="0.25">
      <c r="A119">
        <v>1167</v>
      </c>
      <c r="B119">
        <v>42</v>
      </c>
      <c r="C119" t="s">
        <v>32</v>
      </c>
      <c r="D119" t="s">
        <v>46</v>
      </c>
      <c r="E119" t="s">
        <v>34</v>
      </c>
      <c r="F119" t="s">
        <v>35</v>
      </c>
      <c r="G119" t="s">
        <v>59</v>
      </c>
      <c r="H119" t="s">
        <v>47</v>
      </c>
      <c r="I119" t="s">
        <v>50</v>
      </c>
      <c r="J119" t="s">
        <v>62</v>
      </c>
      <c r="K119">
        <v>4</v>
      </c>
      <c r="L119">
        <v>4</v>
      </c>
      <c r="M119" t="s">
        <v>60</v>
      </c>
      <c r="N119" t="s">
        <v>61</v>
      </c>
      <c r="O119" t="s">
        <v>36</v>
      </c>
      <c r="P119" t="s">
        <v>43</v>
      </c>
      <c r="Q119">
        <v>12</v>
      </c>
      <c r="R119">
        <v>1</v>
      </c>
      <c r="S119">
        <v>8</v>
      </c>
      <c r="T119">
        <v>5</v>
      </c>
      <c r="U119">
        <v>5</v>
      </c>
      <c r="V119">
        <v>23</v>
      </c>
      <c r="W119">
        <v>94</v>
      </c>
      <c r="X119">
        <v>147</v>
      </c>
      <c r="Y119">
        <v>3465</v>
      </c>
      <c r="Z119">
        <v>10312</v>
      </c>
      <c r="AA119">
        <v>3</v>
      </c>
      <c r="AB119">
        <v>29654</v>
      </c>
      <c r="AC119" s="10">
        <v>42205</v>
      </c>
      <c r="AD119" s="10">
        <v>44006</v>
      </c>
      <c r="AE119" t="s">
        <v>44</v>
      </c>
      <c r="AF119" t="s">
        <v>45</v>
      </c>
    </row>
    <row r="120" spans="1:32" x14ac:dyDescent="0.25">
      <c r="A120">
        <v>1331</v>
      </c>
      <c r="B120">
        <v>31</v>
      </c>
      <c r="C120" t="s">
        <v>32</v>
      </c>
      <c r="D120" t="s">
        <v>46</v>
      </c>
      <c r="E120" t="s">
        <v>34</v>
      </c>
      <c r="F120" t="s">
        <v>67</v>
      </c>
      <c r="G120" t="s">
        <v>50</v>
      </c>
      <c r="H120" t="s">
        <v>37</v>
      </c>
      <c r="I120" t="s">
        <v>38</v>
      </c>
      <c r="J120" t="s">
        <v>51</v>
      </c>
      <c r="K120">
        <v>1</v>
      </c>
      <c r="L120">
        <v>3</v>
      </c>
      <c r="M120" t="s">
        <v>60</v>
      </c>
      <c r="N120" t="s">
        <v>41</v>
      </c>
      <c r="O120" t="s">
        <v>42</v>
      </c>
      <c r="P120" t="s">
        <v>43</v>
      </c>
      <c r="Q120">
        <v>11</v>
      </c>
      <c r="R120">
        <v>7</v>
      </c>
      <c r="S120">
        <v>8</v>
      </c>
      <c r="T120">
        <v>0</v>
      </c>
      <c r="U120">
        <v>0</v>
      </c>
      <c r="V120">
        <v>2</v>
      </c>
      <c r="W120">
        <v>38</v>
      </c>
      <c r="X120">
        <v>289</v>
      </c>
      <c r="Y120">
        <v>5355</v>
      </c>
      <c r="Z120">
        <v>2561</v>
      </c>
      <c r="AA120">
        <v>2</v>
      </c>
      <c r="AB120">
        <v>33685</v>
      </c>
      <c r="AC120" s="10">
        <v>43892</v>
      </c>
      <c r="AD120" s="10">
        <v>44008</v>
      </c>
      <c r="AE120" t="s">
        <v>54</v>
      </c>
      <c r="AF120" t="s">
        <v>45</v>
      </c>
    </row>
    <row r="121" spans="1:32" x14ac:dyDescent="0.25">
      <c r="A121">
        <v>1333</v>
      </c>
      <c r="B121">
        <v>44</v>
      </c>
      <c r="C121" t="s">
        <v>32</v>
      </c>
      <c r="D121" t="s">
        <v>33</v>
      </c>
      <c r="E121" t="s">
        <v>34</v>
      </c>
      <c r="F121" t="s">
        <v>49</v>
      </c>
      <c r="G121" t="s">
        <v>59</v>
      </c>
      <c r="H121" t="s">
        <v>37</v>
      </c>
      <c r="I121" t="s">
        <v>50</v>
      </c>
      <c r="J121" t="s">
        <v>51</v>
      </c>
      <c r="K121">
        <v>1</v>
      </c>
      <c r="L121">
        <v>4</v>
      </c>
      <c r="M121" t="s">
        <v>40</v>
      </c>
      <c r="N121" t="s">
        <v>61</v>
      </c>
      <c r="O121" t="s">
        <v>42</v>
      </c>
      <c r="P121" t="s">
        <v>32</v>
      </c>
      <c r="Q121">
        <v>21</v>
      </c>
      <c r="R121">
        <v>7</v>
      </c>
      <c r="S121">
        <v>8</v>
      </c>
      <c r="T121">
        <v>1</v>
      </c>
      <c r="U121">
        <v>1</v>
      </c>
      <c r="V121">
        <v>6</v>
      </c>
      <c r="W121">
        <v>70</v>
      </c>
      <c r="X121">
        <v>1122</v>
      </c>
      <c r="Y121">
        <v>4303</v>
      </c>
      <c r="Z121">
        <v>2404</v>
      </c>
      <c r="AA121">
        <v>2</v>
      </c>
      <c r="AB121">
        <v>28788</v>
      </c>
      <c r="AC121" s="10">
        <v>43564</v>
      </c>
      <c r="AD121" s="10">
        <v>44009</v>
      </c>
      <c r="AE121" t="s">
        <v>44</v>
      </c>
      <c r="AF121" t="s">
        <v>45</v>
      </c>
    </row>
    <row r="122" spans="1:32" x14ac:dyDescent="0.25">
      <c r="A122">
        <v>1156</v>
      </c>
      <c r="B122">
        <v>18</v>
      </c>
      <c r="C122" t="s">
        <v>32</v>
      </c>
      <c r="D122" t="s">
        <v>63</v>
      </c>
      <c r="E122" t="s">
        <v>56</v>
      </c>
      <c r="F122" t="s">
        <v>35</v>
      </c>
      <c r="G122" t="s">
        <v>36</v>
      </c>
      <c r="H122" t="s">
        <v>37</v>
      </c>
      <c r="I122" t="s">
        <v>59</v>
      </c>
      <c r="J122" t="s">
        <v>57</v>
      </c>
      <c r="K122">
        <v>3</v>
      </c>
      <c r="L122">
        <v>3</v>
      </c>
      <c r="M122" t="s">
        <v>60</v>
      </c>
      <c r="N122" t="s">
        <v>41</v>
      </c>
      <c r="O122" t="s">
        <v>42</v>
      </c>
      <c r="P122" t="s">
        <v>32</v>
      </c>
      <c r="Q122">
        <v>17</v>
      </c>
      <c r="R122">
        <v>6</v>
      </c>
      <c r="S122">
        <v>24</v>
      </c>
      <c r="T122">
        <v>3</v>
      </c>
      <c r="U122">
        <v>8</v>
      </c>
      <c r="V122">
        <v>13</v>
      </c>
      <c r="W122">
        <v>85</v>
      </c>
      <c r="X122">
        <v>267</v>
      </c>
      <c r="Y122">
        <v>9277</v>
      </c>
      <c r="Z122">
        <v>13695</v>
      </c>
      <c r="AA122">
        <v>2</v>
      </c>
      <c r="AB122">
        <v>38467</v>
      </c>
      <c r="AC122" s="10">
        <v>37101</v>
      </c>
      <c r="AD122" s="10">
        <v>44012</v>
      </c>
      <c r="AE122" t="s">
        <v>44</v>
      </c>
      <c r="AF122" t="s">
        <v>45</v>
      </c>
    </row>
    <row r="123" spans="1:32" x14ac:dyDescent="0.25">
      <c r="A123">
        <v>1372</v>
      </c>
      <c r="B123">
        <v>55</v>
      </c>
      <c r="C123" t="s">
        <v>32</v>
      </c>
      <c r="D123" t="s">
        <v>33</v>
      </c>
      <c r="E123" t="s">
        <v>34</v>
      </c>
      <c r="F123" t="s">
        <v>35</v>
      </c>
      <c r="G123" t="s">
        <v>50</v>
      </c>
      <c r="H123" t="s">
        <v>37</v>
      </c>
      <c r="I123" t="s">
        <v>50</v>
      </c>
      <c r="J123" t="s">
        <v>51</v>
      </c>
      <c r="K123">
        <v>3</v>
      </c>
      <c r="L123">
        <v>3</v>
      </c>
      <c r="M123" t="s">
        <v>60</v>
      </c>
      <c r="N123" t="s">
        <v>41</v>
      </c>
      <c r="O123" t="s">
        <v>42</v>
      </c>
      <c r="P123" t="s">
        <v>32</v>
      </c>
      <c r="Q123">
        <v>13</v>
      </c>
      <c r="R123">
        <v>1</v>
      </c>
      <c r="S123">
        <v>2</v>
      </c>
      <c r="T123">
        <v>2</v>
      </c>
      <c r="U123">
        <v>2</v>
      </c>
      <c r="V123">
        <v>5</v>
      </c>
      <c r="W123">
        <v>50</v>
      </c>
      <c r="X123">
        <v>1434</v>
      </c>
      <c r="Y123">
        <v>11179</v>
      </c>
      <c r="Z123">
        <v>3441</v>
      </c>
      <c r="AA123">
        <v>3</v>
      </c>
      <c r="AB123">
        <v>24701</v>
      </c>
      <c r="AC123" s="10">
        <v>43379</v>
      </c>
      <c r="AD123" s="10">
        <v>44044</v>
      </c>
      <c r="AE123" t="s">
        <v>54</v>
      </c>
      <c r="AF123" t="s">
        <v>55</v>
      </c>
    </row>
    <row r="124" spans="1:32" x14ac:dyDescent="0.25">
      <c r="A124">
        <v>1405</v>
      </c>
      <c r="B124">
        <v>27</v>
      </c>
      <c r="C124" t="s">
        <v>32</v>
      </c>
      <c r="D124" t="s">
        <v>33</v>
      </c>
      <c r="E124" t="s">
        <v>56</v>
      </c>
      <c r="F124" t="s">
        <v>49</v>
      </c>
      <c r="G124" t="s">
        <v>36</v>
      </c>
      <c r="H124" t="s">
        <v>47</v>
      </c>
      <c r="I124" t="s">
        <v>50</v>
      </c>
      <c r="J124" t="s">
        <v>57</v>
      </c>
      <c r="K124">
        <v>1</v>
      </c>
      <c r="L124">
        <v>4</v>
      </c>
      <c r="M124" t="s">
        <v>60</v>
      </c>
      <c r="N124" t="s">
        <v>41</v>
      </c>
      <c r="O124" t="s">
        <v>42</v>
      </c>
      <c r="P124" t="s">
        <v>32</v>
      </c>
      <c r="Q124">
        <v>20</v>
      </c>
      <c r="R124">
        <v>2</v>
      </c>
      <c r="S124">
        <v>11</v>
      </c>
      <c r="T124">
        <v>0</v>
      </c>
      <c r="U124">
        <v>0</v>
      </c>
      <c r="V124">
        <v>16</v>
      </c>
      <c r="W124">
        <v>74</v>
      </c>
      <c r="X124">
        <v>211</v>
      </c>
      <c r="Y124">
        <v>10092</v>
      </c>
      <c r="Z124">
        <v>8564</v>
      </c>
      <c r="AA124">
        <v>2</v>
      </c>
      <c r="AB124">
        <v>35062</v>
      </c>
      <c r="AC124" s="10">
        <v>43432</v>
      </c>
      <c r="AD124" s="10">
        <v>44057</v>
      </c>
      <c r="AE124" t="s">
        <v>44</v>
      </c>
      <c r="AF124" t="s">
        <v>45</v>
      </c>
    </row>
    <row r="125" spans="1:32" x14ac:dyDescent="0.25">
      <c r="A125">
        <v>1467</v>
      </c>
      <c r="B125">
        <v>34</v>
      </c>
      <c r="C125" t="s">
        <v>32</v>
      </c>
      <c r="D125" t="s">
        <v>33</v>
      </c>
      <c r="E125" t="s">
        <v>34</v>
      </c>
      <c r="F125" t="s">
        <v>67</v>
      </c>
      <c r="G125" t="s">
        <v>59</v>
      </c>
      <c r="H125" t="s">
        <v>47</v>
      </c>
      <c r="I125" t="s">
        <v>50</v>
      </c>
      <c r="J125" t="s">
        <v>62</v>
      </c>
      <c r="K125">
        <v>2</v>
      </c>
      <c r="L125">
        <v>4</v>
      </c>
      <c r="M125" t="s">
        <v>58</v>
      </c>
      <c r="N125" t="s">
        <v>61</v>
      </c>
      <c r="O125" t="s">
        <v>36</v>
      </c>
      <c r="P125" t="s">
        <v>43</v>
      </c>
      <c r="Q125">
        <v>22</v>
      </c>
      <c r="R125">
        <v>4</v>
      </c>
      <c r="S125">
        <v>13</v>
      </c>
      <c r="T125">
        <v>3</v>
      </c>
      <c r="U125">
        <v>7</v>
      </c>
      <c r="V125">
        <v>21</v>
      </c>
      <c r="W125">
        <v>66</v>
      </c>
      <c r="X125">
        <v>261</v>
      </c>
      <c r="Y125">
        <v>10842</v>
      </c>
      <c r="Z125">
        <v>8926</v>
      </c>
      <c r="AA125">
        <v>2</v>
      </c>
      <c r="AB125">
        <v>32417</v>
      </c>
      <c r="AC125" s="10">
        <v>41108</v>
      </c>
      <c r="AD125" s="10">
        <v>44102</v>
      </c>
      <c r="AE125" t="s">
        <v>44</v>
      </c>
      <c r="AF125" t="s">
        <v>45</v>
      </c>
    </row>
    <row r="126" spans="1:32" x14ac:dyDescent="0.25">
      <c r="A126">
        <v>1486</v>
      </c>
      <c r="B126">
        <v>28</v>
      </c>
      <c r="C126" t="s">
        <v>32</v>
      </c>
      <c r="D126" t="s">
        <v>46</v>
      </c>
      <c r="E126" t="s">
        <v>56</v>
      </c>
      <c r="F126" t="s">
        <v>67</v>
      </c>
      <c r="G126" t="s">
        <v>59</v>
      </c>
      <c r="H126" t="s">
        <v>47</v>
      </c>
      <c r="I126" t="s">
        <v>50</v>
      </c>
      <c r="J126" t="s">
        <v>57</v>
      </c>
      <c r="K126">
        <v>3</v>
      </c>
      <c r="L126">
        <v>3</v>
      </c>
      <c r="M126" t="s">
        <v>48</v>
      </c>
      <c r="N126" t="s">
        <v>41</v>
      </c>
      <c r="O126" t="s">
        <v>42</v>
      </c>
      <c r="P126" t="s">
        <v>32</v>
      </c>
      <c r="Q126">
        <v>11</v>
      </c>
      <c r="R126">
        <v>3</v>
      </c>
      <c r="S126">
        <v>6</v>
      </c>
      <c r="T126">
        <v>1</v>
      </c>
      <c r="U126">
        <v>1</v>
      </c>
      <c r="V126">
        <v>13</v>
      </c>
      <c r="W126">
        <v>84</v>
      </c>
      <c r="X126">
        <v>1475</v>
      </c>
      <c r="Y126">
        <v>23352</v>
      </c>
      <c r="Z126">
        <v>9854</v>
      </c>
      <c r="AA126">
        <v>0</v>
      </c>
      <c r="AB126">
        <v>34681</v>
      </c>
      <c r="AC126" s="10">
        <v>43619</v>
      </c>
      <c r="AD126" s="10">
        <v>44106</v>
      </c>
      <c r="AE126" t="s">
        <v>44</v>
      </c>
      <c r="AF126" t="s">
        <v>45</v>
      </c>
    </row>
    <row r="127" spans="1:32" x14ac:dyDescent="0.25">
      <c r="A127">
        <v>1504</v>
      </c>
      <c r="B127">
        <v>28</v>
      </c>
      <c r="C127" t="s">
        <v>32</v>
      </c>
      <c r="D127" t="s">
        <v>46</v>
      </c>
      <c r="E127" t="s">
        <v>56</v>
      </c>
      <c r="F127" t="s">
        <v>67</v>
      </c>
      <c r="G127" t="s">
        <v>36</v>
      </c>
      <c r="H127" t="s">
        <v>47</v>
      </c>
      <c r="I127" t="s">
        <v>50</v>
      </c>
      <c r="J127" t="s">
        <v>57</v>
      </c>
      <c r="K127">
        <v>3</v>
      </c>
      <c r="L127">
        <v>1</v>
      </c>
      <c r="M127" t="s">
        <v>48</v>
      </c>
      <c r="N127" t="s">
        <v>41</v>
      </c>
      <c r="O127" t="s">
        <v>42</v>
      </c>
      <c r="P127" t="s">
        <v>43</v>
      </c>
      <c r="Q127">
        <v>14</v>
      </c>
      <c r="R127">
        <v>9</v>
      </c>
      <c r="S127">
        <v>4</v>
      </c>
      <c r="T127">
        <v>2</v>
      </c>
      <c r="U127">
        <v>0</v>
      </c>
      <c r="V127">
        <v>3</v>
      </c>
      <c r="W127">
        <v>65</v>
      </c>
      <c r="X127">
        <v>693</v>
      </c>
      <c r="Y127">
        <v>24785</v>
      </c>
      <c r="Z127">
        <v>4577</v>
      </c>
      <c r="AA127">
        <v>3</v>
      </c>
      <c r="AB127">
        <v>34614</v>
      </c>
      <c r="AC127" s="10">
        <v>43510</v>
      </c>
      <c r="AD127" s="10">
        <v>44109</v>
      </c>
      <c r="AE127" t="s">
        <v>54</v>
      </c>
      <c r="AF127" t="s">
        <v>55</v>
      </c>
    </row>
    <row r="128" spans="1:32" x14ac:dyDescent="0.25">
      <c r="A128">
        <v>1562</v>
      </c>
      <c r="B128">
        <v>30</v>
      </c>
      <c r="C128" t="s">
        <v>32</v>
      </c>
      <c r="D128" t="s">
        <v>33</v>
      </c>
      <c r="E128" t="s">
        <v>34</v>
      </c>
      <c r="F128" t="s">
        <v>35</v>
      </c>
      <c r="G128" t="s">
        <v>36</v>
      </c>
      <c r="H128" t="s">
        <v>37</v>
      </c>
      <c r="I128" t="s">
        <v>50</v>
      </c>
      <c r="J128" t="s">
        <v>39</v>
      </c>
      <c r="K128">
        <v>4</v>
      </c>
      <c r="L128">
        <v>2</v>
      </c>
      <c r="M128" t="s">
        <v>58</v>
      </c>
      <c r="N128" t="s">
        <v>61</v>
      </c>
      <c r="O128" t="s">
        <v>50</v>
      </c>
      <c r="P128" t="s">
        <v>32</v>
      </c>
      <c r="Q128">
        <v>14</v>
      </c>
      <c r="R128">
        <v>9</v>
      </c>
      <c r="S128">
        <v>4</v>
      </c>
      <c r="T128">
        <v>1</v>
      </c>
      <c r="U128">
        <v>1</v>
      </c>
      <c r="V128">
        <v>1</v>
      </c>
      <c r="W128">
        <v>36</v>
      </c>
      <c r="X128">
        <v>1092</v>
      </c>
      <c r="Y128">
        <v>26124</v>
      </c>
      <c r="Z128">
        <v>4787</v>
      </c>
      <c r="AA128">
        <v>3</v>
      </c>
      <c r="AB128">
        <v>33973</v>
      </c>
      <c r="AC128" s="10">
        <v>43586</v>
      </c>
      <c r="AD128" s="10">
        <v>44109</v>
      </c>
      <c r="AE128" t="s">
        <v>54</v>
      </c>
      <c r="AF128" t="s">
        <v>45</v>
      </c>
    </row>
    <row r="129" spans="1:32" x14ac:dyDescent="0.25">
      <c r="A129">
        <v>1624</v>
      </c>
      <c r="B129">
        <v>18</v>
      </c>
      <c r="C129" t="s">
        <v>32</v>
      </c>
      <c r="D129" t="s">
        <v>46</v>
      </c>
      <c r="E129" t="s">
        <v>34</v>
      </c>
      <c r="F129" t="s">
        <v>35</v>
      </c>
      <c r="G129" t="s">
        <v>36</v>
      </c>
      <c r="H129" t="s">
        <v>37</v>
      </c>
      <c r="I129" t="s">
        <v>50</v>
      </c>
      <c r="J129" t="s">
        <v>69</v>
      </c>
      <c r="K129">
        <v>2</v>
      </c>
      <c r="L129">
        <v>2</v>
      </c>
      <c r="M129" t="s">
        <v>60</v>
      </c>
      <c r="N129" t="s">
        <v>61</v>
      </c>
      <c r="O129" t="s">
        <v>36</v>
      </c>
      <c r="P129" t="s">
        <v>32</v>
      </c>
      <c r="Q129">
        <v>12</v>
      </c>
      <c r="R129">
        <v>1</v>
      </c>
      <c r="S129">
        <v>10</v>
      </c>
      <c r="T129">
        <v>9</v>
      </c>
      <c r="U129">
        <v>9</v>
      </c>
      <c r="V129">
        <v>29</v>
      </c>
      <c r="W129">
        <v>88</v>
      </c>
      <c r="X129">
        <v>666</v>
      </c>
      <c r="Y129">
        <v>10268</v>
      </c>
      <c r="Z129">
        <v>11849</v>
      </c>
      <c r="AA129">
        <v>2</v>
      </c>
      <c r="AB129">
        <v>38506</v>
      </c>
      <c r="AC129" s="10">
        <v>40679</v>
      </c>
      <c r="AD129" s="10">
        <v>44126</v>
      </c>
      <c r="AE129" t="s">
        <v>44</v>
      </c>
      <c r="AF129" t="s">
        <v>45</v>
      </c>
    </row>
    <row r="130" spans="1:32" x14ac:dyDescent="0.25">
      <c r="A130">
        <v>1649</v>
      </c>
      <c r="B130">
        <v>40</v>
      </c>
      <c r="C130" t="s">
        <v>32</v>
      </c>
      <c r="D130" t="s">
        <v>33</v>
      </c>
      <c r="E130" t="s">
        <v>68</v>
      </c>
      <c r="F130" t="s">
        <v>35</v>
      </c>
      <c r="G130" t="s">
        <v>36</v>
      </c>
      <c r="H130" t="s">
        <v>47</v>
      </c>
      <c r="I130" t="s">
        <v>50</v>
      </c>
      <c r="J130" t="s">
        <v>68</v>
      </c>
      <c r="K130">
        <v>3</v>
      </c>
      <c r="L130">
        <v>2</v>
      </c>
      <c r="M130" t="s">
        <v>48</v>
      </c>
      <c r="N130" t="s">
        <v>61</v>
      </c>
      <c r="O130" t="s">
        <v>42</v>
      </c>
      <c r="P130" t="s">
        <v>43</v>
      </c>
      <c r="Q130">
        <v>15</v>
      </c>
      <c r="R130">
        <v>1</v>
      </c>
      <c r="S130">
        <v>2</v>
      </c>
      <c r="T130">
        <v>2</v>
      </c>
      <c r="U130">
        <v>2</v>
      </c>
      <c r="V130">
        <v>9</v>
      </c>
      <c r="W130">
        <v>52</v>
      </c>
      <c r="X130">
        <v>1107</v>
      </c>
      <c r="Y130">
        <v>3072</v>
      </c>
      <c r="Z130">
        <v>2742</v>
      </c>
      <c r="AA130">
        <v>0</v>
      </c>
      <c r="AB130">
        <v>30463</v>
      </c>
      <c r="AC130" s="10">
        <v>43405</v>
      </c>
      <c r="AD130" s="10">
        <v>44127</v>
      </c>
      <c r="AE130" t="s">
        <v>44</v>
      </c>
      <c r="AF130" t="s">
        <v>45</v>
      </c>
    </row>
    <row r="131" spans="1:32" x14ac:dyDescent="0.25">
      <c r="A131">
        <v>1421</v>
      </c>
      <c r="B131">
        <v>29</v>
      </c>
      <c r="C131" t="s">
        <v>32</v>
      </c>
      <c r="D131" t="s">
        <v>46</v>
      </c>
      <c r="E131" t="s">
        <v>68</v>
      </c>
      <c r="F131" t="s">
        <v>49</v>
      </c>
      <c r="G131" t="s">
        <v>36</v>
      </c>
      <c r="H131" t="s">
        <v>37</v>
      </c>
      <c r="I131" t="s">
        <v>38</v>
      </c>
      <c r="J131" t="s">
        <v>68</v>
      </c>
      <c r="K131">
        <v>1</v>
      </c>
      <c r="L131">
        <v>3</v>
      </c>
      <c r="M131" t="s">
        <v>48</v>
      </c>
      <c r="N131" t="s">
        <v>52</v>
      </c>
      <c r="O131" t="s">
        <v>50</v>
      </c>
      <c r="P131" t="s">
        <v>32</v>
      </c>
      <c r="Q131">
        <v>15</v>
      </c>
      <c r="R131">
        <v>4</v>
      </c>
      <c r="S131">
        <v>4</v>
      </c>
      <c r="T131">
        <v>1</v>
      </c>
      <c r="U131">
        <v>0</v>
      </c>
      <c r="V131">
        <v>13</v>
      </c>
      <c r="W131">
        <v>56</v>
      </c>
      <c r="X131">
        <v>350</v>
      </c>
      <c r="Y131">
        <v>3157</v>
      </c>
      <c r="Z131">
        <v>2335</v>
      </c>
      <c r="AA131">
        <v>3</v>
      </c>
      <c r="AB131">
        <v>34529</v>
      </c>
      <c r="AC131" s="10">
        <v>43699</v>
      </c>
      <c r="AD131" s="10">
        <v>44135</v>
      </c>
      <c r="AE131" t="s">
        <v>44</v>
      </c>
      <c r="AF131" t="s">
        <v>55</v>
      </c>
    </row>
    <row r="132" spans="1:32" x14ac:dyDescent="0.25">
      <c r="A132">
        <v>1702</v>
      </c>
      <c r="B132">
        <v>23</v>
      </c>
      <c r="C132" t="s">
        <v>32</v>
      </c>
      <c r="D132" t="s">
        <v>33</v>
      </c>
      <c r="E132" t="s">
        <v>56</v>
      </c>
      <c r="F132" t="s">
        <v>67</v>
      </c>
      <c r="G132" t="s">
        <v>59</v>
      </c>
      <c r="H132" t="s">
        <v>47</v>
      </c>
      <c r="I132" t="s">
        <v>36</v>
      </c>
      <c r="J132" t="s">
        <v>66</v>
      </c>
      <c r="K132">
        <v>3</v>
      </c>
      <c r="L132">
        <v>2</v>
      </c>
      <c r="M132" t="s">
        <v>60</v>
      </c>
      <c r="N132" t="s">
        <v>52</v>
      </c>
      <c r="O132" t="s">
        <v>36</v>
      </c>
      <c r="P132" t="s">
        <v>43</v>
      </c>
      <c r="Q132">
        <v>16</v>
      </c>
      <c r="R132">
        <v>0</v>
      </c>
      <c r="S132">
        <v>3</v>
      </c>
      <c r="T132">
        <v>1</v>
      </c>
      <c r="U132">
        <v>0</v>
      </c>
      <c r="V132">
        <v>6</v>
      </c>
      <c r="W132">
        <v>33</v>
      </c>
      <c r="X132">
        <v>296</v>
      </c>
      <c r="Y132">
        <v>12253</v>
      </c>
      <c r="Z132">
        <v>2351</v>
      </c>
      <c r="AA132">
        <v>3</v>
      </c>
      <c r="AB132">
        <v>36687</v>
      </c>
      <c r="AC132" s="10">
        <v>43529</v>
      </c>
      <c r="AD132" s="10">
        <v>44135</v>
      </c>
      <c r="AE132" t="s">
        <v>44</v>
      </c>
      <c r="AF132" t="s">
        <v>55</v>
      </c>
    </row>
    <row r="133" spans="1:32" x14ac:dyDescent="0.25">
      <c r="A133">
        <v>1734</v>
      </c>
      <c r="B133">
        <v>32</v>
      </c>
      <c r="C133" t="s">
        <v>32</v>
      </c>
      <c r="D133" t="s">
        <v>33</v>
      </c>
      <c r="E133" t="s">
        <v>56</v>
      </c>
      <c r="F133" t="s">
        <v>67</v>
      </c>
      <c r="G133" t="s">
        <v>38</v>
      </c>
      <c r="H133" t="s">
        <v>37</v>
      </c>
      <c r="I133" t="s">
        <v>36</v>
      </c>
      <c r="J133" t="s">
        <v>57</v>
      </c>
      <c r="K133">
        <v>1</v>
      </c>
      <c r="L133">
        <v>3</v>
      </c>
      <c r="M133" t="s">
        <v>48</v>
      </c>
      <c r="N133" t="s">
        <v>41</v>
      </c>
      <c r="O133" t="s">
        <v>42</v>
      </c>
      <c r="P133" t="s">
        <v>43</v>
      </c>
      <c r="Q133">
        <v>18</v>
      </c>
      <c r="R133">
        <v>8</v>
      </c>
      <c r="S133">
        <v>7</v>
      </c>
      <c r="T133">
        <v>1</v>
      </c>
      <c r="U133">
        <v>1</v>
      </c>
      <c r="V133">
        <v>29</v>
      </c>
      <c r="W133">
        <v>79</v>
      </c>
      <c r="X133">
        <v>265</v>
      </c>
      <c r="Y133">
        <v>21813</v>
      </c>
      <c r="Z133">
        <v>4969</v>
      </c>
      <c r="AA133">
        <v>6</v>
      </c>
      <c r="AB133">
        <v>33245</v>
      </c>
      <c r="AC133" s="10">
        <v>43630</v>
      </c>
      <c r="AD133" s="10">
        <v>44140</v>
      </c>
      <c r="AE133" t="s">
        <v>44</v>
      </c>
      <c r="AF133" t="s">
        <v>55</v>
      </c>
    </row>
    <row r="134" spans="1:32" x14ac:dyDescent="0.25">
      <c r="A134">
        <v>1758</v>
      </c>
      <c r="B134">
        <v>33</v>
      </c>
      <c r="C134" t="s">
        <v>32</v>
      </c>
      <c r="D134" t="s">
        <v>33</v>
      </c>
      <c r="E134" t="s">
        <v>34</v>
      </c>
      <c r="F134" t="s">
        <v>49</v>
      </c>
      <c r="G134" t="s">
        <v>36</v>
      </c>
      <c r="H134" t="s">
        <v>37</v>
      </c>
      <c r="I134" t="s">
        <v>50</v>
      </c>
      <c r="J134" t="s">
        <v>51</v>
      </c>
      <c r="K134">
        <v>1</v>
      </c>
      <c r="L134">
        <v>1</v>
      </c>
      <c r="M134" t="s">
        <v>40</v>
      </c>
      <c r="N134" t="s">
        <v>41</v>
      </c>
      <c r="O134" t="s">
        <v>42</v>
      </c>
      <c r="P134" t="s">
        <v>32</v>
      </c>
      <c r="Q134">
        <v>14</v>
      </c>
      <c r="R134">
        <v>3</v>
      </c>
      <c r="S134">
        <v>10</v>
      </c>
      <c r="T134">
        <v>0</v>
      </c>
      <c r="U134">
        <v>3</v>
      </c>
      <c r="V134">
        <v>7</v>
      </c>
      <c r="W134">
        <v>73</v>
      </c>
      <c r="X134">
        <v>1329</v>
      </c>
      <c r="Y134">
        <v>3339</v>
      </c>
      <c r="Z134">
        <v>2166</v>
      </c>
      <c r="AA134">
        <v>3</v>
      </c>
      <c r="AB134">
        <v>33078</v>
      </c>
      <c r="AC134" s="10">
        <v>42959</v>
      </c>
      <c r="AD134" s="10">
        <v>44155</v>
      </c>
      <c r="AE134" t="s">
        <v>44</v>
      </c>
      <c r="AF134" t="s">
        <v>55</v>
      </c>
    </row>
    <row r="135" spans="1:32" x14ac:dyDescent="0.25">
      <c r="A135">
        <v>1844</v>
      </c>
      <c r="B135">
        <v>29</v>
      </c>
      <c r="C135" t="s">
        <v>32</v>
      </c>
      <c r="D135" t="s">
        <v>33</v>
      </c>
      <c r="E135" t="s">
        <v>34</v>
      </c>
      <c r="F135" t="s">
        <v>64</v>
      </c>
      <c r="G135" t="s">
        <v>50</v>
      </c>
      <c r="H135" t="s">
        <v>47</v>
      </c>
      <c r="I135" t="s">
        <v>50</v>
      </c>
      <c r="J135" t="s">
        <v>62</v>
      </c>
      <c r="K135">
        <v>4</v>
      </c>
      <c r="L135">
        <v>3</v>
      </c>
      <c r="M135" t="s">
        <v>48</v>
      </c>
      <c r="N135" t="s">
        <v>41</v>
      </c>
      <c r="O135" t="s">
        <v>42</v>
      </c>
      <c r="P135" t="s">
        <v>32</v>
      </c>
      <c r="Q135">
        <v>12</v>
      </c>
      <c r="R135">
        <v>0</v>
      </c>
      <c r="S135">
        <v>9</v>
      </c>
      <c r="T135">
        <v>7</v>
      </c>
      <c r="U135">
        <v>7</v>
      </c>
      <c r="V135">
        <v>14</v>
      </c>
      <c r="W135">
        <v>84</v>
      </c>
      <c r="X135">
        <v>337</v>
      </c>
      <c r="Y135">
        <v>22930</v>
      </c>
      <c r="Z135">
        <v>7553</v>
      </c>
      <c r="AA135">
        <v>1</v>
      </c>
      <c r="AB135">
        <v>34291</v>
      </c>
      <c r="AC135" s="10">
        <v>41274</v>
      </c>
      <c r="AD135" s="10">
        <v>44180</v>
      </c>
      <c r="AE135" t="s">
        <v>44</v>
      </c>
      <c r="AF135" t="s">
        <v>45</v>
      </c>
    </row>
    <row r="136" spans="1:32" x14ac:dyDescent="0.25">
      <c r="A136">
        <v>1821</v>
      </c>
      <c r="B136">
        <v>46</v>
      </c>
      <c r="C136" t="s">
        <v>32</v>
      </c>
      <c r="D136" t="s">
        <v>33</v>
      </c>
      <c r="E136" t="s">
        <v>34</v>
      </c>
      <c r="F136" t="s">
        <v>49</v>
      </c>
      <c r="G136" t="s">
        <v>50</v>
      </c>
      <c r="H136" t="s">
        <v>37</v>
      </c>
      <c r="I136" t="s">
        <v>50</v>
      </c>
      <c r="J136" t="s">
        <v>51</v>
      </c>
      <c r="K136">
        <v>3</v>
      </c>
      <c r="L136">
        <v>2</v>
      </c>
      <c r="M136" t="s">
        <v>60</v>
      </c>
      <c r="N136" t="s">
        <v>61</v>
      </c>
      <c r="O136" t="s">
        <v>36</v>
      </c>
      <c r="P136" t="s">
        <v>43</v>
      </c>
      <c r="Q136">
        <v>12</v>
      </c>
      <c r="R136">
        <v>1</v>
      </c>
      <c r="S136">
        <v>2</v>
      </c>
      <c r="T136">
        <v>1</v>
      </c>
      <c r="U136">
        <v>1</v>
      </c>
      <c r="V136">
        <v>15</v>
      </c>
      <c r="W136">
        <v>72</v>
      </c>
      <c r="X136">
        <v>874</v>
      </c>
      <c r="Y136">
        <v>6233</v>
      </c>
      <c r="Z136">
        <v>2610</v>
      </c>
      <c r="AA136">
        <v>5</v>
      </c>
      <c r="AB136">
        <v>28200</v>
      </c>
      <c r="AC136" s="10">
        <v>43675</v>
      </c>
      <c r="AD136" s="10">
        <v>44180</v>
      </c>
      <c r="AE136" t="s">
        <v>44</v>
      </c>
      <c r="AF136" t="s">
        <v>45</v>
      </c>
    </row>
    <row r="137" spans="1:32" x14ac:dyDescent="0.25">
      <c r="A137">
        <v>1933</v>
      </c>
      <c r="B137">
        <v>28</v>
      </c>
      <c r="C137" t="s">
        <v>32</v>
      </c>
      <c r="D137" t="s">
        <v>33</v>
      </c>
      <c r="E137" t="s">
        <v>34</v>
      </c>
      <c r="F137" t="s">
        <v>35</v>
      </c>
      <c r="G137" t="s">
        <v>59</v>
      </c>
      <c r="H137" t="s">
        <v>47</v>
      </c>
      <c r="I137" t="s">
        <v>50</v>
      </c>
      <c r="J137" t="s">
        <v>39</v>
      </c>
      <c r="K137">
        <v>3</v>
      </c>
      <c r="L137">
        <v>3</v>
      </c>
      <c r="M137" t="s">
        <v>48</v>
      </c>
      <c r="N137" t="s">
        <v>41</v>
      </c>
      <c r="O137" t="s">
        <v>42</v>
      </c>
      <c r="P137" t="s">
        <v>32</v>
      </c>
      <c r="Q137">
        <v>13</v>
      </c>
      <c r="R137">
        <v>1</v>
      </c>
      <c r="S137">
        <v>8</v>
      </c>
      <c r="T137">
        <v>7</v>
      </c>
      <c r="U137">
        <v>7</v>
      </c>
      <c r="V137">
        <v>17</v>
      </c>
      <c r="W137">
        <v>51</v>
      </c>
      <c r="X137">
        <v>135</v>
      </c>
      <c r="Y137">
        <v>25681</v>
      </c>
      <c r="Z137">
        <v>2394</v>
      </c>
      <c r="AA137">
        <v>2</v>
      </c>
      <c r="AB137">
        <v>34666</v>
      </c>
      <c r="AC137" s="10">
        <v>41533</v>
      </c>
      <c r="AD137" s="10">
        <v>44183</v>
      </c>
      <c r="AE137" t="s">
        <v>44</v>
      </c>
      <c r="AF137" t="s">
        <v>45</v>
      </c>
    </row>
    <row r="138" spans="1:32" x14ac:dyDescent="0.25">
      <c r="A138">
        <v>2027</v>
      </c>
      <c r="B138">
        <v>29</v>
      </c>
      <c r="C138" t="s">
        <v>32</v>
      </c>
      <c r="D138" t="s">
        <v>33</v>
      </c>
      <c r="E138" t="s">
        <v>56</v>
      </c>
      <c r="F138" t="s">
        <v>49</v>
      </c>
      <c r="G138" t="s">
        <v>50</v>
      </c>
      <c r="H138" t="s">
        <v>47</v>
      </c>
      <c r="I138" t="s">
        <v>38</v>
      </c>
      <c r="J138" t="s">
        <v>66</v>
      </c>
      <c r="K138">
        <v>3</v>
      </c>
      <c r="L138">
        <v>2</v>
      </c>
      <c r="M138" t="s">
        <v>60</v>
      </c>
      <c r="N138" t="s">
        <v>41</v>
      </c>
      <c r="O138" t="s">
        <v>42</v>
      </c>
      <c r="P138" t="s">
        <v>43</v>
      </c>
      <c r="Q138">
        <v>13</v>
      </c>
      <c r="R138">
        <v>1</v>
      </c>
      <c r="S138">
        <v>2</v>
      </c>
      <c r="T138">
        <v>0</v>
      </c>
      <c r="U138">
        <v>1</v>
      </c>
      <c r="V138">
        <v>2</v>
      </c>
      <c r="W138">
        <v>49</v>
      </c>
      <c r="X138">
        <v>500</v>
      </c>
      <c r="Y138">
        <v>22052</v>
      </c>
      <c r="Z138">
        <v>2044</v>
      </c>
      <c r="AA138">
        <v>3</v>
      </c>
      <c r="AB138">
        <v>34286</v>
      </c>
      <c r="AC138" s="10">
        <v>43801</v>
      </c>
      <c r="AD138" s="10">
        <v>44186</v>
      </c>
      <c r="AE138" t="s">
        <v>44</v>
      </c>
      <c r="AF138" t="s">
        <v>55</v>
      </c>
    </row>
    <row r="139" spans="1:32" x14ac:dyDescent="0.25">
      <c r="A139">
        <v>752</v>
      </c>
      <c r="B139">
        <v>42</v>
      </c>
      <c r="C139" t="s">
        <v>32</v>
      </c>
      <c r="D139" t="s">
        <v>46</v>
      </c>
      <c r="E139" t="s">
        <v>34</v>
      </c>
      <c r="F139" t="s">
        <v>49</v>
      </c>
      <c r="G139" t="s">
        <v>50</v>
      </c>
      <c r="H139" t="s">
        <v>37</v>
      </c>
      <c r="I139" t="s">
        <v>59</v>
      </c>
      <c r="J139" t="s">
        <v>39</v>
      </c>
      <c r="K139">
        <v>3</v>
      </c>
      <c r="L139">
        <v>2</v>
      </c>
      <c r="M139" t="s">
        <v>48</v>
      </c>
      <c r="N139" t="s">
        <v>52</v>
      </c>
      <c r="O139" t="s">
        <v>42</v>
      </c>
      <c r="P139" t="s">
        <v>32</v>
      </c>
      <c r="Q139">
        <v>12</v>
      </c>
      <c r="R139">
        <v>6</v>
      </c>
      <c r="S139">
        <v>7</v>
      </c>
      <c r="T139">
        <v>2</v>
      </c>
      <c r="U139">
        <v>2</v>
      </c>
      <c r="V139">
        <v>19</v>
      </c>
      <c r="W139">
        <v>57</v>
      </c>
      <c r="X139">
        <v>933</v>
      </c>
      <c r="Y139">
        <v>20366</v>
      </c>
      <c r="Z139">
        <v>2759</v>
      </c>
      <c r="AA139">
        <v>2</v>
      </c>
      <c r="AB139">
        <v>29592</v>
      </c>
      <c r="AC139" s="10">
        <v>43478</v>
      </c>
      <c r="AD139" s="10">
        <v>44201</v>
      </c>
      <c r="AE139" t="s">
        <v>44</v>
      </c>
      <c r="AF139" t="s">
        <v>45</v>
      </c>
    </row>
    <row r="140" spans="1:32" x14ac:dyDescent="0.25">
      <c r="A140">
        <v>593</v>
      </c>
      <c r="B140">
        <v>22</v>
      </c>
      <c r="C140" t="s">
        <v>32</v>
      </c>
      <c r="D140" t="s">
        <v>46</v>
      </c>
      <c r="E140" t="s">
        <v>34</v>
      </c>
      <c r="F140" t="s">
        <v>64</v>
      </c>
      <c r="G140" t="s">
        <v>50</v>
      </c>
      <c r="H140" t="s">
        <v>37</v>
      </c>
      <c r="I140" t="s">
        <v>38</v>
      </c>
      <c r="J140" t="s">
        <v>51</v>
      </c>
      <c r="K140">
        <v>3</v>
      </c>
      <c r="L140">
        <v>3</v>
      </c>
      <c r="M140" t="s">
        <v>48</v>
      </c>
      <c r="N140" t="s">
        <v>41</v>
      </c>
      <c r="O140" t="s">
        <v>42</v>
      </c>
      <c r="P140" t="s">
        <v>43</v>
      </c>
      <c r="Q140">
        <v>16</v>
      </c>
      <c r="R140">
        <v>5</v>
      </c>
      <c r="S140">
        <v>4</v>
      </c>
      <c r="T140">
        <v>1</v>
      </c>
      <c r="U140">
        <v>2</v>
      </c>
      <c r="V140">
        <v>4</v>
      </c>
      <c r="W140">
        <v>99</v>
      </c>
      <c r="X140">
        <v>1368</v>
      </c>
      <c r="Y140">
        <v>9129</v>
      </c>
      <c r="Z140">
        <v>3894</v>
      </c>
      <c r="AA140">
        <v>3</v>
      </c>
      <c r="AB140">
        <v>36994</v>
      </c>
      <c r="AC140" s="10">
        <v>43648</v>
      </c>
      <c r="AD140" s="10">
        <v>44204</v>
      </c>
      <c r="AE140" t="s">
        <v>54</v>
      </c>
      <c r="AF140" t="s">
        <v>45</v>
      </c>
    </row>
    <row r="141" spans="1:32" x14ac:dyDescent="0.25">
      <c r="A141">
        <v>1645</v>
      </c>
      <c r="B141">
        <v>35</v>
      </c>
      <c r="C141" t="s">
        <v>32</v>
      </c>
      <c r="D141" t="s">
        <v>33</v>
      </c>
      <c r="E141" t="s">
        <v>56</v>
      </c>
      <c r="F141" t="s">
        <v>67</v>
      </c>
      <c r="G141" t="s">
        <v>36</v>
      </c>
      <c r="H141" t="s">
        <v>37</v>
      </c>
      <c r="I141" t="s">
        <v>36</v>
      </c>
      <c r="J141" t="s">
        <v>57</v>
      </c>
      <c r="K141">
        <v>4</v>
      </c>
      <c r="L141">
        <v>2</v>
      </c>
      <c r="M141" t="s">
        <v>60</v>
      </c>
      <c r="N141" t="s">
        <v>52</v>
      </c>
      <c r="O141" t="s">
        <v>53</v>
      </c>
      <c r="P141" t="s">
        <v>32</v>
      </c>
      <c r="Q141">
        <v>14</v>
      </c>
      <c r="R141">
        <v>6</v>
      </c>
      <c r="S141">
        <v>7</v>
      </c>
      <c r="T141">
        <v>2</v>
      </c>
      <c r="U141">
        <v>2</v>
      </c>
      <c r="V141">
        <v>15</v>
      </c>
      <c r="W141">
        <v>59</v>
      </c>
      <c r="X141">
        <v>763</v>
      </c>
      <c r="Y141">
        <v>22098</v>
      </c>
      <c r="Z141">
        <v>5440</v>
      </c>
      <c r="AA141">
        <v>2</v>
      </c>
      <c r="AB141">
        <v>32114</v>
      </c>
      <c r="AC141" s="10">
        <v>43511</v>
      </c>
      <c r="AD141" s="10">
        <v>44212</v>
      </c>
      <c r="AE141" t="s">
        <v>44</v>
      </c>
      <c r="AF141" t="s">
        <v>45</v>
      </c>
    </row>
    <row r="142" spans="1:32" x14ac:dyDescent="0.25">
      <c r="A142">
        <v>828</v>
      </c>
      <c r="B142">
        <v>28</v>
      </c>
      <c r="C142" t="s">
        <v>32</v>
      </c>
      <c r="D142" t="s">
        <v>33</v>
      </c>
      <c r="E142" t="s">
        <v>34</v>
      </c>
      <c r="F142" t="s">
        <v>35</v>
      </c>
      <c r="G142" t="s">
        <v>50</v>
      </c>
      <c r="H142" t="s">
        <v>37</v>
      </c>
      <c r="I142" t="s">
        <v>50</v>
      </c>
      <c r="J142" t="s">
        <v>39</v>
      </c>
      <c r="K142">
        <v>3</v>
      </c>
      <c r="L142">
        <v>3</v>
      </c>
      <c r="M142" t="s">
        <v>60</v>
      </c>
      <c r="N142" t="s">
        <v>41</v>
      </c>
      <c r="O142" t="s">
        <v>42</v>
      </c>
      <c r="P142" t="s">
        <v>43</v>
      </c>
      <c r="Q142">
        <v>17</v>
      </c>
      <c r="R142">
        <v>6</v>
      </c>
      <c r="S142">
        <v>5</v>
      </c>
      <c r="T142">
        <v>1</v>
      </c>
      <c r="U142">
        <v>1</v>
      </c>
      <c r="V142">
        <v>2</v>
      </c>
      <c r="W142">
        <v>46</v>
      </c>
      <c r="X142">
        <v>890</v>
      </c>
      <c r="Y142">
        <v>16374</v>
      </c>
      <c r="Z142">
        <v>4382</v>
      </c>
      <c r="AA142">
        <v>3</v>
      </c>
      <c r="AB142">
        <v>34682</v>
      </c>
      <c r="AC142" s="10">
        <v>43673</v>
      </c>
      <c r="AD142" s="10">
        <v>44220</v>
      </c>
      <c r="AE142" t="s">
        <v>44</v>
      </c>
      <c r="AF142" t="s">
        <v>45</v>
      </c>
    </row>
    <row r="143" spans="1:32" x14ac:dyDescent="0.25">
      <c r="A143">
        <v>235</v>
      </c>
      <c r="B143">
        <v>19</v>
      </c>
      <c r="C143" t="s">
        <v>32</v>
      </c>
      <c r="D143" t="s">
        <v>46</v>
      </c>
      <c r="E143" t="s">
        <v>56</v>
      </c>
      <c r="F143" t="s">
        <v>64</v>
      </c>
      <c r="G143" t="s">
        <v>50</v>
      </c>
      <c r="H143" t="s">
        <v>47</v>
      </c>
      <c r="I143" t="s">
        <v>36</v>
      </c>
      <c r="J143" t="s">
        <v>66</v>
      </c>
      <c r="K143">
        <v>1</v>
      </c>
      <c r="L143">
        <v>4</v>
      </c>
      <c r="M143" t="s">
        <v>58</v>
      </c>
      <c r="N143" t="s">
        <v>41</v>
      </c>
      <c r="O143" t="s">
        <v>42</v>
      </c>
      <c r="P143" t="s">
        <v>43</v>
      </c>
      <c r="Q143">
        <v>21</v>
      </c>
      <c r="R143">
        <v>0</v>
      </c>
      <c r="S143">
        <v>1</v>
      </c>
      <c r="T143">
        <v>0</v>
      </c>
      <c r="U143">
        <v>0</v>
      </c>
      <c r="V143">
        <v>1</v>
      </c>
      <c r="W143">
        <v>100</v>
      </c>
      <c r="X143">
        <v>602</v>
      </c>
      <c r="Y143">
        <v>20989</v>
      </c>
      <c r="Z143">
        <v>2325</v>
      </c>
      <c r="AA143">
        <v>5</v>
      </c>
      <c r="AB143">
        <v>37919</v>
      </c>
      <c r="AC143" s="10">
        <v>44090</v>
      </c>
      <c r="AD143" s="10">
        <v>44222</v>
      </c>
      <c r="AE143" t="s">
        <v>44</v>
      </c>
      <c r="AF143" t="s">
        <v>45</v>
      </c>
    </row>
    <row r="144" spans="1:32" x14ac:dyDescent="0.25">
      <c r="A144">
        <v>1464</v>
      </c>
      <c r="B144">
        <v>31</v>
      </c>
      <c r="C144" t="s">
        <v>32</v>
      </c>
      <c r="D144" t="s">
        <v>46</v>
      </c>
      <c r="E144" t="s">
        <v>34</v>
      </c>
      <c r="F144" t="s">
        <v>49</v>
      </c>
      <c r="G144" t="s">
        <v>38</v>
      </c>
      <c r="H144" t="s">
        <v>37</v>
      </c>
      <c r="I144" t="s">
        <v>50</v>
      </c>
      <c r="J144" t="s">
        <v>51</v>
      </c>
      <c r="K144">
        <v>4</v>
      </c>
      <c r="L144">
        <v>3</v>
      </c>
      <c r="M144" t="s">
        <v>40</v>
      </c>
      <c r="N144" t="s">
        <v>61</v>
      </c>
      <c r="O144" t="s">
        <v>36</v>
      </c>
      <c r="P144" t="s">
        <v>32</v>
      </c>
      <c r="Q144">
        <v>13</v>
      </c>
      <c r="R144">
        <v>6</v>
      </c>
      <c r="S144">
        <v>7</v>
      </c>
      <c r="T144">
        <v>1</v>
      </c>
      <c r="U144">
        <v>1</v>
      </c>
      <c r="V144">
        <v>2</v>
      </c>
      <c r="W144">
        <v>94</v>
      </c>
      <c r="X144">
        <v>523</v>
      </c>
      <c r="Y144">
        <v>21081</v>
      </c>
      <c r="Z144">
        <v>3722</v>
      </c>
      <c r="AA144">
        <v>2</v>
      </c>
      <c r="AB144">
        <v>33587</v>
      </c>
      <c r="AC144" s="10">
        <v>43714</v>
      </c>
      <c r="AD144" s="10">
        <v>44227</v>
      </c>
      <c r="AE144" t="s">
        <v>44</v>
      </c>
      <c r="AF144" t="s">
        <v>45</v>
      </c>
    </row>
    <row r="145" spans="1:32" x14ac:dyDescent="0.25">
      <c r="A145">
        <v>825</v>
      </c>
      <c r="B145">
        <v>58</v>
      </c>
      <c r="C145" t="s">
        <v>32</v>
      </c>
      <c r="D145" t="s">
        <v>33</v>
      </c>
      <c r="E145" t="s">
        <v>34</v>
      </c>
      <c r="F145" t="s">
        <v>35</v>
      </c>
      <c r="G145" t="s">
        <v>59</v>
      </c>
      <c r="H145" t="s">
        <v>37</v>
      </c>
      <c r="I145" t="s">
        <v>50</v>
      </c>
      <c r="J145" t="s">
        <v>71</v>
      </c>
      <c r="K145">
        <v>2</v>
      </c>
      <c r="L145">
        <v>3</v>
      </c>
      <c r="M145" t="s">
        <v>48</v>
      </c>
      <c r="N145" t="s">
        <v>41</v>
      </c>
      <c r="O145" t="s">
        <v>42</v>
      </c>
      <c r="P145" t="s">
        <v>32</v>
      </c>
      <c r="Q145">
        <v>12</v>
      </c>
      <c r="R145">
        <v>7</v>
      </c>
      <c r="S145">
        <v>40</v>
      </c>
      <c r="T145">
        <v>13</v>
      </c>
      <c r="U145">
        <v>8</v>
      </c>
      <c r="V145">
        <v>2</v>
      </c>
      <c r="W145">
        <v>31</v>
      </c>
      <c r="X145">
        <v>286</v>
      </c>
      <c r="Y145">
        <v>25761</v>
      </c>
      <c r="Z145">
        <v>19246</v>
      </c>
      <c r="AA145">
        <v>2</v>
      </c>
      <c r="AB145">
        <v>23955</v>
      </c>
      <c r="AC145" s="10">
        <v>33047</v>
      </c>
      <c r="AD145" s="10">
        <v>44234</v>
      </c>
      <c r="AE145" t="s">
        <v>54</v>
      </c>
      <c r="AF145" t="s">
        <v>45</v>
      </c>
    </row>
    <row r="146" spans="1:32" x14ac:dyDescent="0.25">
      <c r="A146">
        <v>927</v>
      </c>
      <c r="B146">
        <v>41</v>
      </c>
      <c r="C146" t="s">
        <v>32</v>
      </c>
      <c r="D146" t="s">
        <v>33</v>
      </c>
      <c r="E146" t="s">
        <v>34</v>
      </c>
      <c r="F146" t="s">
        <v>35</v>
      </c>
      <c r="G146" t="s">
        <v>38</v>
      </c>
      <c r="H146" t="s">
        <v>47</v>
      </c>
      <c r="I146" t="s">
        <v>36</v>
      </c>
      <c r="J146" t="s">
        <v>51</v>
      </c>
      <c r="K146">
        <v>4</v>
      </c>
      <c r="L146">
        <v>1</v>
      </c>
      <c r="M146" t="s">
        <v>60</v>
      </c>
      <c r="N146" t="s">
        <v>52</v>
      </c>
      <c r="O146" t="s">
        <v>36</v>
      </c>
      <c r="P146" t="s">
        <v>32</v>
      </c>
      <c r="Q146">
        <v>13</v>
      </c>
      <c r="R146">
        <v>4</v>
      </c>
      <c r="S146">
        <v>10</v>
      </c>
      <c r="T146">
        <v>1</v>
      </c>
      <c r="U146">
        <v>0</v>
      </c>
      <c r="V146">
        <v>2</v>
      </c>
      <c r="W146">
        <v>57</v>
      </c>
      <c r="X146">
        <v>1085</v>
      </c>
      <c r="Y146">
        <v>17725</v>
      </c>
      <c r="Z146">
        <v>2778</v>
      </c>
      <c r="AA146">
        <v>1</v>
      </c>
      <c r="AB146">
        <v>29900</v>
      </c>
      <c r="AC146" s="10">
        <v>41829</v>
      </c>
      <c r="AD146" s="10">
        <v>44245</v>
      </c>
      <c r="AE146" t="s">
        <v>44</v>
      </c>
      <c r="AF146" t="s">
        <v>55</v>
      </c>
    </row>
    <row r="147" spans="1:32" x14ac:dyDescent="0.25">
      <c r="A147">
        <v>1108</v>
      </c>
      <c r="B147">
        <v>33</v>
      </c>
      <c r="C147" t="s">
        <v>32</v>
      </c>
      <c r="D147" t="s">
        <v>33</v>
      </c>
      <c r="E147" t="s">
        <v>34</v>
      </c>
      <c r="F147" t="s">
        <v>49</v>
      </c>
      <c r="G147" t="s">
        <v>36</v>
      </c>
      <c r="H147" t="s">
        <v>37</v>
      </c>
      <c r="I147" t="s">
        <v>38</v>
      </c>
      <c r="J147" t="s">
        <v>39</v>
      </c>
      <c r="K147">
        <v>2</v>
      </c>
      <c r="L147">
        <v>4</v>
      </c>
      <c r="M147" t="s">
        <v>48</v>
      </c>
      <c r="N147" t="s">
        <v>41</v>
      </c>
      <c r="O147" t="s">
        <v>42</v>
      </c>
      <c r="P147" t="s">
        <v>32</v>
      </c>
      <c r="Q147">
        <v>20</v>
      </c>
      <c r="R147">
        <v>4</v>
      </c>
      <c r="S147">
        <v>5</v>
      </c>
      <c r="T147">
        <v>1</v>
      </c>
      <c r="U147">
        <v>1</v>
      </c>
      <c r="V147">
        <v>25</v>
      </c>
      <c r="W147">
        <v>55</v>
      </c>
      <c r="X147">
        <v>1017</v>
      </c>
      <c r="Y147">
        <v>2993</v>
      </c>
      <c r="Z147">
        <v>2313</v>
      </c>
      <c r="AA147">
        <v>0</v>
      </c>
      <c r="AB147">
        <v>32985</v>
      </c>
      <c r="AC147" s="10">
        <v>43742</v>
      </c>
      <c r="AD147" s="10">
        <v>44246</v>
      </c>
      <c r="AE147" t="s">
        <v>44</v>
      </c>
      <c r="AF147" t="s">
        <v>45</v>
      </c>
    </row>
    <row r="148" spans="1:32" x14ac:dyDescent="0.25">
      <c r="A148">
        <v>1077</v>
      </c>
      <c r="B148">
        <v>20</v>
      </c>
      <c r="C148" t="s">
        <v>32</v>
      </c>
      <c r="D148" t="s">
        <v>46</v>
      </c>
      <c r="E148" t="s">
        <v>56</v>
      </c>
      <c r="F148" t="s">
        <v>49</v>
      </c>
      <c r="G148" t="s">
        <v>59</v>
      </c>
      <c r="H148" t="s">
        <v>47</v>
      </c>
      <c r="I148" t="s">
        <v>50</v>
      </c>
      <c r="J148" t="s">
        <v>66</v>
      </c>
      <c r="K148">
        <v>4</v>
      </c>
      <c r="L148">
        <v>3</v>
      </c>
      <c r="M148" t="s">
        <v>48</v>
      </c>
      <c r="N148" t="s">
        <v>41</v>
      </c>
      <c r="O148" t="s">
        <v>42</v>
      </c>
      <c r="P148" t="s">
        <v>32</v>
      </c>
      <c r="Q148">
        <v>14</v>
      </c>
      <c r="R148">
        <v>1</v>
      </c>
      <c r="S148">
        <v>2</v>
      </c>
      <c r="T148">
        <v>0</v>
      </c>
      <c r="U148">
        <v>1</v>
      </c>
      <c r="V148">
        <v>9</v>
      </c>
      <c r="W148">
        <v>54</v>
      </c>
      <c r="X148">
        <v>769</v>
      </c>
      <c r="Y148">
        <v>17205</v>
      </c>
      <c r="Z148">
        <v>2323</v>
      </c>
      <c r="AA148">
        <v>3</v>
      </c>
      <c r="AB148">
        <v>37660</v>
      </c>
      <c r="AC148" s="10">
        <v>43778</v>
      </c>
      <c r="AD148" s="10">
        <v>44248</v>
      </c>
      <c r="AE148" t="s">
        <v>44</v>
      </c>
      <c r="AF148" t="s">
        <v>45</v>
      </c>
    </row>
    <row r="149" spans="1:32" x14ac:dyDescent="0.25">
      <c r="A149">
        <v>1752</v>
      </c>
      <c r="B149">
        <v>29</v>
      </c>
      <c r="C149" t="s">
        <v>32</v>
      </c>
      <c r="D149" t="s">
        <v>33</v>
      </c>
      <c r="E149" t="s">
        <v>56</v>
      </c>
      <c r="F149" t="s">
        <v>49</v>
      </c>
      <c r="G149" t="s">
        <v>38</v>
      </c>
      <c r="H149" t="s">
        <v>47</v>
      </c>
      <c r="I149" t="s">
        <v>36</v>
      </c>
      <c r="J149" t="s">
        <v>66</v>
      </c>
      <c r="K149">
        <v>2</v>
      </c>
      <c r="L149">
        <v>1</v>
      </c>
      <c r="M149" t="s">
        <v>48</v>
      </c>
      <c r="N149" t="s">
        <v>41</v>
      </c>
      <c r="O149" t="s">
        <v>42</v>
      </c>
      <c r="P149" t="s">
        <v>43</v>
      </c>
      <c r="Q149">
        <v>13</v>
      </c>
      <c r="R149">
        <v>1</v>
      </c>
      <c r="S149">
        <v>2</v>
      </c>
      <c r="T149">
        <v>2</v>
      </c>
      <c r="U149">
        <v>2</v>
      </c>
      <c r="V149">
        <v>9</v>
      </c>
      <c r="W149">
        <v>52</v>
      </c>
      <c r="X149">
        <v>428</v>
      </c>
      <c r="Y149">
        <v>14630</v>
      </c>
      <c r="Z149">
        <v>2760</v>
      </c>
      <c r="AA149">
        <v>3</v>
      </c>
      <c r="AB149">
        <v>34219</v>
      </c>
      <c r="AC149" s="10">
        <v>43564</v>
      </c>
      <c r="AD149" s="10">
        <v>44262</v>
      </c>
      <c r="AE149" t="s">
        <v>54</v>
      </c>
      <c r="AF149" t="s">
        <v>45</v>
      </c>
    </row>
    <row r="150" spans="1:32" x14ac:dyDescent="0.25">
      <c r="A150">
        <v>565</v>
      </c>
      <c r="B150">
        <v>29</v>
      </c>
      <c r="C150" t="s">
        <v>32</v>
      </c>
      <c r="D150" t="s">
        <v>33</v>
      </c>
      <c r="E150" t="s">
        <v>34</v>
      </c>
      <c r="F150" t="s">
        <v>70</v>
      </c>
      <c r="G150" t="s">
        <v>50</v>
      </c>
      <c r="H150" t="s">
        <v>47</v>
      </c>
      <c r="I150" t="s">
        <v>38</v>
      </c>
      <c r="J150" t="s">
        <v>39</v>
      </c>
      <c r="K150">
        <v>2</v>
      </c>
      <c r="L150">
        <v>3</v>
      </c>
      <c r="M150" t="s">
        <v>58</v>
      </c>
      <c r="N150" t="s">
        <v>61</v>
      </c>
      <c r="O150" t="s">
        <v>42</v>
      </c>
      <c r="P150" t="s">
        <v>43</v>
      </c>
      <c r="Q150">
        <v>16</v>
      </c>
      <c r="R150">
        <v>5</v>
      </c>
      <c r="S150">
        <v>6</v>
      </c>
      <c r="T150">
        <v>1</v>
      </c>
      <c r="U150">
        <v>1</v>
      </c>
      <c r="V150">
        <v>25</v>
      </c>
      <c r="W150">
        <v>71</v>
      </c>
      <c r="X150">
        <v>408</v>
      </c>
      <c r="Y150">
        <v>18300</v>
      </c>
      <c r="Z150">
        <v>2546</v>
      </c>
      <c r="AA150">
        <v>2</v>
      </c>
      <c r="AB150">
        <v>34200</v>
      </c>
      <c r="AC150" s="10">
        <v>43649</v>
      </c>
      <c r="AD150" s="10">
        <v>44281</v>
      </c>
      <c r="AE150" t="s">
        <v>44</v>
      </c>
      <c r="AF150" t="s">
        <v>45</v>
      </c>
    </row>
    <row r="151" spans="1:32" x14ac:dyDescent="0.25">
      <c r="A151">
        <v>1968</v>
      </c>
      <c r="B151">
        <v>53</v>
      </c>
      <c r="C151" t="s">
        <v>32</v>
      </c>
      <c r="D151" t="s">
        <v>33</v>
      </c>
      <c r="E151" t="s">
        <v>56</v>
      </c>
      <c r="F151" t="s">
        <v>35</v>
      </c>
      <c r="G151" t="s">
        <v>36</v>
      </c>
      <c r="H151" t="s">
        <v>37</v>
      </c>
      <c r="I151" t="s">
        <v>50</v>
      </c>
      <c r="J151" t="s">
        <v>57</v>
      </c>
      <c r="K151">
        <v>1</v>
      </c>
      <c r="L151">
        <v>2</v>
      </c>
      <c r="M151" t="s">
        <v>60</v>
      </c>
      <c r="N151" t="s">
        <v>41</v>
      </c>
      <c r="O151" t="s">
        <v>42</v>
      </c>
      <c r="P151" t="s">
        <v>32</v>
      </c>
      <c r="Q151">
        <v>13</v>
      </c>
      <c r="R151">
        <v>6</v>
      </c>
      <c r="S151">
        <v>15</v>
      </c>
      <c r="T151">
        <v>1</v>
      </c>
      <c r="U151">
        <v>1</v>
      </c>
      <c r="V151">
        <v>24</v>
      </c>
      <c r="W151">
        <v>66</v>
      </c>
      <c r="X151">
        <v>1168</v>
      </c>
      <c r="Y151">
        <v>5843</v>
      </c>
      <c r="Z151">
        <v>10448</v>
      </c>
      <c r="AA151">
        <v>2</v>
      </c>
      <c r="AB151">
        <v>25570</v>
      </c>
      <c r="AC151" s="10">
        <v>43840</v>
      </c>
      <c r="AD151" s="10">
        <v>44291</v>
      </c>
      <c r="AE151" t="s">
        <v>54</v>
      </c>
      <c r="AF151" t="s">
        <v>45</v>
      </c>
    </row>
    <row r="152" spans="1:32" x14ac:dyDescent="0.25">
      <c r="A152">
        <v>1175</v>
      </c>
      <c r="B152">
        <v>28</v>
      </c>
      <c r="C152" t="s">
        <v>32</v>
      </c>
      <c r="D152" t="s">
        <v>33</v>
      </c>
      <c r="E152" t="s">
        <v>34</v>
      </c>
      <c r="F152" t="s">
        <v>64</v>
      </c>
      <c r="G152" t="s">
        <v>50</v>
      </c>
      <c r="H152" t="s">
        <v>47</v>
      </c>
      <c r="I152" t="s">
        <v>50</v>
      </c>
      <c r="J152" t="s">
        <v>51</v>
      </c>
      <c r="K152">
        <v>4</v>
      </c>
      <c r="L152">
        <v>3</v>
      </c>
      <c r="M152" t="s">
        <v>60</v>
      </c>
      <c r="N152" t="s">
        <v>61</v>
      </c>
      <c r="O152" t="s">
        <v>42</v>
      </c>
      <c r="P152" t="s">
        <v>32</v>
      </c>
      <c r="Q152">
        <v>11</v>
      </c>
      <c r="R152">
        <v>1</v>
      </c>
      <c r="S152">
        <v>1</v>
      </c>
      <c r="T152">
        <v>0</v>
      </c>
      <c r="U152">
        <v>0</v>
      </c>
      <c r="V152">
        <v>12</v>
      </c>
      <c r="W152">
        <v>79</v>
      </c>
      <c r="X152">
        <v>1485</v>
      </c>
      <c r="Y152">
        <v>22955</v>
      </c>
      <c r="Z152">
        <v>2515</v>
      </c>
      <c r="AA152">
        <v>4</v>
      </c>
      <c r="AB152">
        <v>34840</v>
      </c>
      <c r="AC152" s="10">
        <v>44044</v>
      </c>
      <c r="AD152" s="10">
        <v>44296</v>
      </c>
      <c r="AE152" t="s">
        <v>44</v>
      </c>
      <c r="AF152" t="s">
        <v>55</v>
      </c>
    </row>
    <row r="153" spans="1:32" x14ac:dyDescent="0.25">
      <c r="A153">
        <v>58</v>
      </c>
      <c r="B153">
        <v>41</v>
      </c>
      <c r="C153" t="s">
        <v>32</v>
      </c>
      <c r="D153" t="s">
        <v>33</v>
      </c>
      <c r="E153" t="s">
        <v>34</v>
      </c>
      <c r="F153" t="s">
        <v>49</v>
      </c>
      <c r="G153" t="s">
        <v>38</v>
      </c>
      <c r="H153" t="s">
        <v>47</v>
      </c>
      <c r="I153" t="s">
        <v>50</v>
      </c>
      <c r="J153" t="s">
        <v>71</v>
      </c>
      <c r="K153">
        <v>3</v>
      </c>
      <c r="L153">
        <v>3</v>
      </c>
      <c r="M153" t="s">
        <v>48</v>
      </c>
      <c r="N153" t="s">
        <v>61</v>
      </c>
      <c r="O153" t="s">
        <v>42</v>
      </c>
      <c r="P153" t="s">
        <v>43</v>
      </c>
      <c r="Q153">
        <v>12</v>
      </c>
      <c r="R153">
        <v>1</v>
      </c>
      <c r="S153">
        <v>23</v>
      </c>
      <c r="T153">
        <v>15</v>
      </c>
      <c r="U153">
        <v>8</v>
      </c>
      <c r="V153">
        <v>12</v>
      </c>
      <c r="W153">
        <v>49</v>
      </c>
      <c r="X153">
        <v>1360</v>
      </c>
      <c r="Y153">
        <v>16280</v>
      </c>
      <c r="Z153">
        <v>19545</v>
      </c>
      <c r="AA153">
        <v>0</v>
      </c>
      <c r="AB153">
        <v>30140</v>
      </c>
      <c r="AC153" s="10">
        <v>36511</v>
      </c>
      <c r="AD153" s="10">
        <v>44321</v>
      </c>
      <c r="AE153" t="s">
        <v>44</v>
      </c>
      <c r="AF153" t="s">
        <v>45</v>
      </c>
    </row>
    <row r="154" spans="1:32" x14ac:dyDescent="0.25">
      <c r="A154">
        <v>405</v>
      </c>
      <c r="B154">
        <v>18</v>
      </c>
      <c r="C154" t="s">
        <v>32</v>
      </c>
      <c r="D154" t="s">
        <v>33</v>
      </c>
      <c r="E154" t="s">
        <v>34</v>
      </c>
      <c r="F154" t="s">
        <v>49</v>
      </c>
      <c r="G154" t="s">
        <v>50</v>
      </c>
      <c r="H154" t="s">
        <v>37</v>
      </c>
      <c r="I154" t="s">
        <v>50</v>
      </c>
      <c r="J154" t="s">
        <v>51</v>
      </c>
      <c r="K154">
        <v>3</v>
      </c>
      <c r="L154">
        <v>2</v>
      </c>
      <c r="M154" t="s">
        <v>48</v>
      </c>
      <c r="N154" t="s">
        <v>41</v>
      </c>
      <c r="O154" t="s">
        <v>42</v>
      </c>
      <c r="P154" t="s">
        <v>43</v>
      </c>
      <c r="Q154">
        <v>13</v>
      </c>
      <c r="R154">
        <v>1</v>
      </c>
      <c r="S154">
        <v>1</v>
      </c>
      <c r="T154">
        <v>0</v>
      </c>
      <c r="U154">
        <v>0</v>
      </c>
      <c r="V154">
        <v>3</v>
      </c>
      <c r="W154">
        <v>54</v>
      </c>
      <c r="X154">
        <v>230</v>
      </c>
      <c r="Y154">
        <v>25233</v>
      </c>
      <c r="Z154">
        <v>1420</v>
      </c>
      <c r="AA154">
        <v>2</v>
      </c>
      <c r="AB154">
        <v>38333</v>
      </c>
      <c r="AC154" s="10">
        <v>44175</v>
      </c>
      <c r="AD154" s="10">
        <v>44321</v>
      </c>
      <c r="AE154" t="s">
        <v>44</v>
      </c>
      <c r="AF154" t="s">
        <v>45</v>
      </c>
    </row>
    <row r="155" spans="1:32" x14ac:dyDescent="0.25">
      <c r="A155">
        <v>1279</v>
      </c>
      <c r="B155">
        <v>21</v>
      </c>
      <c r="C155" t="s">
        <v>32</v>
      </c>
      <c r="D155" t="s">
        <v>46</v>
      </c>
      <c r="E155" t="s">
        <v>34</v>
      </c>
      <c r="F155" t="s">
        <v>67</v>
      </c>
      <c r="G155" t="s">
        <v>36</v>
      </c>
      <c r="H155" t="s">
        <v>47</v>
      </c>
      <c r="I155" t="s">
        <v>38</v>
      </c>
      <c r="J155" t="s">
        <v>51</v>
      </c>
      <c r="K155">
        <v>3</v>
      </c>
      <c r="L155">
        <v>4</v>
      </c>
      <c r="M155" t="s">
        <v>40</v>
      </c>
      <c r="N155" t="s">
        <v>41</v>
      </c>
      <c r="O155" t="s">
        <v>42</v>
      </c>
      <c r="P155" t="s">
        <v>43</v>
      </c>
      <c r="Q155">
        <v>20</v>
      </c>
      <c r="R155">
        <v>1</v>
      </c>
      <c r="S155">
        <v>2</v>
      </c>
      <c r="T155">
        <v>2</v>
      </c>
      <c r="U155">
        <v>2</v>
      </c>
      <c r="V155">
        <v>10</v>
      </c>
      <c r="W155">
        <v>45</v>
      </c>
      <c r="X155">
        <v>251</v>
      </c>
      <c r="Y155">
        <v>25308</v>
      </c>
      <c r="Z155">
        <v>2625</v>
      </c>
      <c r="AA155">
        <v>2</v>
      </c>
      <c r="AB155">
        <v>37146</v>
      </c>
      <c r="AC155" s="10">
        <v>43755</v>
      </c>
      <c r="AD155" s="10">
        <v>44351</v>
      </c>
      <c r="AE155" t="s">
        <v>44</v>
      </c>
      <c r="AF155" t="s">
        <v>45</v>
      </c>
    </row>
    <row r="156" spans="1:32" x14ac:dyDescent="0.25">
      <c r="A156">
        <v>45</v>
      </c>
      <c r="B156">
        <v>24</v>
      </c>
      <c r="C156" t="s">
        <v>32</v>
      </c>
      <c r="D156" t="s">
        <v>33</v>
      </c>
      <c r="E156" t="s">
        <v>34</v>
      </c>
      <c r="F156" t="s">
        <v>49</v>
      </c>
      <c r="G156" t="s">
        <v>38</v>
      </c>
      <c r="H156" t="s">
        <v>37</v>
      </c>
      <c r="I156" t="s">
        <v>50</v>
      </c>
      <c r="J156" t="s">
        <v>39</v>
      </c>
      <c r="K156">
        <v>4</v>
      </c>
      <c r="L156">
        <v>3</v>
      </c>
      <c r="M156" t="s">
        <v>60</v>
      </c>
      <c r="N156" t="s">
        <v>61</v>
      </c>
      <c r="O156" t="s">
        <v>36</v>
      </c>
      <c r="P156" t="s">
        <v>32</v>
      </c>
      <c r="Q156">
        <v>16</v>
      </c>
      <c r="R156">
        <v>2</v>
      </c>
      <c r="S156">
        <v>6</v>
      </c>
      <c r="T156">
        <v>1</v>
      </c>
      <c r="U156">
        <v>0</v>
      </c>
      <c r="V156">
        <v>1</v>
      </c>
      <c r="W156">
        <v>61</v>
      </c>
      <c r="X156">
        <v>813</v>
      </c>
      <c r="Y156">
        <v>3020</v>
      </c>
      <c r="Z156">
        <v>2293</v>
      </c>
      <c r="AA156">
        <v>2</v>
      </c>
      <c r="AB156">
        <v>36242</v>
      </c>
      <c r="AC156" s="10">
        <v>43843</v>
      </c>
      <c r="AD156" s="10">
        <v>44356</v>
      </c>
      <c r="AE156" t="s">
        <v>44</v>
      </c>
      <c r="AF156" t="s">
        <v>45</v>
      </c>
    </row>
    <row r="157" spans="1:32" x14ac:dyDescent="0.25">
      <c r="A157">
        <v>1203</v>
      </c>
      <c r="B157">
        <v>22</v>
      </c>
      <c r="C157" t="s">
        <v>32</v>
      </c>
      <c r="D157" t="s">
        <v>46</v>
      </c>
      <c r="E157" t="s">
        <v>34</v>
      </c>
      <c r="F157" t="s">
        <v>35</v>
      </c>
      <c r="G157" t="s">
        <v>50</v>
      </c>
      <c r="H157" t="s">
        <v>37</v>
      </c>
      <c r="I157" t="s">
        <v>38</v>
      </c>
      <c r="J157" t="s">
        <v>39</v>
      </c>
      <c r="K157">
        <v>4</v>
      </c>
      <c r="L157">
        <v>2</v>
      </c>
      <c r="M157" t="s">
        <v>48</v>
      </c>
      <c r="N157" t="s">
        <v>61</v>
      </c>
      <c r="O157" t="s">
        <v>36</v>
      </c>
      <c r="P157" t="s">
        <v>32</v>
      </c>
      <c r="Q157">
        <v>11</v>
      </c>
      <c r="R157">
        <v>0</v>
      </c>
      <c r="S157">
        <v>1</v>
      </c>
      <c r="T157">
        <v>0</v>
      </c>
      <c r="U157">
        <v>0</v>
      </c>
      <c r="V157">
        <v>3</v>
      </c>
      <c r="W157">
        <v>48</v>
      </c>
      <c r="X157">
        <v>1256</v>
      </c>
      <c r="Y157">
        <v>4223</v>
      </c>
      <c r="Z157">
        <v>2853</v>
      </c>
      <c r="AA157">
        <v>5</v>
      </c>
      <c r="AB157">
        <v>36820</v>
      </c>
      <c r="AC157" s="10">
        <v>44248</v>
      </c>
      <c r="AD157" s="10">
        <v>44358</v>
      </c>
      <c r="AE157" t="s">
        <v>44</v>
      </c>
      <c r="AF157" t="s">
        <v>45</v>
      </c>
    </row>
    <row r="158" spans="1:32" x14ac:dyDescent="0.25">
      <c r="A158">
        <v>1113</v>
      </c>
      <c r="B158">
        <v>50</v>
      </c>
      <c r="C158" t="s">
        <v>32</v>
      </c>
      <c r="D158" t="s">
        <v>46</v>
      </c>
      <c r="E158" t="s">
        <v>56</v>
      </c>
      <c r="F158" t="s">
        <v>35</v>
      </c>
      <c r="G158" t="s">
        <v>59</v>
      </c>
      <c r="H158" t="s">
        <v>37</v>
      </c>
      <c r="I158" t="s">
        <v>50</v>
      </c>
      <c r="J158" t="s">
        <v>57</v>
      </c>
      <c r="K158">
        <v>3</v>
      </c>
      <c r="L158">
        <v>3</v>
      </c>
      <c r="M158" t="s">
        <v>48</v>
      </c>
      <c r="N158" t="s">
        <v>41</v>
      </c>
      <c r="O158" t="s">
        <v>42</v>
      </c>
      <c r="P158" t="s">
        <v>32</v>
      </c>
      <c r="Q158">
        <v>14</v>
      </c>
      <c r="R158">
        <v>3</v>
      </c>
      <c r="S158">
        <v>5</v>
      </c>
      <c r="T158">
        <v>0</v>
      </c>
      <c r="U158">
        <v>0</v>
      </c>
      <c r="V158">
        <v>1</v>
      </c>
      <c r="W158">
        <v>81</v>
      </c>
      <c r="X158">
        <v>959</v>
      </c>
      <c r="Y158">
        <v>17251</v>
      </c>
      <c r="Z158">
        <v>4728</v>
      </c>
      <c r="AA158">
        <v>4</v>
      </c>
      <c r="AB158">
        <v>26586</v>
      </c>
      <c r="AC158" s="10">
        <v>44229</v>
      </c>
      <c r="AD158" s="10">
        <v>44370</v>
      </c>
      <c r="AE158" t="s">
        <v>44</v>
      </c>
      <c r="AF158" t="s">
        <v>55</v>
      </c>
    </row>
    <row r="159" spans="1:32" x14ac:dyDescent="0.25">
      <c r="A159">
        <v>1219</v>
      </c>
      <c r="B159">
        <v>24</v>
      </c>
      <c r="C159" t="s">
        <v>32</v>
      </c>
      <c r="D159" t="s">
        <v>33</v>
      </c>
      <c r="E159" t="s">
        <v>34</v>
      </c>
      <c r="F159" t="s">
        <v>67</v>
      </c>
      <c r="G159" t="s">
        <v>59</v>
      </c>
      <c r="H159" t="s">
        <v>47</v>
      </c>
      <c r="I159" t="s">
        <v>50</v>
      </c>
      <c r="J159" t="s">
        <v>51</v>
      </c>
      <c r="K159">
        <v>2</v>
      </c>
      <c r="L159">
        <v>1</v>
      </c>
      <c r="M159" t="s">
        <v>40</v>
      </c>
      <c r="N159" t="s">
        <v>61</v>
      </c>
      <c r="O159" t="s">
        <v>36</v>
      </c>
      <c r="P159" t="s">
        <v>43</v>
      </c>
      <c r="Q159">
        <v>13</v>
      </c>
      <c r="R159">
        <v>1</v>
      </c>
      <c r="S159">
        <v>1</v>
      </c>
      <c r="T159">
        <v>0</v>
      </c>
      <c r="U159">
        <v>0</v>
      </c>
      <c r="V159">
        <v>17</v>
      </c>
      <c r="W159">
        <v>97</v>
      </c>
      <c r="X159">
        <v>984</v>
      </c>
      <c r="Y159">
        <v>3372</v>
      </c>
      <c r="Z159">
        <v>2210</v>
      </c>
      <c r="AA159">
        <v>3</v>
      </c>
      <c r="AB159">
        <v>36195</v>
      </c>
      <c r="AC159" s="10">
        <v>44293</v>
      </c>
      <c r="AD159" s="10">
        <v>44388</v>
      </c>
      <c r="AE159" t="s">
        <v>54</v>
      </c>
      <c r="AF159" t="s">
        <v>45</v>
      </c>
    </row>
    <row r="160" spans="1:32" x14ac:dyDescent="0.25">
      <c r="A160">
        <v>175</v>
      </c>
      <c r="B160">
        <v>31</v>
      </c>
      <c r="C160" t="s">
        <v>32</v>
      </c>
      <c r="D160" t="s">
        <v>33</v>
      </c>
      <c r="E160" t="s">
        <v>56</v>
      </c>
      <c r="F160" t="s">
        <v>49</v>
      </c>
      <c r="G160" t="s">
        <v>38</v>
      </c>
      <c r="H160" t="s">
        <v>47</v>
      </c>
      <c r="I160" t="s">
        <v>36</v>
      </c>
      <c r="J160" t="s">
        <v>57</v>
      </c>
      <c r="K160">
        <v>3</v>
      </c>
      <c r="L160">
        <v>2</v>
      </c>
      <c r="M160" t="s">
        <v>48</v>
      </c>
      <c r="N160" t="s">
        <v>61</v>
      </c>
      <c r="O160" t="s">
        <v>36</v>
      </c>
      <c r="P160" t="s">
        <v>32</v>
      </c>
      <c r="Q160">
        <v>11</v>
      </c>
      <c r="R160">
        <v>3</v>
      </c>
      <c r="S160">
        <v>4</v>
      </c>
      <c r="T160">
        <v>2</v>
      </c>
      <c r="U160">
        <v>2</v>
      </c>
      <c r="V160">
        <v>20</v>
      </c>
      <c r="W160">
        <v>71</v>
      </c>
      <c r="X160">
        <v>542</v>
      </c>
      <c r="Y160">
        <v>24788</v>
      </c>
      <c r="Z160">
        <v>4559</v>
      </c>
      <c r="AA160">
        <v>2</v>
      </c>
      <c r="AB160">
        <v>33467</v>
      </c>
      <c r="AC160" s="10">
        <v>43713</v>
      </c>
      <c r="AD160" s="10">
        <v>44389</v>
      </c>
      <c r="AE160" t="s">
        <v>44</v>
      </c>
      <c r="AF160" t="s">
        <v>45</v>
      </c>
    </row>
    <row r="161" spans="1:32" x14ac:dyDescent="0.25">
      <c r="A161">
        <v>538</v>
      </c>
      <c r="B161">
        <v>25</v>
      </c>
      <c r="C161" t="s">
        <v>32</v>
      </c>
      <c r="D161" t="s">
        <v>33</v>
      </c>
      <c r="E161" t="s">
        <v>34</v>
      </c>
      <c r="F161" t="s">
        <v>49</v>
      </c>
      <c r="G161" t="s">
        <v>36</v>
      </c>
      <c r="H161" t="s">
        <v>37</v>
      </c>
      <c r="I161" t="s">
        <v>50</v>
      </c>
      <c r="J161" t="s">
        <v>51</v>
      </c>
      <c r="K161">
        <v>1</v>
      </c>
      <c r="L161">
        <v>2</v>
      </c>
      <c r="M161" t="s">
        <v>48</v>
      </c>
      <c r="N161" t="s">
        <v>61</v>
      </c>
      <c r="O161" t="s">
        <v>36</v>
      </c>
      <c r="P161" t="s">
        <v>43</v>
      </c>
      <c r="Q161">
        <v>13</v>
      </c>
      <c r="R161">
        <v>5</v>
      </c>
      <c r="S161">
        <v>6</v>
      </c>
      <c r="T161">
        <v>0</v>
      </c>
      <c r="U161">
        <v>2</v>
      </c>
      <c r="V161">
        <v>3</v>
      </c>
      <c r="W161">
        <v>91</v>
      </c>
      <c r="X161">
        <v>688</v>
      </c>
      <c r="Y161">
        <v>9396</v>
      </c>
      <c r="Z161">
        <v>4031</v>
      </c>
      <c r="AA161">
        <v>5</v>
      </c>
      <c r="AB161">
        <v>35660</v>
      </c>
      <c r="AC161" s="10">
        <v>43818</v>
      </c>
      <c r="AD161" s="10">
        <v>44391</v>
      </c>
      <c r="AE161" t="s">
        <v>44</v>
      </c>
      <c r="AF161" t="s">
        <v>45</v>
      </c>
    </row>
    <row r="162" spans="1:32" x14ac:dyDescent="0.25">
      <c r="A162">
        <v>1733</v>
      </c>
      <c r="B162">
        <v>36</v>
      </c>
      <c r="C162" t="s">
        <v>32</v>
      </c>
      <c r="D162" t="s">
        <v>33</v>
      </c>
      <c r="E162" t="s">
        <v>56</v>
      </c>
      <c r="F162" t="s">
        <v>70</v>
      </c>
      <c r="G162" t="s">
        <v>38</v>
      </c>
      <c r="H162" t="s">
        <v>37</v>
      </c>
      <c r="I162" t="s">
        <v>38</v>
      </c>
      <c r="J162" t="s">
        <v>57</v>
      </c>
      <c r="K162">
        <v>1</v>
      </c>
      <c r="L162">
        <v>3</v>
      </c>
      <c r="M162" t="s">
        <v>48</v>
      </c>
      <c r="N162" t="s">
        <v>52</v>
      </c>
      <c r="O162" t="s">
        <v>50</v>
      </c>
      <c r="P162" t="s">
        <v>32</v>
      </c>
      <c r="Q162">
        <v>13</v>
      </c>
      <c r="R162">
        <v>5</v>
      </c>
      <c r="S162">
        <v>16</v>
      </c>
      <c r="T162">
        <v>2</v>
      </c>
      <c r="U162">
        <v>2</v>
      </c>
      <c r="V162">
        <v>13</v>
      </c>
      <c r="W162">
        <v>96</v>
      </c>
      <c r="X162">
        <v>1456</v>
      </c>
      <c r="Y162">
        <v>8658</v>
      </c>
      <c r="Z162">
        <v>6134</v>
      </c>
      <c r="AA162">
        <v>3</v>
      </c>
      <c r="AB162">
        <v>31799</v>
      </c>
      <c r="AC162" s="10">
        <v>43671</v>
      </c>
      <c r="AD162" s="10">
        <v>44395</v>
      </c>
      <c r="AE162" t="s">
        <v>44</v>
      </c>
      <c r="AF162" t="s">
        <v>55</v>
      </c>
    </row>
    <row r="163" spans="1:32" x14ac:dyDescent="0.25">
      <c r="A163">
        <v>1862</v>
      </c>
      <c r="B163">
        <v>32</v>
      </c>
      <c r="C163" t="s">
        <v>32</v>
      </c>
      <c r="D163" t="s">
        <v>33</v>
      </c>
      <c r="E163" t="s">
        <v>56</v>
      </c>
      <c r="F163" t="s">
        <v>35</v>
      </c>
      <c r="G163" t="s">
        <v>50</v>
      </c>
      <c r="H163" t="s">
        <v>37</v>
      </c>
      <c r="I163" t="s">
        <v>38</v>
      </c>
      <c r="J163" t="s">
        <v>57</v>
      </c>
      <c r="K163">
        <v>2</v>
      </c>
      <c r="L163">
        <v>3</v>
      </c>
      <c r="M163" t="s">
        <v>60</v>
      </c>
      <c r="N163" t="s">
        <v>41</v>
      </c>
      <c r="O163" t="s">
        <v>42</v>
      </c>
      <c r="P163" t="s">
        <v>32</v>
      </c>
      <c r="Q163">
        <v>12</v>
      </c>
      <c r="R163">
        <v>7</v>
      </c>
      <c r="S163">
        <v>7</v>
      </c>
      <c r="T163">
        <v>2</v>
      </c>
      <c r="U163">
        <v>2</v>
      </c>
      <c r="V163">
        <v>2</v>
      </c>
      <c r="W163">
        <v>82</v>
      </c>
      <c r="X163">
        <v>414</v>
      </c>
      <c r="Y163">
        <v>26186</v>
      </c>
      <c r="Z163">
        <v>9907</v>
      </c>
      <c r="AA163">
        <v>3</v>
      </c>
      <c r="AB163">
        <v>33430</v>
      </c>
      <c r="AC163" s="10">
        <v>43679</v>
      </c>
      <c r="AD163" s="10">
        <v>44395</v>
      </c>
      <c r="AE163" t="s">
        <v>44</v>
      </c>
      <c r="AF163" t="s">
        <v>45</v>
      </c>
    </row>
    <row r="164" spans="1:32" x14ac:dyDescent="0.25">
      <c r="A164">
        <v>1667</v>
      </c>
      <c r="B164">
        <v>35</v>
      </c>
      <c r="C164" t="s">
        <v>32</v>
      </c>
      <c r="D164" t="s">
        <v>46</v>
      </c>
      <c r="E164" t="s">
        <v>56</v>
      </c>
      <c r="F164" t="s">
        <v>35</v>
      </c>
      <c r="G164" t="s">
        <v>59</v>
      </c>
      <c r="H164" t="s">
        <v>37</v>
      </c>
      <c r="I164" t="s">
        <v>50</v>
      </c>
      <c r="J164" t="s">
        <v>57</v>
      </c>
      <c r="K164">
        <v>4</v>
      </c>
      <c r="L164">
        <v>4</v>
      </c>
      <c r="M164" t="s">
        <v>58</v>
      </c>
      <c r="N164" t="s">
        <v>41</v>
      </c>
      <c r="O164" t="s">
        <v>42</v>
      </c>
      <c r="P164" t="s">
        <v>32</v>
      </c>
      <c r="Q164">
        <v>24</v>
      </c>
      <c r="R164">
        <v>3</v>
      </c>
      <c r="S164">
        <v>13</v>
      </c>
      <c r="T164">
        <v>6</v>
      </c>
      <c r="U164">
        <v>7</v>
      </c>
      <c r="V164">
        <v>12</v>
      </c>
      <c r="W164">
        <v>36</v>
      </c>
      <c r="X164">
        <v>880</v>
      </c>
      <c r="Y164">
        <v>10414</v>
      </c>
      <c r="Z164">
        <v>4581</v>
      </c>
      <c r="AA164">
        <v>2</v>
      </c>
      <c r="AB164">
        <v>31993</v>
      </c>
      <c r="AC164" s="10">
        <v>40711</v>
      </c>
      <c r="AD164" s="10">
        <v>44399</v>
      </c>
      <c r="AE164" t="s">
        <v>44</v>
      </c>
      <c r="AF164" t="s">
        <v>45</v>
      </c>
    </row>
    <row r="165" spans="1:32" x14ac:dyDescent="0.25">
      <c r="A165">
        <v>1944</v>
      </c>
      <c r="B165">
        <v>27</v>
      </c>
      <c r="C165" t="s">
        <v>32</v>
      </c>
      <c r="D165" t="s">
        <v>46</v>
      </c>
      <c r="E165" t="s">
        <v>68</v>
      </c>
      <c r="F165" t="s">
        <v>49</v>
      </c>
      <c r="G165" t="s">
        <v>36</v>
      </c>
      <c r="H165" t="s">
        <v>47</v>
      </c>
      <c r="I165" t="s">
        <v>38</v>
      </c>
      <c r="J165" t="s">
        <v>68</v>
      </c>
      <c r="K165">
        <v>2</v>
      </c>
      <c r="L165">
        <v>1</v>
      </c>
      <c r="M165" t="s">
        <v>48</v>
      </c>
      <c r="N165" t="s">
        <v>61</v>
      </c>
      <c r="O165" t="s">
        <v>42</v>
      </c>
      <c r="P165" t="s">
        <v>43</v>
      </c>
      <c r="Q165">
        <v>12</v>
      </c>
      <c r="R165">
        <v>1</v>
      </c>
      <c r="S165">
        <v>1</v>
      </c>
      <c r="T165">
        <v>0</v>
      </c>
      <c r="U165">
        <v>0</v>
      </c>
      <c r="V165">
        <v>22</v>
      </c>
      <c r="W165">
        <v>58</v>
      </c>
      <c r="X165">
        <v>1337</v>
      </c>
      <c r="Y165">
        <v>19555</v>
      </c>
      <c r="Z165">
        <v>2863</v>
      </c>
      <c r="AA165">
        <v>2</v>
      </c>
      <c r="AB165">
        <v>35196</v>
      </c>
      <c r="AC165" s="10">
        <v>44272</v>
      </c>
      <c r="AD165" s="10">
        <v>44400</v>
      </c>
      <c r="AE165" t="s">
        <v>54</v>
      </c>
      <c r="AF165" t="s">
        <v>45</v>
      </c>
    </row>
    <row r="166" spans="1:32" x14ac:dyDescent="0.25">
      <c r="A166">
        <v>331</v>
      </c>
      <c r="B166">
        <v>32</v>
      </c>
      <c r="C166" t="s">
        <v>32</v>
      </c>
      <c r="D166" t="s">
        <v>33</v>
      </c>
      <c r="E166" t="s">
        <v>34</v>
      </c>
      <c r="F166" t="s">
        <v>49</v>
      </c>
      <c r="G166" t="s">
        <v>59</v>
      </c>
      <c r="H166" t="s">
        <v>37</v>
      </c>
      <c r="I166" t="s">
        <v>38</v>
      </c>
      <c r="J166" t="s">
        <v>51</v>
      </c>
      <c r="K166">
        <v>3</v>
      </c>
      <c r="L166">
        <v>3</v>
      </c>
      <c r="M166" t="s">
        <v>40</v>
      </c>
      <c r="N166" t="s">
        <v>41</v>
      </c>
      <c r="O166" t="s">
        <v>42</v>
      </c>
      <c r="P166" t="s">
        <v>32</v>
      </c>
      <c r="Q166">
        <v>14</v>
      </c>
      <c r="R166">
        <v>0</v>
      </c>
      <c r="S166">
        <v>4</v>
      </c>
      <c r="T166">
        <v>1</v>
      </c>
      <c r="U166">
        <v>2</v>
      </c>
      <c r="V166">
        <v>1</v>
      </c>
      <c r="W166">
        <v>62</v>
      </c>
      <c r="X166">
        <v>515</v>
      </c>
      <c r="Y166">
        <v>9571</v>
      </c>
      <c r="Z166">
        <v>3730</v>
      </c>
      <c r="AA166">
        <v>2</v>
      </c>
      <c r="AB166">
        <v>33223</v>
      </c>
      <c r="AC166" s="10">
        <v>43371</v>
      </c>
      <c r="AD166" s="10">
        <v>44411</v>
      </c>
      <c r="AE166" t="s">
        <v>44</v>
      </c>
      <c r="AF166" t="s">
        <v>45</v>
      </c>
    </row>
    <row r="167" spans="1:32" x14ac:dyDescent="0.25">
      <c r="A167">
        <v>1604</v>
      </c>
      <c r="B167">
        <v>28</v>
      </c>
      <c r="C167" t="s">
        <v>32</v>
      </c>
      <c r="D167" t="s">
        <v>33</v>
      </c>
      <c r="E167" t="s">
        <v>34</v>
      </c>
      <c r="F167" t="s">
        <v>49</v>
      </c>
      <c r="G167" t="s">
        <v>50</v>
      </c>
      <c r="H167" t="s">
        <v>37</v>
      </c>
      <c r="I167" t="s">
        <v>50</v>
      </c>
      <c r="J167" t="s">
        <v>51</v>
      </c>
      <c r="K167">
        <v>2</v>
      </c>
      <c r="L167">
        <v>2</v>
      </c>
      <c r="M167" t="s">
        <v>48</v>
      </c>
      <c r="N167" t="s">
        <v>61</v>
      </c>
      <c r="O167" t="s">
        <v>50</v>
      </c>
      <c r="P167" t="s">
        <v>32</v>
      </c>
      <c r="Q167">
        <v>17</v>
      </c>
      <c r="R167">
        <v>1</v>
      </c>
      <c r="S167">
        <v>1</v>
      </c>
      <c r="T167">
        <v>0</v>
      </c>
      <c r="U167">
        <v>0</v>
      </c>
      <c r="V167">
        <v>24</v>
      </c>
      <c r="W167">
        <v>51</v>
      </c>
      <c r="X167">
        <v>329</v>
      </c>
      <c r="Y167">
        <v>7324</v>
      </c>
      <c r="Z167">
        <v>2408</v>
      </c>
      <c r="AA167">
        <v>3</v>
      </c>
      <c r="AB167">
        <v>34758</v>
      </c>
      <c r="AC167" s="10">
        <v>44101</v>
      </c>
      <c r="AD167" s="10">
        <v>44411</v>
      </c>
      <c r="AE167" t="s">
        <v>44</v>
      </c>
      <c r="AF167" t="s">
        <v>55</v>
      </c>
    </row>
    <row r="168" spans="1:32" x14ac:dyDescent="0.25">
      <c r="A168">
        <v>1098</v>
      </c>
      <c r="B168">
        <v>44</v>
      </c>
      <c r="C168" t="s">
        <v>32</v>
      </c>
      <c r="D168" t="s">
        <v>33</v>
      </c>
      <c r="E168" t="s">
        <v>68</v>
      </c>
      <c r="F168" t="s">
        <v>67</v>
      </c>
      <c r="G168" t="s">
        <v>38</v>
      </c>
      <c r="H168" t="s">
        <v>37</v>
      </c>
      <c r="I168" t="s">
        <v>38</v>
      </c>
      <c r="J168" t="s">
        <v>68</v>
      </c>
      <c r="K168">
        <v>1</v>
      </c>
      <c r="L168">
        <v>3</v>
      </c>
      <c r="M168" t="s">
        <v>48</v>
      </c>
      <c r="N168" t="s">
        <v>61</v>
      </c>
      <c r="O168" t="s">
        <v>36</v>
      </c>
      <c r="P168" t="s">
        <v>43</v>
      </c>
      <c r="Q168">
        <v>14</v>
      </c>
      <c r="R168">
        <v>9</v>
      </c>
      <c r="S168">
        <v>24</v>
      </c>
      <c r="T168">
        <v>3</v>
      </c>
      <c r="U168">
        <v>6</v>
      </c>
      <c r="V168">
        <v>1</v>
      </c>
      <c r="W168">
        <v>91</v>
      </c>
      <c r="X168">
        <v>1376</v>
      </c>
      <c r="Y168">
        <v>2326</v>
      </c>
      <c r="Z168">
        <v>10482</v>
      </c>
      <c r="AA168">
        <v>1</v>
      </c>
      <c r="AB168">
        <v>28728</v>
      </c>
      <c r="AC168" s="10">
        <v>37457</v>
      </c>
      <c r="AD168" s="10">
        <v>44412</v>
      </c>
      <c r="AE168" t="s">
        <v>44</v>
      </c>
      <c r="AF168" t="s">
        <v>45</v>
      </c>
    </row>
    <row r="169" spans="1:32" x14ac:dyDescent="0.25">
      <c r="A169">
        <v>977</v>
      </c>
      <c r="B169">
        <v>58</v>
      </c>
      <c r="C169" t="s">
        <v>32</v>
      </c>
      <c r="D169" t="s">
        <v>33</v>
      </c>
      <c r="E169" t="s">
        <v>34</v>
      </c>
      <c r="F169" t="s">
        <v>49</v>
      </c>
      <c r="G169" t="s">
        <v>59</v>
      </c>
      <c r="H169" t="s">
        <v>37</v>
      </c>
      <c r="I169" t="s">
        <v>50</v>
      </c>
      <c r="J169" t="s">
        <v>39</v>
      </c>
      <c r="K169">
        <v>3</v>
      </c>
      <c r="L169">
        <v>4</v>
      </c>
      <c r="M169" t="s">
        <v>48</v>
      </c>
      <c r="N169" t="s">
        <v>41</v>
      </c>
      <c r="O169" t="s">
        <v>42</v>
      </c>
      <c r="P169" t="s">
        <v>43</v>
      </c>
      <c r="Q169">
        <v>24</v>
      </c>
      <c r="R169">
        <v>4</v>
      </c>
      <c r="S169">
        <v>7</v>
      </c>
      <c r="T169">
        <v>0</v>
      </c>
      <c r="U169">
        <v>0</v>
      </c>
      <c r="V169">
        <v>2</v>
      </c>
      <c r="W169">
        <v>51</v>
      </c>
      <c r="X169">
        <v>289</v>
      </c>
      <c r="Y169">
        <v>26227</v>
      </c>
      <c r="Z169">
        <v>2479</v>
      </c>
      <c r="AA169">
        <v>4</v>
      </c>
      <c r="AB169">
        <v>23887</v>
      </c>
      <c r="AC169" s="10">
        <v>44311</v>
      </c>
      <c r="AD169" s="10">
        <v>44420</v>
      </c>
      <c r="AE169" t="s">
        <v>54</v>
      </c>
      <c r="AF169" t="s">
        <v>45</v>
      </c>
    </row>
    <row r="170" spans="1:32" x14ac:dyDescent="0.25">
      <c r="A170">
        <v>1052</v>
      </c>
      <c r="B170">
        <v>36</v>
      </c>
      <c r="C170" t="s">
        <v>32</v>
      </c>
      <c r="D170" t="s">
        <v>33</v>
      </c>
      <c r="E170" t="s">
        <v>34</v>
      </c>
      <c r="F170" t="s">
        <v>49</v>
      </c>
      <c r="G170" t="s">
        <v>36</v>
      </c>
      <c r="H170" t="s">
        <v>37</v>
      </c>
      <c r="I170" t="s">
        <v>50</v>
      </c>
      <c r="J170" t="s">
        <v>51</v>
      </c>
      <c r="K170">
        <v>3</v>
      </c>
      <c r="L170">
        <v>3</v>
      </c>
      <c r="M170" t="s">
        <v>60</v>
      </c>
      <c r="N170" t="s">
        <v>52</v>
      </c>
      <c r="O170" t="s">
        <v>36</v>
      </c>
      <c r="P170" t="s">
        <v>43</v>
      </c>
      <c r="Q170">
        <v>14</v>
      </c>
      <c r="R170">
        <v>7</v>
      </c>
      <c r="S170">
        <v>9</v>
      </c>
      <c r="T170">
        <v>0</v>
      </c>
      <c r="U170">
        <v>0</v>
      </c>
      <c r="V170">
        <v>15</v>
      </c>
      <c r="W170">
        <v>81</v>
      </c>
      <c r="X170">
        <v>660</v>
      </c>
      <c r="Y170">
        <v>7858</v>
      </c>
      <c r="Z170">
        <v>4834</v>
      </c>
      <c r="AA170">
        <v>3</v>
      </c>
      <c r="AB170">
        <v>31753</v>
      </c>
      <c r="AC170" s="10">
        <v>44209</v>
      </c>
      <c r="AD170" s="10">
        <v>44425</v>
      </c>
      <c r="AE170" t="s">
        <v>44</v>
      </c>
      <c r="AF170" t="s">
        <v>45</v>
      </c>
    </row>
    <row r="171" spans="1:32" x14ac:dyDescent="0.25">
      <c r="A171">
        <v>1427</v>
      </c>
      <c r="B171">
        <v>31</v>
      </c>
      <c r="C171" t="s">
        <v>32</v>
      </c>
      <c r="D171" t="s">
        <v>46</v>
      </c>
      <c r="E171" t="s">
        <v>56</v>
      </c>
      <c r="F171" t="s">
        <v>35</v>
      </c>
      <c r="G171" t="s">
        <v>38</v>
      </c>
      <c r="H171" t="s">
        <v>47</v>
      </c>
      <c r="I171" t="s">
        <v>36</v>
      </c>
      <c r="J171" t="s">
        <v>66</v>
      </c>
      <c r="K171">
        <v>3</v>
      </c>
      <c r="L171">
        <v>2</v>
      </c>
      <c r="M171" t="s">
        <v>48</v>
      </c>
      <c r="N171" t="s">
        <v>41</v>
      </c>
      <c r="O171" t="s">
        <v>42</v>
      </c>
      <c r="P171" t="s">
        <v>43</v>
      </c>
      <c r="Q171">
        <v>12</v>
      </c>
      <c r="R171">
        <v>1</v>
      </c>
      <c r="S171">
        <v>1</v>
      </c>
      <c r="T171">
        <v>0</v>
      </c>
      <c r="U171">
        <v>0</v>
      </c>
      <c r="V171">
        <v>1</v>
      </c>
      <c r="W171">
        <v>50</v>
      </c>
      <c r="X171">
        <v>667</v>
      </c>
      <c r="Y171">
        <v>16154</v>
      </c>
      <c r="Z171">
        <v>1359</v>
      </c>
      <c r="AA171">
        <v>3</v>
      </c>
      <c r="AB171">
        <v>33808</v>
      </c>
      <c r="AC171" s="10">
        <v>44289</v>
      </c>
      <c r="AD171" s="10">
        <v>44435</v>
      </c>
      <c r="AE171" t="s">
        <v>44</v>
      </c>
      <c r="AF171" t="s">
        <v>55</v>
      </c>
    </row>
    <row r="172" spans="1:32" x14ac:dyDescent="0.25">
      <c r="A172">
        <v>723</v>
      </c>
      <c r="B172">
        <v>50</v>
      </c>
      <c r="C172" t="s">
        <v>32</v>
      </c>
      <c r="D172" t="s">
        <v>46</v>
      </c>
      <c r="E172" t="s">
        <v>56</v>
      </c>
      <c r="F172" t="s">
        <v>67</v>
      </c>
      <c r="G172" t="s">
        <v>38</v>
      </c>
      <c r="H172" t="s">
        <v>37</v>
      </c>
      <c r="I172" t="s">
        <v>50</v>
      </c>
      <c r="J172" t="s">
        <v>57</v>
      </c>
      <c r="K172">
        <v>3</v>
      </c>
      <c r="L172">
        <v>2</v>
      </c>
      <c r="M172" t="s">
        <v>48</v>
      </c>
      <c r="N172" t="s">
        <v>61</v>
      </c>
      <c r="O172" t="s">
        <v>36</v>
      </c>
      <c r="P172" t="s">
        <v>32</v>
      </c>
      <c r="Q172">
        <v>14</v>
      </c>
      <c r="R172">
        <v>3</v>
      </c>
      <c r="S172">
        <v>18</v>
      </c>
      <c r="T172">
        <v>1</v>
      </c>
      <c r="U172">
        <v>3</v>
      </c>
      <c r="V172">
        <v>8</v>
      </c>
      <c r="W172">
        <v>50</v>
      </c>
      <c r="X172">
        <v>562</v>
      </c>
      <c r="Y172">
        <v>23452</v>
      </c>
      <c r="Z172">
        <v>6796</v>
      </c>
      <c r="AA172">
        <v>4</v>
      </c>
      <c r="AB172">
        <v>26806</v>
      </c>
      <c r="AC172" s="10">
        <v>43338</v>
      </c>
      <c r="AD172" s="10">
        <v>44436</v>
      </c>
      <c r="AE172" t="s">
        <v>44</v>
      </c>
      <c r="AF172" t="s">
        <v>55</v>
      </c>
    </row>
    <row r="173" spans="1:32" x14ac:dyDescent="0.25">
      <c r="A173">
        <v>701</v>
      </c>
      <c r="B173">
        <v>20</v>
      </c>
      <c r="C173" t="s">
        <v>32</v>
      </c>
      <c r="D173" t="s">
        <v>33</v>
      </c>
      <c r="E173" t="s">
        <v>34</v>
      </c>
      <c r="F173" t="s">
        <v>64</v>
      </c>
      <c r="G173" t="s">
        <v>59</v>
      </c>
      <c r="H173" t="s">
        <v>37</v>
      </c>
      <c r="I173" t="s">
        <v>50</v>
      </c>
      <c r="J173" t="s">
        <v>39</v>
      </c>
      <c r="K173">
        <v>3</v>
      </c>
      <c r="L173">
        <v>3</v>
      </c>
      <c r="M173" t="s">
        <v>48</v>
      </c>
      <c r="N173" t="s">
        <v>41</v>
      </c>
      <c r="O173" t="s">
        <v>42</v>
      </c>
      <c r="P173" t="s">
        <v>32</v>
      </c>
      <c r="Q173">
        <v>11</v>
      </c>
      <c r="R173">
        <v>1</v>
      </c>
      <c r="S173">
        <v>1</v>
      </c>
      <c r="T173">
        <v>0</v>
      </c>
      <c r="U173">
        <v>0</v>
      </c>
      <c r="V173">
        <v>10</v>
      </c>
      <c r="W173">
        <v>32</v>
      </c>
      <c r="X173">
        <v>1362</v>
      </c>
      <c r="Y173">
        <v>26999</v>
      </c>
      <c r="Z173">
        <v>1009</v>
      </c>
      <c r="AA173">
        <v>5</v>
      </c>
      <c r="AB173">
        <v>37694</v>
      </c>
      <c r="AC173" s="10">
        <v>44319</v>
      </c>
      <c r="AD173" s="10">
        <v>44442</v>
      </c>
      <c r="AE173" t="s">
        <v>54</v>
      </c>
      <c r="AF173" t="s">
        <v>55</v>
      </c>
    </row>
    <row r="174" spans="1:32" x14ac:dyDescent="0.25">
      <c r="A174">
        <v>923</v>
      </c>
      <c r="B174">
        <v>21</v>
      </c>
      <c r="C174" t="s">
        <v>32</v>
      </c>
      <c r="D174" t="s">
        <v>33</v>
      </c>
      <c r="E174" t="s">
        <v>34</v>
      </c>
      <c r="F174" t="s">
        <v>64</v>
      </c>
      <c r="G174" t="s">
        <v>59</v>
      </c>
      <c r="H174" t="s">
        <v>47</v>
      </c>
      <c r="I174" t="s">
        <v>50</v>
      </c>
      <c r="J174" t="s">
        <v>39</v>
      </c>
      <c r="K174">
        <v>4</v>
      </c>
      <c r="L174">
        <v>3</v>
      </c>
      <c r="M174" t="s">
        <v>60</v>
      </c>
      <c r="N174" t="s">
        <v>41</v>
      </c>
      <c r="O174" t="s">
        <v>42</v>
      </c>
      <c r="P174" t="s">
        <v>43</v>
      </c>
      <c r="Q174">
        <v>19</v>
      </c>
      <c r="R174">
        <v>1</v>
      </c>
      <c r="S174">
        <v>1</v>
      </c>
      <c r="T174">
        <v>0</v>
      </c>
      <c r="U174">
        <v>0</v>
      </c>
      <c r="V174">
        <v>18</v>
      </c>
      <c r="W174">
        <v>65</v>
      </c>
      <c r="X174">
        <v>1427</v>
      </c>
      <c r="Y174">
        <v>8870</v>
      </c>
      <c r="Z174">
        <v>2693</v>
      </c>
      <c r="AA174">
        <v>3</v>
      </c>
      <c r="AB174">
        <v>37400</v>
      </c>
      <c r="AC174" s="10">
        <v>44339</v>
      </c>
      <c r="AD174" s="10">
        <v>44449</v>
      </c>
      <c r="AE174" t="s">
        <v>44</v>
      </c>
      <c r="AF174" t="s">
        <v>45</v>
      </c>
    </row>
    <row r="175" spans="1:32" x14ac:dyDescent="0.25">
      <c r="A175">
        <v>1458</v>
      </c>
      <c r="B175">
        <v>39</v>
      </c>
      <c r="C175" t="s">
        <v>32</v>
      </c>
      <c r="D175" t="s">
        <v>63</v>
      </c>
      <c r="E175" t="s">
        <v>34</v>
      </c>
      <c r="F175" t="s">
        <v>49</v>
      </c>
      <c r="G175" t="s">
        <v>36</v>
      </c>
      <c r="H175" t="s">
        <v>47</v>
      </c>
      <c r="I175" t="s">
        <v>38</v>
      </c>
      <c r="J175" t="s">
        <v>51</v>
      </c>
      <c r="K175">
        <v>1</v>
      </c>
      <c r="L175">
        <v>4</v>
      </c>
      <c r="M175" t="s">
        <v>58</v>
      </c>
      <c r="N175" t="s">
        <v>41</v>
      </c>
      <c r="O175" t="s">
        <v>42</v>
      </c>
      <c r="P175" t="s">
        <v>32</v>
      </c>
      <c r="Q175">
        <v>23</v>
      </c>
      <c r="R175">
        <v>2</v>
      </c>
      <c r="S175">
        <v>11</v>
      </c>
      <c r="T175">
        <v>0</v>
      </c>
      <c r="U175">
        <v>0</v>
      </c>
      <c r="V175">
        <v>2</v>
      </c>
      <c r="W175">
        <v>54</v>
      </c>
      <c r="X175">
        <v>592</v>
      </c>
      <c r="Y175">
        <v>17181</v>
      </c>
      <c r="Z175">
        <v>3646</v>
      </c>
      <c r="AA175">
        <v>2</v>
      </c>
      <c r="AB175">
        <v>30691</v>
      </c>
      <c r="AC175" s="10">
        <v>44118</v>
      </c>
      <c r="AD175" s="10">
        <v>44451</v>
      </c>
      <c r="AE175" t="s">
        <v>44</v>
      </c>
      <c r="AF175" t="s">
        <v>55</v>
      </c>
    </row>
    <row r="176" spans="1:32" x14ac:dyDescent="0.25">
      <c r="A176">
        <v>1494</v>
      </c>
      <c r="B176">
        <v>24</v>
      </c>
      <c r="C176" t="s">
        <v>32</v>
      </c>
      <c r="D176" t="s">
        <v>46</v>
      </c>
      <c r="E176" t="s">
        <v>34</v>
      </c>
      <c r="F176" t="s">
        <v>49</v>
      </c>
      <c r="G176" t="s">
        <v>38</v>
      </c>
      <c r="H176" t="s">
        <v>37</v>
      </c>
      <c r="I176" t="s">
        <v>50</v>
      </c>
      <c r="J176" t="s">
        <v>51</v>
      </c>
      <c r="K176">
        <v>1</v>
      </c>
      <c r="L176">
        <v>1</v>
      </c>
      <c r="M176" t="s">
        <v>60</v>
      </c>
      <c r="N176" t="s">
        <v>41</v>
      </c>
      <c r="O176" t="s">
        <v>42</v>
      </c>
      <c r="P176" t="s">
        <v>32</v>
      </c>
      <c r="Q176">
        <v>11</v>
      </c>
      <c r="R176">
        <v>2</v>
      </c>
      <c r="S176">
        <v>4</v>
      </c>
      <c r="T176">
        <v>0</v>
      </c>
      <c r="U176">
        <v>0</v>
      </c>
      <c r="V176">
        <v>9</v>
      </c>
      <c r="W176">
        <v>89</v>
      </c>
      <c r="X176">
        <v>381</v>
      </c>
      <c r="Y176">
        <v>16998</v>
      </c>
      <c r="Z176">
        <v>3172</v>
      </c>
      <c r="AA176">
        <v>2</v>
      </c>
      <c r="AB176">
        <v>36104</v>
      </c>
      <c r="AC176" s="10">
        <v>44303</v>
      </c>
      <c r="AD176" s="10">
        <v>44458</v>
      </c>
      <c r="AE176" t="s">
        <v>44</v>
      </c>
      <c r="AF176" t="s">
        <v>55</v>
      </c>
    </row>
    <row r="177" spans="1:32" x14ac:dyDescent="0.25">
      <c r="A177">
        <v>42</v>
      </c>
      <c r="B177">
        <v>39</v>
      </c>
      <c r="C177" t="s">
        <v>32</v>
      </c>
      <c r="D177" t="s">
        <v>33</v>
      </c>
      <c r="E177" t="s">
        <v>56</v>
      </c>
      <c r="F177" t="s">
        <v>49</v>
      </c>
      <c r="G177" t="s">
        <v>59</v>
      </c>
      <c r="H177" t="s">
        <v>37</v>
      </c>
      <c r="I177" t="s">
        <v>50</v>
      </c>
      <c r="J177" t="s">
        <v>66</v>
      </c>
      <c r="K177">
        <v>4</v>
      </c>
      <c r="L177">
        <v>3</v>
      </c>
      <c r="M177" t="s">
        <v>58</v>
      </c>
      <c r="N177" t="s">
        <v>61</v>
      </c>
      <c r="O177" t="s">
        <v>36</v>
      </c>
      <c r="P177" t="s">
        <v>43</v>
      </c>
      <c r="Q177">
        <v>14</v>
      </c>
      <c r="R177">
        <v>3</v>
      </c>
      <c r="S177">
        <v>19</v>
      </c>
      <c r="T177">
        <v>0</v>
      </c>
      <c r="U177">
        <v>0</v>
      </c>
      <c r="V177">
        <v>5</v>
      </c>
      <c r="W177">
        <v>56</v>
      </c>
      <c r="X177">
        <v>895</v>
      </c>
      <c r="Y177">
        <v>3335</v>
      </c>
      <c r="Z177">
        <v>2086</v>
      </c>
      <c r="AA177">
        <v>6</v>
      </c>
      <c r="AB177">
        <v>30862</v>
      </c>
      <c r="AC177" s="10">
        <v>44123</v>
      </c>
      <c r="AD177" s="10">
        <v>44465</v>
      </c>
      <c r="AE177" t="s">
        <v>44</v>
      </c>
      <c r="AF177" t="s">
        <v>45</v>
      </c>
    </row>
    <row r="178" spans="1:32" x14ac:dyDescent="0.25">
      <c r="A178">
        <v>1716</v>
      </c>
      <c r="B178">
        <v>47</v>
      </c>
      <c r="C178" t="s">
        <v>32</v>
      </c>
      <c r="D178" t="s">
        <v>46</v>
      </c>
      <c r="E178" t="s">
        <v>56</v>
      </c>
      <c r="F178" t="s">
        <v>49</v>
      </c>
      <c r="G178" t="s">
        <v>50</v>
      </c>
      <c r="H178" t="s">
        <v>37</v>
      </c>
      <c r="I178" t="s">
        <v>36</v>
      </c>
      <c r="J178" t="s">
        <v>57</v>
      </c>
      <c r="K178">
        <v>3</v>
      </c>
      <c r="L178">
        <v>3</v>
      </c>
      <c r="M178" t="s">
        <v>40</v>
      </c>
      <c r="N178" t="s">
        <v>61</v>
      </c>
      <c r="O178" t="s">
        <v>42</v>
      </c>
      <c r="P178" t="s">
        <v>43</v>
      </c>
      <c r="Q178">
        <v>11</v>
      </c>
      <c r="R178">
        <v>7</v>
      </c>
      <c r="S178">
        <v>25</v>
      </c>
      <c r="T178">
        <v>14</v>
      </c>
      <c r="U178">
        <v>10</v>
      </c>
      <c r="V178">
        <v>9</v>
      </c>
      <c r="W178">
        <v>82</v>
      </c>
      <c r="X178">
        <v>1093</v>
      </c>
      <c r="Y178">
        <v>24164</v>
      </c>
      <c r="Z178">
        <v>12936</v>
      </c>
      <c r="AA178">
        <v>3</v>
      </c>
      <c r="AB178">
        <v>27766</v>
      </c>
      <c r="AC178" s="10">
        <v>36431</v>
      </c>
      <c r="AD178" s="10">
        <v>44467</v>
      </c>
      <c r="AE178" t="s">
        <v>54</v>
      </c>
      <c r="AF178" t="s">
        <v>45</v>
      </c>
    </row>
    <row r="179" spans="1:32" x14ac:dyDescent="0.25">
      <c r="A179">
        <v>2023</v>
      </c>
      <c r="B179">
        <v>23</v>
      </c>
      <c r="C179" t="s">
        <v>32</v>
      </c>
      <c r="D179" t="s">
        <v>46</v>
      </c>
      <c r="E179" t="s">
        <v>56</v>
      </c>
      <c r="F179" t="s">
        <v>49</v>
      </c>
      <c r="G179" t="s">
        <v>59</v>
      </c>
      <c r="H179" t="s">
        <v>37</v>
      </c>
      <c r="I179" t="s">
        <v>50</v>
      </c>
      <c r="J179" t="s">
        <v>66</v>
      </c>
      <c r="K179">
        <v>1</v>
      </c>
      <c r="L179">
        <v>2</v>
      </c>
      <c r="M179" t="s">
        <v>60</v>
      </c>
      <c r="N179" t="s">
        <v>61</v>
      </c>
      <c r="O179" t="s">
        <v>36</v>
      </c>
      <c r="P179" t="s">
        <v>43</v>
      </c>
      <c r="Q179">
        <v>19</v>
      </c>
      <c r="R179">
        <v>1</v>
      </c>
      <c r="S179">
        <v>1</v>
      </c>
      <c r="T179">
        <v>1</v>
      </c>
      <c r="U179">
        <v>0</v>
      </c>
      <c r="V179">
        <v>9</v>
      </c>
      <c r="W179">
        <v>33</v>
      </c>
      <c r="X179">
        <v>638</v>
      </c>
      <c r="Y179">
        <v>26956</v>
      </c>
      <c r="Z179">
        <v>1790</v>
      </c>
      <c r="AA179">
        <v>3</v>
      </c>
      <c r="AB179">
        <v>36674</v>
      </c>
      <c r="AC179" s="10">
        <v>44121</v>
      </c>
      <c r="AD179" s="10">
        <v>44469</v>
      </c>
      <c r="AE179" t="s">
        <v>54</v>
      </c>
      <c r="AF179" t="s">
        <v>55</v>
      </c>
    </row>
    <row r="180" spans="1:32" x14ac:dyDescent="0.25">
      <c r="A180">
        <v>986</v>
      </c>
      <c r="B180">
        <v>40</v>
      </c>
      <c r="C180" t="s">
        <v>32</v>
      </c>
      <c r="D180" t="s">
        <v>63</v>
      </c>
      <c r="E180" t="s">
        <v>56</v>
      </c>
      <c r="F180" t="s">
        <v>49</v>
      </c>
      <c r="G180" t="s">
        <v>38</v>
      </c>
      <c r="H180" t="s">
        <v>47</v>
      </c>
      <c r="I180" t="s">
        <v>59</v>
      </c>
      <c r="J180" t="s">
        <v>57</v>
      </c>
      <c r="K180">
        <v>2</v>
      </c>
      <c r="L180">
        <v>2</v>
      </c>
      <c r="M180" t="s">
        <v>60</v>
      </c>
      <c r="N180" t="s">
        <v>41</v>
      </c>
      <c r="O180" t="s">
        <v>42</v>
      </c>
      <c r="P180" t="s">
        <v>32</v>
      </c>
      <c r="Q180">
        <v>16</v>
      </c>
      <c r="R180">
        <v>4</v>
      </c>
      <c r="S180">
        <v>22</v>
      </c>
      <c r="T180">
        <v>0</v>
      </c>
      <c r="U180">
        <v>0</v>
      </c>
      <c r="V180">
        <v>24</v>
      </c>
      <c r="W180">
        <v>100</v>
      </c>
      <c r="X180">
        <v>1479</v>
      </c>
      <c r="Y180">
        <v>17071</v>
      </c>
      <c r="Z180">
        <v>13194</v>
      </c>
      <c r="AA180">
        <v>2</v>
      </c>
      <c r="AB180">
        <v>30380</v>
      </c>
      <c r="AC180" s="10">
        <v>44246</v>
      </c>
      <c r="AD180" s="10">
        <v>44469</v>
      </c>
      <c r="AE180" t="s">
        <v>44</v>
      </c>
      <c r="AF180" t="s">
        <v>55</v>
      </c>
    </row>
    <row r="181" spans="1:32" x14ac:dyDescent="0.25">
      <c r="A181">
        <v>1761</v>
      </c>
      <c r="B181">
        <v>31</v>
      </c>
      <c r="C181" t="s">
        <v>32</v>
      </c>
      <c r="D181" t="s">
        <v>33</v>
      </c>
      <c r="E181" t="s">
        <v>56</v>
      </c>
      <c r="F181" t="s">
        <v>35</v>
      </c>
      <c r="G181" t="s">
        <v>36</v>
      </c>
      <c r="H181" t="s">
        <v>37</v>
      </c>
      <c r="I181" t="s">
        <v>50</v>
      </c>
      <c r="J181" t="s">
        <v>57</v>
      </c>
      <c r="K181">
        <v>3</v>
      </c>
      <c r="L181">
        <v>1</v>
      </c>
      <c r="M181" t="s">
        <v>48</v>
      </c>
      <c r="N181" t="s">
        <v>61</v>
      </c>
      <c r="O181" t="s">
        <v>50</v>
      </c>
      <c r="P181" t="s">
        <v>43</v>
      </c>
      <c r="Q181">
        <v>13</v>
      </c>
      <c r="R181">
        <v>2</v>
      </c>
      <c r="S181">
        <v>10</v>
      </c>
      <c r="T181">
        <v>0</v>
      </c>
      <c r="U181">
        <v>0</v>
      </c>
      <c r="V181">
        <v>16</v>
      </c>
      <c r="W181">
        <v>70</v>
      </c>
      <c r="X181">
        <v>1079</v>
      </c>
      <c r="Y181">
        <v>19002</v>
      </c>
      <c r="Z181">
        <v>8161</v>
      </c>
      <c r="AA181">
        <v>2</v>
      </c>
      <c r="AB181">
        <v>33615</v>
      </c>
      <c r="AC181" s="10">
        <v>44119</v>
      </c>
      <c r="AD181" s="10">
        <v>44474</v>
      </c>
      <c r="AE181" t="s">
        <v>54</v>
      </c>
      <c r="AF181" t="s">
        <v>45</v>
      </c>
    </row>
    <row r="182" spans="1:32" x14ac:dyDescent="0.25">
      <c r="A182">
        <v>1360</v>
      </c>
      <c r="B182">
        <v>58</v>
      </c>
      <c r="C182" t="s">
        <v>32</v>
      </c>
      <c r="D182" t="s">
        <v>33</v>
      </c>
      <c r="E182" t="s">
        <v>34</v>
      </c>
      <c r="F182" t="s">
        <v>35</v>
      </c>
      <c r="G182" t="s">
        <v>50</v>
      </c>
      <c r="H182" t="s">
        <v>47</v>
      </c>
      <c r="I182" t="s">
        <v>38</v>
      </c>
      <c r="J182" t="s">
        <v>65</v>
      </c>
      <c r="K182">
        <v>1</v>
      </c>
      <c r="L182">
        <v>3</v>
      </c>
      <c r="M182" t="s">
        <v>60</v>
      </c>
      <c r="N182" t="s">
        <v>61</v>
      </c>
      <c r="O182" t="s">
        <v>42</v>
      </c>
      <c r="P182" t="s">
        <v>32</v>
      </c>
      <c r="Q182">
        <v>14</v>
      </c>
      <c r="R182">
        <v>7</v>
      </c>
      <c r="S182">
        <v>31</v>
      </c>
      <c r="T182">
        <v>5</v>
      </c>
      <c r="U182">
        <v>9</v>
      </c>
      <c r="V182">
        <v>7</v>
      </c>
      <c r="W182">
        <v>53</v>
      </c>
      <c r="X182">
        <v>601</v>
      </c>
      <c r="Y182">
        <v>12023</v>
      </c>
      <c r="Z182">
        <v>10008</v>
      </c>
      <c r="AA182">
        <v>0</v>
      </c>
      <c r="AB182">
        <v>23811</v>
      </c>
      <c r="AC182" s="10">
        <v>41030</v>
      </c>
      <c r="AD182" s="10">
        <v>44477</v>
      </c>
      <c r="AE182" t="s">
        <v>44</v>
      </c>
      <c r="AF182" t="s">
        <v>45</v>
      </c>
    </row>
    <row r="183" spans="1:32" x14ac:dyDescent="0.25">
      <c r="A183">
        <v>684</v>
      </c>
      <c r="B183">
        <v>45</v>
      </c>
      <c r="C183" t="s">
        <v>32</v>
      </c>
      <c r="D183" t="s">
        <v>46</v>
      </c>
      <c r="E183" t="s">
        <v>56</v>
      </c>
      <c r="F183" t="s">
        <v>35</v>
      </c>
      <c r="G183" t="s">
        <v>36</v>
      </c>
      <c r="H183" t="s">
        <v>47</v>
      </c>
      <c r="I183" t="s">
        <v>50</v>
      </c>
      <c r="J183" t="s">
        <v>57</v>
      </c>
      <c r="K183">
        <v>1</v>
      </c>
      <c r="L183">
        <v>3</v>
      </c>
      <c r="M183" t="s">
        <v>48</v>
      </c>
      <c r="N183" t="s">
        <v>61</v>
      </c>
      <c r="O183" t="s">
        <v>53</v>
      </c>
      <c r="P183" t="s">
        <v>43</v>
      </c>
      <c r="Q183">
        <v>14</v>
      </c>
      <c r="R183">
        <v>2</v>
      </c>
      <c r="S183">
        <v>5</v>
      </c>
      <c r="T183">
        <v>0</v>
      </c>
      <c r="U183">
        <v>0</v>
      </c>
      <c r="V183">
        <v>26</v>
      </c>
      <c r="W183">
        <v>100</v>
      </c>
      <c r="X183">
        <v>306</v>
      </c>
      <c r="Y183">
        <v>5630</v>
      </c>
      <c r="Z183">
        <v>4286</v>
      </c>
      <c r="AA183">
        <v>4</v>
      </c>
      <c r="AB183">
        <v>28388</v>
      </c>
      <c r="AC183" s="10">
        <v>44435</v>
      </c>
      <c r="AD183" s="10">
        <v>44488</v>
      </c>
      <c r="AE183" t="s">
        <v>44</v>
      </c>
      <c r="AF183" t="s">
        <v>45</v>
      </c>
    </row>
    <row r="184" spans="1:32" x14ac:dyDescent="0.25">
      <c r="A184">
        <v>1572</v>
      </c>
      <c r="B184">
        <v>53</v>
      </c>
      <c r="C184" t="s">
        <v>32</v>
      </c>
      <c r="D184" t="s">
        <v>33</v>
      </c>
      <c r="E184" t="s">
        <v>34</v>
      </c>
      <c r="F184" t="s">
        <v>70</v>
      </c>
      <c r="G184" t="s">
        <v>50</v>
      </c>
      <c r="H184" t="s">
        <v>47</v>
      </c>
      <c r="I184" t="s">
        <v>38</v>
      </c>
      <c r="J184" t="s">
        <v>65</v>
      </c>
      <c r="K184">
        <v>4</v>
      </c>
      <c r="L184">
        <v>3</v>
      </c>
      <c r="M184" t="s">
        <v>48</v>
      </c>
      <c r="N184" t="s">
        <v>61</v>
      </c>
      <c r="O184" t="s">
        <v>36</v>
      </c>
      <c r="P184" t="s">
        <v>43</v>
      </c>
      <c r="Q184">
        <v>16</v>
      </c>
      <c r="R184">
        <v>0</v>
      </c>
      <c r="S184">
        <v>8</v>
      </c>
      <c r="T184">
        <v>1</v>
      </c>
      <c r="U184">
        <v>1</v>
      </c>
      <c r="V184">
        <v>2</v>
      </c>
      <c r="W184">
        <v>78</v>
      </c>
      <c r="X184">
        <v>607</v>
      </c>
      <c r="Y184">
        <v>14618</v>
      </c>
      <c r="Z184">
        <v>10169</v>
      </c>
      <c r="AA184">
        <v>4</v>
      </c>
      <c r="AB184">
        <v>25587</v>
      </c>
      <c r="AC184" s="10">
        <v>44120</v>
      </c>
      <c r="AD184" s="10">
        <v>44493</v>
      </c>
      <c r="AE184" t="s">
        <v>44</v>
      </c>
      <c r="AF184" t="s">
        <v>45</v>
      </c>
    </row>
    <row r="185" spans="1:32" x14ac:dyDescent="0.25">
      <c r="A185">
        <v>1273</v>
      </c>
      <c r="B185">
        <v>25</v>
      </c>
      <c r="C185" t="s">
        <v>32</v>
      </c>
      <c r="D185" t="s">
        <v>46</v>
      </c>
      <c r="E185" t="s">
        <v>56</v>
      </c>
      <c r="F185" t="s">
        <v>64</v>
      </c>
      <c r="G185" t="s">
        <v>50</v>
      </c>
      <c r="H185" t="s">
        <v>37</v>
      </c>
      <c r="I185" t="s">
        <v>36</v>
      </c>
      <c r="J185" t="s">
        <v>66</v>
      </c>
      <c r="K185">
        <v>4</v>
      </c>
      <c r="L185">
        <v>3</v>
      </c>
      <c r="M185" t="s">
        <v>48</v>
      </c>
      <c r="N185" t="s">
        <v>41</v>
      </c>
      <c r="O185" t="s">
        <v>42</v>
      </c>
      <c r="P185" t="s">
        <v>32</v>
      </c>
      <c r="Q185">
        <v>14</v>
      </c>
      <c r="R185">
        <v>1</v>
      </c>
      <c r="S185">
        <v>1</v>
      </c>
      <c r="T185">
        <v>1</v>
      </c>
      <c r="U185">
        <v>0</v>
      </c>
      <c r="V185">
        <v>24</v>
      </c>
      <c r="W185">
        <v>73</v>
      </c>
      <c r="X185">
        <v>599</v>
      </c>
      <c r="Y185">
        <v>8040</v>
      </c>
      <c r="Z185">
        <v>1118</v>
      </c>
      <c r="AA185">
        <v>4</v>
      </c>
      <c r="AB185">
        <v>35684</v>
      </c>
      <c r="AC185" s="10">
        <v>44257</v>
      </c>
      <c r="AD185" s="10">
        <v>44493</v>
      </c>
      <c r="AE185" t="s">
        <v>44</v>
      </c>
      <c r="AF185" t="s">
        <v>55</v>
      </c>
    </row>
    <row r="186" spans="1:32" x14ac:dyDescent="0.25">
      <c r="A186">
        <v>587</v>
      </c>
      <c r="B186">
        <v>31</v>
      </c>
      <c r="C186" t="s">
        <v>32</v>
      </c>
      <c r="D186" t="s">
        <v>46</v>
      </c>
      <c r="E186" t="s">
        <v>34</v>
      </c>
      <c r="F186" t="s">
        <v>49</v>
      </c>
      <c r="G186" t="s">
        <v>36</v>
      </c>
      <c r="H186" t="s">
        <v>37</v>
      </c>
      <c r="I186" t="s">
        <v>50</v>
      </c>
      <c r="J186" t="s">
        <v>62</v>
      </c>
      <c r="K186">
        <v>3</v>
      </c>
      <c r="L186">
        <v>3</v>
      </c>
      <c r="M186" t="s">
        <v>48</v>
      </c>
      <c r="N186" t="s">
        <v>61</v>
      </c>
      <c r="O186" t="s">
        <v>42</v>
      </c>
      <c r="P186" t="s">
        <v>43</v>
      </c>
      <c r="Q186">
        <v>12</v>
      </c>
      <c r="R186">
        <v>3</v>
      </c>
      <c r="S186">
        <v>12</v>
      </c>
      <c r="T186">
        <v>0</v>
      </c>
      <c r="U186">
        <v>0</v>
      </c>
      <c r="V186">
        <v>20</v>
      </c>
      <c r="W186">
        <v>66</v>
      </c>
      <c r="X186">
        <v>534</v>
      </c>
      <c r="Y186">
        <v>22908</v>
      </c>
      <c r="Z186">
        <v>9824</v>
      </c>
      <c r="AA186">
        <v>2</v>
      </c>
      <c r="AB186">
        <v>33601</v>
      </c>
      <c r="AC186" s="10">
        <v>44424</v>
      </c>
      <c r="AD186" s="10">
        <v>44495</v>
      </c>
      <c r="AE186" t="s">
        <v>54</v>
      </c>
      <c r="AF186" t="s">
        <v>55</v>
      </c>
    </row>
    <row r="187" spans="1:32" x14ac:dyDescent="0.25">
      <c r="A187">
        <v>494</v>
      </c>
      <c r="B187">
        <v>21</v>
      </c>
      <c r="C187" t="s">
        <v>32</v>
      </c>
      <c r="D187" t="s">
        <v>33</v>
      </c>
      <c r="E187" t="s">
        <v>56</v>
      </c>
      <c r="F187" t="s">
        <v>49</v>
      </c>
      <c r="G187" t="s">
        <v>50</v>
      </c>
      <c r="H187" t="s">
        <v>47</v>
      </c>
      <c r="I187" t="s">
        <v>59</v>
      </c>
      <c r="J187" t="s">
        <v>66</v>
      </c>
      <c r="K187">
        <v>2</v>
      </c>
      <c r="L187">
        <v>2</v>
      </c>
      <c r="M187" t="s">
        <v>48</v>
      </c>
      <c r="N187" t="s">
        <v>41</v>
      </c>
      <c r="O187" t="s">
        <v>42</v>
      </c>
      <c r="P187" t="s">
        <v>43</v>
      </c>
      <c r="Q187">
        <v>15</v>
      </c>
      <c r="R187">
        <v>1</v>
      </c>
      <c r="S187">
        <v>1</v>
      </c>
      <c r="T187">
        <v>0</v>
      </c>
      <c r="U187">
        <v>0</v>
      </c>
      <c r="V187">
        <v>12</v>
      </c>
      <c r="W187">
        <v>90</v>
      </c>
      <c r="X187">
        <v>156</v>
      </c>
      <c r="Y187">
        <v>25422</v>
      </c>
      <c r="Z187">
        <v>2716</v>
      </c>
      <c r="AA187">
        <v>0</v>
      </c>
      <c r="AB187">
        <v>37336</v>
      </c>
      <c r="AC187" s="10">
        <v>44269</v>
      </c>
      <c r="AD187" s="10">
        <v>44498</v>
      </c>
      <c r="AE187" t="s">
        <v>44</v>
      </c>
      <c r="AF187" t="s">
        <v>45</v>
      </c>
    </row>
    <row r="188" spans="1:32" x14ac:dyDescent="0.25">
      <c r="A188">
        <v>952</v>
      </c>
      <c r="B188">
        <v>25</v>
      </c>
      <c r="C188" t="s">
        <v>32</v>
      </c>
      <c r="D188" t="s">
        <v>33</v>
      </c>
      <c r="E188" t="s">
        <v>56</v>
      </c>
      <c r="F188" t="s">
        <v>67</v>
      </c>
      <c r="G188" t="s">
        <v>50</v>
      </c>
      <c r="H188" t="s">
        <v>37</v>
      </c>
      <c r="I188" t="s">
        <v>38</v>
      </c>
      <c r="J188" t="s">
        <v>66</v>
      </c>
      <c r="K188">
        <v>2</v>
      </c>
      <c r="L188">
        <v>3</v>
      </c>
      <c r="M188" t="s">
        <v>48</v>
      </c>
      <c r="N188" t="s">
        <v>61</v>
      </c>
      <c r="O188" t="s">
        <v>50</v>
      </c>
      <c r="P188" t="s">
        <v>32</v>
      </c>
      <c r="Q188">
        <v>18</v>
      </c>
      <c r="R188">
        <v>1</v>
      </c>
      <c r="S188">
        <v>1</v>
      </c>
      <c r="T188">
        <v>0</v>
      </c>
      <c r="U188">
        <v>0</v>
      </c>
      <c r="V188">
        <v>19</v>
      </c>
      <c r="W188">
        <v>36</v>
      </c>
      <c r="X188">
        <v>867</v>
      </c>
      <c r="Y188">
        <v>18798</v>
      </c>
      <c r="Z188">
        <v>2413</v>
      </c>
      <c r="AA188">
        <v>2</v>
      </c>
      <c r="AB188">
        <v>35786</v>
      </c>
      <c r="AC188" s="10">
        <v>44370</v>
      </c>
      <c r="AD188" s="10">
        <v>44501</v>
      </c>
      <c r="AE188" t="s">
        <v>44</v>
      </c>
      <c r="AF188" t="s">
        <v>55</v>
      </c>
    </row>
    <row r="189" spans="1:32" x14ac:dyDescent="0.25">
      <c r="A189">
        <v>1165</v>
      </c>
      <c r="B189">
        <v>29</v>
      </c>
      <c r="C189" t="s">
        <v>32</v>
      </c>
      <c r="D189" t="s">
        <v>33</v>
      </c>
      <c r="E189" t="s">
        <v>56</v>
      </c>
      <c r="F189" t="s">
        <v>64</v>
      </c>
      <c r="G189" t="s">
        <v>59</v>
      </c>
      <c r="H189" t="s">
        <v>47</v>
      </c>
      <c r="I189" t="s">
        <v>38</v>
      </c>
      <c r="J189" t="s">
        <v>57</v>
      </c>
      <c r="K189">
        <v>1</v>
      </c>
      <c r="L189">
        <v>2</v>
      </c>
      <c r="M189" t="s">
        <v>40</v>
      </c>
      <c r="N189" t="s">
        <v>61</v>
      </c>
      <c r="O189" t="s">
        <v>36</v>
      </c>
      <c r="P189" t="s">
        <v>43</v>
      </c>
      <c r="Q189">
        <v>13</v>
      </c>
      <c r="R189">
        <v>1</v>
      </c>
      <c r="S189">
        <v>11</v>
      </c>
      <c r="T189">
        <v>3</v>
      </c>
      <c r="U189">
        <v>10</v>
      </c>
      <c r="V189">
        <v>23</v>
      </c>
      <c r="W189">
        <v>45</v>
      </c>
      <c r="X189">
        <v>408</v>
      </c>
      <c r="Y189">
        <v>11162</v>
      </c>
      <c r="Z189">
        <v>7336</v>
      </c>
      <c r="AA189">
        <v>3</v>
      </c>
      <c r="AB189">
        <v>34287</v>
      </c>
      <c r="AC189" s="10">
        <v>40655</v>
      </c>
      <c r="AD189" s="10">
        <v>44503</v>
      </c>
      <c r="AE189" t="s">
        <v>44</v>
      </c>
      <c r="AF189" t="s">
        <v>45</v>
      </c>
    </row>
    <row r="190" spans="1:32" x14ac:dyDescent="0.25">
      <c r="A190">
        <v>1079</v>
      </c>
      <c r="B190">
        <v>21</v>
      </c>
      <c r="C190" t="s">
        <v>32</v>
      </c>
      <c r="D190" t="s">
        <v>33</v>
      </c>
      <c r="E190" t="s">
        <v>34</v>
      </c>
      <c r="F190" t="s">
        <v>49</v>
      </c>
      <c r="G190" t="s">
        <v>50</v>
      </c>
      <c r="H190" t="s">
        <v>47</v>
      </c>
      <c r="I190" t="s">
        <v>38</v>
      </c>
      <c r="J190" t="s">
        <v>51</v>
      </c>
      <c r="K190">
        <v>1</v>
      </c>
      <c r="L190">
        <v>1</v>
      </c>
      <c r="M190" t="s">
        <v>60</v>
      </c>
      <c r="N190" t="s">
        <v>41</v>
      </c>
      <c r="O190" t="s">
        <v>42</v>
      </c>
      <c r="P190" t="s">
        <v>43</v>
      </c>
      <c r="Q190">
        <v>13</v>
      </c>
      <c r="R190">
        <v>1</v>
      </c>
      <c r="S190">
        <v>1</v>
      </c>
      <c r="T190">
        <v>0</v>
      </c>
      <c r="U190">
        <v>0</v>
      </c>
      <c r="V190">
        <v>10</v>
      </c>
      <c r="W190">
        <v>36</v>
      </c>
      <c r="X190">
        <v>1334</v>
      </c>
      <c r="Y190">
        <v>17258</v>
      </c>
      <c r="Z190">
        <v>1416</v>
      </c>
      <c r="AA190">
        <v>6</v>
      </c>
      <c r="AB190">
        <v>37380</v>
      </c>
      <c r="AC190" s="10">
        <v>44455</v>
      </c>
      <c r="AD190" s="10">
        <v>44505</v>
      </c>
      <c r="AE190" t="s">
        <v>54</v>
      </c>
      <c r="AF190" t="s">
        <v>45</v>
      </c>
    </row>
    <row r="191" spans="1:32" x14ac:dyDescent="0.25">
      <c r="A191">
        <v>1107</v>
      </c>
      <c r="B191">
        <v>26</v>
      </c>
      <c r="C191" t="s">
        <v>32</v>
      </c>
      <c r="D191" t="s">
        <v>33</v>
      </c>
      <c r="E191" t="s">
        <v>34</v>
      </c>
      <c r="F191" t="s">
        <v>49</v>
      </c>
      <c r="G191" t="s">
        <v>36</v>
      </c>
      <c r="H191" t="s">
        <v>37</v>
      </c>
      <c r="I191" t="s">
        <v>50</v>
      </c>
      <c r="J191" t="s">
        <v>51</v>
      </c>
      <c r="K191">
        <v>3</v>
      </c>
      <c r="L191">
        <v>4</v>
      </c>
      <c r="M191" t="s">
        <v>60</v>
      </c>
      <c r="N191" t="s">
        <v>52</v>
      </c>
      <c r="O191" t="s">
        <v>36</v>
      </c>
      <c r="P191" t="s">
        <v>43</v>
      </c>
      <c r="Q191">
        <v>20</v>
      </c>
      <c r="R191">
        <v>1</v>
      </c>
      <c r="S191">
        <v>1</v>
      </c>
      <c r="T191">
        <v>0</v>
      </c>
      <c r="U191">
        <v>0</v>
      </c>
      <c r="V191">
        <v>21</v>
      </c>
      <c r="W191">
        <v>37</v>
      </c>
      <c r="X191">
        <v>1330</v>
      </c>
      <c r="Y191">
        <v>19373</v>
      </c>
      <c r="Z191">
        <v>2377</v>
      </c>
      <c r="AA191">
        <v>0</v>
      </c>
      <c r="AB191">
        <v>35389</v>
      </c>
      <c r="AC191" s="10">
        <v>44428</v>
      </c>
      <c r="AD191" s="10">
        <v>44505</v>
      </c>
      <c r="AE191" t="s">
        <v>44</v>
      </c>
      <c r="AF191" t="s">
        <v>45</v>
      </c>
    </row>
    <row r="192" spans="1:32" x14ac:dyDescent="0.25">
      <c r="A192">
        <v>959</v>
      </c>
      <c r="B192">
        <v>19</v>
      </c>
      <c r="C192" t="s">
        <v>32</v>
      </c>
      <c r="D192" t="s">
        <v>33</v>
      </c>
      <c r="E192" t="s">
        <v>56</v>
      </c>
      <c r="F192" t="s">
        <v>49</v>
      </c>
      <c r="G192" t="s">
        <v>59</v>
      </c>
      <c r="H192" t="s">
        <v>37</v>
      </c>
      <c r="I192" t="s">
        <v>38</v>
      </c>
      <c r="J192" t="s">
        <v>66</v>
      </c>
      <c r="K192">
        <v>2</v>
      </c>
      <c r="L192">
        <v>3</v>
      </c>
      <c r="M192" t="s">
        <v>58</v>
      </c>
      <c r="N192" t="s">
        <v>41</v>
      </c>
      <c r="O192" t="s">
        <v>42</v>
      </c>
      <c r="P192" t="s">
        <v>32</v>
      </c>
      <c r="Q192">
        <v>13</v>
      </c>
      <c r="R192">
        <v>1</v>
      </c>
      <c r="S192">
        <v>1</v>
      </c>
      <c r="T192">
        <v>0</v>
      </c>
      <c r="U192">
        <v>0</v>
      </c>
      <c r="V192">
        <v>21</v>
      </c>
      <c r="W192">
        <v>37</v>
      </c>
      <c r="X192">
        <v>419</v>
      </c>
      <c r="Y192">
        <v>9947</v>
      </c>
      <c r="Z192">
        <v>2121</v>
      </c>
      <c r="AA192">
        <v>3</v>
      </c>
      <c r="AB192">
        <v>37926</v>
      </c>
      <c r="AC192" s="10">
        <v>44500</v>
      </c>
      <c r="AD192" s="10">
        <v>44524</v>
      </c>
      <c r="AE192" t="s">
        <v>44</v>
      </c>
      <c r="AF192" t="s">
        <v>45</v>
      </c>
    </row>
    <row r="193" spans="1:32" x14ac:dyDescent="0.25">
      <c r="A193">
        <v>702</v>
      </c>
      <c r="B193">
        <v>33</v>
      </c>
      <c r="C193" t="s">
        <v>32</v>
      </c>
      <c r="D193" t="s">
        <v>46</v>
      </c>
      <c r="E193" t="s">
        <v>34</v>
      </c>
      <c r="F193" t="s">
        <v>49</v>
      </c>
      <c r="G193" t="s">
        <v>36</v>
      </c>
      <c r="H193" t="s">
        <v>37</v>
      </c>
      <c r="I193" t="s">
        <v>50</v>
      </c>
      <c r="J193" t="s">
        <v>39</v>
      </c>
      <c r="K193">
        <v>1</v>
      </c>
      <c r="L193">
        <v>2</v>
      </c>
      <c r="M193" t="s">
        <v>48</v>
      </c>
      <c r="N193" t="s">
        <v>41</v>
      </c>
      <c r="O193" t="s">
        <v>42</v>
      </c>
      <c r="P193" t="s">
        <v>32</v>
      </c>
      <c r="Q193">
        <v>11</v>
      </c>
      <c r="R193">
        <v>1</v>
      </c>
      <c r="S193">
        <v>10</v>
      </c>
      <c r="T193">
        <v>9</v>
      </c>
      <c r="U193">
        <v>7</v>
      </c>
      <c r="V193">
        <v>3</v>
      </c>
      <c r="W193">
        <v>70</v>
      </c>
      <c r="X193">
        <v>1076</v>
      </c>
      <c r="Y193">
        <v>3164</v>
      </c>
      <c r="Z193">
        <v>3348</v>
      </c>
      <c r="AA193">
        <v>3</v>
      </c>
      <c r="AB193">
        <v>32892</v>
      </c>
      <c r="AC193" s="10">
        <v>40923</v>
      </c>
      <c r="AD193" s="10">
        <v>44525</v>
      </c>
      <c r="AE193" t="s">
        <v>44</v>
      </c>
      <c r="AF193" t="s">
        <v>55</v>
      </c>
    </row>
    <row r="194" spans="1:32" x14ac:dyDescent="0.25">
      <c r="A194">
        <v>445</v>
      </c>
      <c r="B194">
        <v>39</v>
      </c>
      <c r="C194" t="s">
        <v>32</v>
      </c>
      <c r="D194" t="s">
        <v>33</v>
      </c>
      <c r="E194" t="s">
        <v>56</v>
      </c>
      <c r="F194" t="s">
        <v>67</v>
      </c>
      <c r="G194" t="s">
        <v>59</v>
      </c>
      <c r="H194" t="s">
        <v>47</v>
      </c>
      <c r="I194" t="s">
        <v>50</v>
      </c>
      <c r="J194" t="s">
        <v>57</v>
      </c>
      <c r="K194">
        <v>3</v>
      </c>
      <c r="L194">
        <v>1</v>
      </c>
      <c r="M194" t="s">
        <v>60</v>
      </c>
      <c r="N194" t="s">
        <v>61</v>
      </c>
      <c r="O194" t="s">
        <v>42</v>
      </c>
      <c r="P194" t="s">
        <v>32</v>
      </c>
      <c r="Q194">
        <v>18</v>
      </c>
      <c r="R194">
        <v>4</v>
      </c>
      <c r="S194">
        <v>12</v>
      </c>
      <c r="T194">
        <v>0</v>
      </c>
      <c r="U194">
        <v>0</v>
      </c>
      <c r="V194">
        <v>3</v>
      </c>
      <c r="W194">
        <v>41</v>
      </c>
      <c r="X194">
        <v>1162</v>
      </c>
      <c r="Y194">
        <v>17778</v>
      </c>
      <c r="Z194">
        <v>5238</v>
      </c>
      <c r="AA194">
        <v>3</v>
      </c>
      <c r="AB194">
        <v>30833</v>
      </c>
      <c r="AC194" s="10">
        <v>44308</v>
      </c>
      <c r="AD194" s="10">
        <v>44526</v>
      </c>
      <c r="AE194" t="s">
        <v>44</v>
      </c>
      <c r="AF194" t="s">
        <v>45</v>
      </c>
    </row>
    <row r="195" spans="1:32" x14ac:dyDescent="0.25">
      <c r="A195">
        <v>1928</v>
      </c>
      <c r="B195">
        <v>29</v>
      </c>
      <c r="C195" t="s">
        <v>32</v>
      </c>
      <c r="D195" t="s">
        <v>46</v>
      </c>
      <c r="E195" t="s">
        <v>56</v>
      </c>
      <c r="F195" t="s">
        <v>49</v>
      </c>
      <c r="G195" t="s">
        <v>50</v>
      </c>
      <c r="H195" t="s">
        <v>37</v>
      </c>
      <c r="I195" t="s">
        <v>59</v>
      </c>
      <c r="J195" t="s">
        <v>66</v>
      </c>
      <c r="K195">
        <v>1</v>
      </c>
      <c r="L195">
        <v>2</v>
      </c>
      <c r="M195" t="s">
        <v>48</v>
      </c>
      <c r="N195" t="s">
        <v>41</v>
      </c>
      <c r="O195" t="s">
        <v>42</v>
      </c>
      <c r="P195" t="s">
        <v>43</v>
      </c>
      <c r="Q195">
        <v>17</v>
      </c>
      <c r="R195">
        <v>1</v>
      </c>
      <c r="S195">
        <v>1</v>
      </c>
      <c r="T195">
        <v>0</v>
      </c>
      <c r="U195">
        <v>0</v>
      </c>
      <c r="V195">
        <v>24</v>
      </c>
      <c r="W195">
        <v>45</v>
      </c>
      <c r="X195">
        <v>746</v>
      </c>
      <c r="Y195">
        <v>10642</v>
      </c>
      <c r="Z195">
        <v>1091</v>
      </c>
      <c r="AA195">
        <v>3</v>
      </c>
      <c r="AB195">
        <v>34336</v>
      </c>
      <c r="AC195" s="10">
        <v>44387</v>
      </c>
      <c r="AD195" s="10">
        <v>44527</v>
      </c>
      <c r="AE195" t="s">
        <v>54</v>
      </c>
      <c r="AF195" t="s">
        <v>45</v>
      </c>
    </row>
    <row r="196" spans="1:32" x14ac:dyDescent="0.25">
      <c r="A196">
        <v>282</v>
      </c>
      <c r="B196">
        <v>38</v>
      </c>
      <c r="C196" t="s">
        <v>32</v>
      </c>
      <c r="D196" t="s">
        <v>33</v>
      </c>
      <c r="E196" t="s">
        <v>34</v>
      </c>
      <c r="F196" t="s">
        <v>64</v>
      </c>
      <c r="G196" t="s">
        <v>38</v>
      </c>
      <c r="H196" t="s">
        <v>37</v>
      </c>
      <c r="I196" t="s">
        <v>50</v>
      </c>
      <c r="J196" t="s">
        <v>62</v>
      </c>
      <c r="K196">
        <v>1</v>
      </c>
      <c r="L196">
        <v>3</v>
      </c>
      <c r="M196" t="s">
        <v>48</v>
      </c>
      <c r="N196" t="s">
        <v>61</v>
      </c>
      <c r="O196" t="s">
        <v>42</v>
      </c>
      <c r="P196" t="s">
        <v>32</v>
      </c>
      <c r="Q196">
        <v>19</v>
      </c>
      <c r="R196">
        <v>7</v>
      </c>
      <c r="S196">
        <v>17</v>
      </c>
      <c r="T196">
        <v>0</v>
      </c>
      <c r="U196">
        <v>0</v>
      </c>
      <c r="V196">
        <v>29</v>
      </c>
      <c r="W196">
        <v>70</v>
      </c>
      <c r="X196">
        <v>1180</v>
      </c>
      <c r="Y196">
        <v>11354</v>
      </c>
      <c r="Z196">
        <v>6673</v>
      </c>
      <c r="AA196">
        <v>2</v>
      </c>
      <c r="AB196">
        <v>31196</v>
      </c>
      <c r="AC196" s="10">
        <v>44409</v>
      </c>
      <c r="AD196" s="10">
        <v>44531</v>
      </c>
      <c r="AE196" t="s">
        <v>44</v>
      </c>
      <c r="AF196" t="s">
        <v>45</v>
      </c>
    </row>
    <row r="197" spans="1:32" x14ac:dyDescent="0.25">
      <c r="A197">
        <v>137</v>
      </c>
      <c r="B197">
        <v>20</v>
      </c>
      <c r="C197" t="s">
        <v>32</v>
      </c>
      <c r="D197" t="s">
        <v>46</v>
      </c>
      <c r="E197" t="s">
        <v>34</v>
      </c>
      <c r="F197" t="s">
        <v>49</v>
      </c>
      <c r="G197" t="s">
        <v>59</v>
      </c>
      <c r="H197" t="s">
        <v>47</v>
      </c>
      <c r="I197" t="s">
        <v>38</v>
      </c>
      <c r="J197" t="s">
        <v>51</v>
      </c>
      <c r="K197">
        <v>4</v>
      </c>
      <c r="L197">
        <v>3</v>
      </c>
      <c r="M197" t="s">
        <v>48</v>
      </c>
      <c r="N197" t="s">
        <v>41</v>
      </c>
      <c r="O197" t="s">
        <v>42</v>
      </c>
      <c r="P197" t="s">
        <v>32</v>
      </c>
      <c r="Q197">
        <v>18</v>
      </c>
      <c r="R197">
        <v>1</v>
      </c>
      <c r="S197">
        <v>1</v>
      </c>
      <c r="T197">
        <v>0</v>
      </c>
      <c r="U197">
        <v>0</v>
      </c>
      <c r="V197">
        <v>6</v>
      </c>
      <c r="W197">
        <v>66</v>
      </c>
      <c r="X197">
        <v>871</v>
      </c>
      <c r="Y197">
        <v>19783</v>
      </c>
      <c r="Z197">
        <v>2926</v>
      </c>
      <c r="AA197">
        <v>5</v>
      </c>
      <c r="AB197">
        <v>37678</v>
      </c>
      <c r="AC197" s="10">
        <v>44474</v>
      </c>
      <c r="AD197" s="10">
        <v>44533</v>
      </c>
      <c r="AE197" t="s">
        <v>54</v>
      </c>
      <c r="AF197" t="s">
        <v>45</v>
      </c>
    </row>
    <row r="198" spans="1:32" x14ac:dyDescent="0.25">
      <c r="A198">
        <v>780</v>
      </c>
      <c r="B198">
        <v>33</v>
      </c>
      <c r="C198" t="s">
        <v>32</v>
      </c>
      <c r="D198" t="s">
        <v>33</v>
      </c>
      <c r="E198" t="s">
        <v>34</v>
      </c>
      <c r="F198" t="s">
        <v>35</v>
      </c>
      <c r="G198" t="s">
        <v>59</v>
      </c>
      <c r="H198" t="s">
        <v>37</v>
      </c>
      <c r="I198" t="s">
        <v>50</v>
      </c>
      <c r="J198" t="s">
        <v>39</v>
      </c>
      <c r="K198">
        <v>4</v>
      </c>
      <c r="L198">
        <v>3</v>
      </c>
      <c r="M198" t="s">
        <v>60</v>
      </c>
      <c r="N198" t="s">
        <v>41</v>
      </c>
      <c r="O198" t="s">
        <v>42</v>
      </c>
      <c r="P198" t="s">
        <v>32</v>
      </c>
      <c r="Q198">
        <v>13</v>
      </c>
      <c r="R198">
        <v>1</v>
      </c>
      <c r="S198">
        <v>10</v>
      </c>
      <c r="T198">
        <v>7</v>
      </c>
      <c r="U198">
        <v>8</v>
      </c>
      <c r="V198">
        <v>1</v>
      </c>
      <c r="W198">
        <v>63</v>
      </c>
      <c r="X198">
        <v>527</v>
      </c>
      <c r="Y198">
        <v>5207</v>
      </c>
      <c r="Z198">
        <v>2686</v>
      </c>
      <c r="AA198">
        <v>2</v>
      </c>
      <c r="AB198">
        <v>33001</v>
      </c>
      <c r="AC198" s="10">
        <v>41244</v>
      </c>
      <c r="AD198" s="10">
        <v>44548</v>
      </c>
      <c r="AE198" t="s">
        <v>44</v>
      </c>
      <c r="AF198" t="s">
        <v>55</v>
      </c>
    </row>
    <row r="199" spans="1:32" x14ac:dyDescent="0.25">
      <c r="A199">
        <v>1780</v>
      </c>
      <c r="B199">
        <v>21</v>
      </c>
      <c r="C199" t="s">
        <v>32</v>
      </c>
      <c r="D199" t="s">
        <v>33</v>
      </c>
      <c r="E199" t="s">
        <v>56</v>
      </c>
      <c r="F199" t="s">
        <v>64</v>
      </c>
      <c r="G199" t="s">
        <v>38</v>
      </c>
      <c r="H199" t="s">
        <v>37</v>
      </c>
      <c r="I199" t="s">
        <v>50</v>
      </c>
      <c r="J199" t="s">
        <v>66</v>
      </c>
      <c r="K199">
        <v>2</v>
      </c>
      <c r="L199">
        <v>2</v>
      </c>
      <c r="M199" t="s">
        <v>48</v>
      </c>
      <c r="N199" t="s">
        <v>41</v>
      </c>
      <c r="O199" t="s">
        <v>42</v>
      </c>
      <c r="P199" t="s">
        <v>43</v>
      </c>
      <c r="Q199">
        <v>13</v>
      </c>
      <c r="R199">
        <v>1</v>
      </c>
      <c r="S199">
        <v>1</v>
      </c>
      <c r="T199">
        <v>0</v>
      </c>
      <c r="U199">
        <v>0</v>
      </c>
      <c r="V199">
        <v>7</v>
      </c>
      <c r="W199">
        <v>31</v>
      </c>
      <c r="X199">
        <v>337</v>
      </c>
      <c r="Y199">
        <v>4567</v>
      </c>
      <c r="Z199">
        <v>2679</v>
      </c>
      <c r="AA199">
        <v>3</v>
      </c>
      <c r="AB199">
        <v>37287</v>
      </c>
      <c r="AC199" s="10">
        <v>44520</v>
      </c>
      <c r="AD199" s="10">
        <v>44554</v>
      </c>
      <c r="AE199" t="s">
        <v>54</v>
      </c>
      <c r="AF199" t="s">
        <v>45</v>
      </c>
    </row>
    <row r="200" spans="1:32" x14ac:dyDescent="0.25">
      <c r="A200">
        <v>1210</v>
      </c>
      <c r="B200">
        <v>41</v>
      </c>
      <c r="C200" t="s">
        <v>32</v>
      </c>
      <c r="D200" t="s">
        <v>63</v>
      </c>
      <c r="E200" t="s">
        <v>34</v>
      </c>
      <c r="F200" t="s">
        <v>67</v>
      </c>
      <c r="G200" t="s">
        <v>36</v>
      </c>
      <c r="H200" t="s">
        <v>37</v>
      </c>
      <c r="I200" t="s">
        <v>38</v>
      </c>
      <c r="J200" t="s">
        <v>39</v>
      </c>
      <c r="K200">
        <v>1</v>
      </c>
      <c r="L200">
        <v>3</v>
      </c>
      <c r="M200" t="s">
        <v>40</v>
      </c>
      <c r="N200" t="s">
        <v>52</v>
      </c>
      <c r="O200" t="s">
        <v>36</v>
      </c>
      <c r="P200" t="s">
        <v>43</v>
      </c>
      <c r="Q200">
        <v>17</v>
      </c>
      <c r="R200">
        <v>6</v>
      </c>
      <c r="S200">
        <v>5</v>
      </c>
      <c r="T200">
        <v>0</v>
      </c>
      <c r="U200">
        <v>0</v>
      </c>
      <c r="V200">
        <v>5</v>
      </c>
      <c r="W200">
        <v>95</v>
      </c>
      <c r="X200">
        <v>906</v>
      </c>
      <c r="Y200">
        <v>20293</v>
      </c>
      <c r="Z200">
        <v>2107</v>
      </c>
      <c r="AA200">
        <v>2</v>
      </c>
      <c r="AB200">
        <v>30028</v>
      </c>
      <c r="AC200" s="10">
        <v>44405</v>
      </c>
      <c r="AD200" s="10">
        <v>44559</v>
      </c>
      <c r="AE200" t="s">
        <v>44</v>
      </c>
      <c r="AF200" t="s">
        <v>45</v>
      </c>
    </row>
    <row r="201" spans="1:32" x14ac:dyDescent="0.25">
      <c r="A201">
        <v>364</v>
      </c>
      <c r="B201">
        <v>28</v>
      </c>
      <c r="C201" t="s">
        <v>32</v>
      </c>
      <c r="D201" t="s">
        <v>33</v>
      </c>
      <c r="E201" t="s">
        <v>34</v>
      </c>
      <c r="F201" t="s">
        <v>35</v>
      </c>
      <c r="G201" t="s">
        <v>36</v>
      </c>
      <c r="H201" t="s">
        <v>37</v>
      </c>
      <c r="I201" t="s">
        <v>50</v>
      </c>
      <c r="J201" t="s">
        <v>51</v>
      </c>
      <c r="K201">
        <v>3</v>
      </c>
      <c r="L201">
        <v>1</v>
      </c>
      <c r="M201" t="s">
        <v>40</v>
      </c>
      <c r="N201" t="s">
        <v>41</v>
      </c>
      <c r="O201" t="s">
        <v>42</v>
      </c>
      <c r="P201" t="s">
        <v>43</v>
      </c>
      <c r="Q201">
        <v>11</v>
      </c>
      <c r="R201">
        <v>2</v>
      </c>
      <c r="S201">
        <v>5</v>
      </c>
      <c r="T201">
        <v>0</v>
      </c>
      <c r="U201">
        <v>0</v>
      </c>
      <c r="V201">
        <v>2</v>
      </c>
      <c r="W201">
        <v>79</v>
      </c>
      <c r="X201">
        <v>529</v>
      </c>
      <c r="Y201">
        <v>14935</v>
      </c>
      <c r="Z201">
        <v>3485</v>
      </c>
      <c r="AA201">
        <v>5</v>
      </c>
      <c r="AB201">
        <v>34609</v>
      </c>
      <c r="AC201" s="10">
        <v>44538</v>
      </c>
      <c r="AD201" s="10">
        <v>44561</v>
      </c>
      <c r="AE201" t="s">
        <v>44</v>
      </c>
      <c r="AF201" t="s">
        <v>45</v>
      </c>
    </row>
    <row r="202" spans="1:32" x14ac:dyDescent="0.25">
      <c r="A202">
        <v>918</v>
      </c>
      <c r="B202">
        <v>58</v>
      </c>
      <c r="C202" t="s">
        <v>32</v>
      </c>
      <c r="D202" t="s">
        <v>46</v>
      </c>
      <c r="E202" t="s">
        <v>34</v>
      </c>
      <c r="F202" t="s">
        <v>64</v>
      </c>
      <c r="G202" t="s">
        <v>59</v>
      </c>
      <c r="H202" t="s">
        <v>37</v>
      </c>
      <c r="I202" t="s">
        <v>38</v>
      </c>
      <c r="J202" t="s">
        <v>51</v>
      </c>
      <c r="K202">
        <v>4</v>
      </c>
      <c r="L202">
        <v>3</v>
      </c>
      <c r="M202" t="s">
        <v>60</v>
      </c>
      <c r="N202" t="s">
        <v>52</v>
      </c>
      <c r="O202" t="s">
        <v>36</v>
      </c>
      <c r="P202" t="s">
        <v>32</v>
      </c>
      <c r="Q202">
        <v>14</v>
      </c>
      <c r="R202">
        <v>9</v>
      </c>
      <c r="S202">
        <v>3</v>
      </c>
      <c r="T202">
        <v>0</v>
      </c>
      <c r="U202">
        <v>0</v>
      </c>
      <c r="V202">
        <v>2</v>
      </c>
      <c r="W202">
        <v>57</v>
      </c>
      <c r="X202">
        <v>781</v>
      </c>
      <c r="Y202">
        <v>13384</v>
      </c>
      <c r="Z202">
        <v>2380</v>
      </c>
      <c r="AA202">
        <v>3</v>
      </c>
      <c r="AB202">
        <v>23615</v>
      </c>
      <c r="AC202" s="10">
        <v>44223</v>
      </c>
      <c r="AD202" s="10">
        <v>44562</v>
      </c>
      <c r="AE202" t="s">
        <v>44</v>
      </c>
      <c r="AF202" t="s">
        <v>45</v>
      </c>
    </row>
    <row r="203" spans="1:32" x14ac:dyDescent="0.25">
      <c r="A203">
        <v>614</v>
      </c>
      <c r="B203">
        <v>18</v>
      </c>
      <c r="C203" t="s">
        <v>32</v>
      </c>
      <c r="D203" t="s">
        <v>46</v>
      </c>
      <c r="E203" t="s">
        <v>56</v>
      </c>
      <c r="F203" t="s">
        <v>49</v>
      </c>
      <c r="G203" t="s">
        <v>38</v>
      </c>
      <c r="H203" t="s">
        <v>37</v>
      </c>
      <c r="I203" t="s">
        <v>50</v>
      </c>
      <c r="J203" t="s">
        <v>66</v>
      </c>
      <c r="K203">
        <v>2</v>
      </c>
      <c r="L203">
        <v>3</v>
      </c>
      <c r="M203" t="s">
        <v>48</v>
      </c>
      <c r="N203" t="s">
        <v>41</v>
      </c>
      <c r="O203" t="s">
        <v>42</v>
      </c>
      <c r="P203" t="s">
        <v>32</v>
      </c>
      <c r="Q203">
        <v>14</v>
      </c>
      <c r="R203">
        <v>1</v>
      </c>
      <c r="S203">
        <v>2</v>
      </c>
      <c r="T203">
        <v>0</v>
      </c>
      <c r="U203">
        <v>0</v>
      </c>
      <c r="V203">
        <v>5</v>
      </c>
      <c r="W203">
        <v>69</v>
      </c>
      <c r="X203">
        <v>1306</v>
      </c>
      <c r="Y203">
        <v>8059</v>
      </c>
      <c r="Z203">
        <v>1878</v>
      </c>
      <c r="AA203">
        <v>3</v>
      </c>
      <c r="AB203">
        <v>38414</v>
      </c>
      <c r="AC203" s="10">
        <v>44233</v>
      </c>
      <c r="AD203" s="10">
        <v>44565</v>
      </c>
      <c r="AE203" t="s">
        <v>44</v>
      </c>
      <c r="AF203" t="s">
        <v>45</v>
      </c>
    </row>
    <row r="204" spans="1:32" x14ac:dyDescent="0.25">
      <c r="A204">
        <v>4</v>
      </c>
      <c r="B204">
        <v>37</v>
      </c>
      <c r="C204" t="s">
        <v>32</v>
      </c>
      <c r="D204" t="s">
        <v>33</v>
      </c>
      <c r="E204" t="s">
        <v>34</v>
      </c>
      <c r="F204" t="s">
        <v>67</v>
      </c>
      <c r="G204" t="s">
        <v>59</v>
      </c>
      <c r="H204" t="s">
        <v>37</v>
      </c>
      <c r="I204" t="s">
        <v>38</v>
      </c>
      <c r="J204" t="s">
        <v>51</v>
      </c>
      <c r="K204">
        <v>3</v>
      </c>
      <c r="L204">
        <v>1</v>
      </c>
      <c r="M204" t="s">
        <v>48</v>
      </c>
      <c r="N204" t="s">
        <v>41</v>
      </c>
      <c r="O204" t="s">
        <v>42</v>
      </c>
      <c r="P204" t="s">
        <v>32</v>
      </c>
      <c r="Q204">
        <v>15</v>
      </c>
      <c r="R204">
        <v>6</v>
      </c>
      <c r="S204">
        <v>7</v>
      </c>
      <c r="T204">
        <v>0</v>
      </c>
      <c r="U204">
        <v>0</v>
      </c>
      <c r="V204">
        <v>2</v>
      </c>
      <c r="W204">
        <v>92</v>
      </c>
      <c r="X204">
        <v>1373</v>
      </c>
      <c r="Y204">
        <v>2396</v>
      </c>
      <c r="Z204">
        <v>2090</v>
      </c>
      <c r="AA204">
        <v>3</v>
      </c>
      <c r="AB204">
        <v>31334</v>
      </c>
      <c r="AC204" s="10">
        <v>44287</v>
      </c>
      <c r="AD204" s="10">
        <v>44566</v>
      </c>
      <c r="AE204" t="s">
        <v>54</v>
      </c>
      <c r="AF204" t="s">
        <v>55</v>
      </c>
    </row>
    <row r="205" spans="1:32" x14ac:dyDescent="0.25">
      <c r="A205">
        <v>90</v>
      </c>
      <c r="B205">
        <v>36</v>
      </c>
      <c r="C205" t="s">
        <v>32</v>
      </c>
      <c r="D205" t="s">
        <v>33</v>
      </c>
      <c r="E205" t="s">
        <v>34</v>
      </c>
      <c r="F205" t="s">
        <v>49</v>
      </c>
      <c r="G205" t="s">
        <v>59</v>
      </c>
      <c r="H205" t="s">
        <v>37</v>
      </c>
      <c r="I205" t="s">
        <v>38</v>
      </c>
      <c r="J205" t="s">
        <v>39</v>
      </c>
      <c r="K205">
        <v>3</v>
      </c>
      <c r="L205">
        <v>2</v>
      </c>
      <c r="M205" t="s">
        <v>60</v>
      </c>
      <c r="N205" t="s">
        <v>61</v>
      </c>
      <c r="O205" t="s">
        <v>36</v>
      </c>
      <c r="P205" t="s">
        <v>32</v>
      </c>
      <c r="Q205">
        <v>17</v>
      </c>
      <c r="R205">
        <v>0</v>
      </c>
      <c r="S205">
        <v>2</v>
      </c>
      <c r="T205">
        <v>0</v>
      </c>
      <c r="U205">
        <v>0</v>
      </c>
      <c r="V205">
        <v>9</v>
      </c>
      <c r="W205">
        <v>79</v>
      </c>
      <c r="X205">
        <v>318</v>
      </c>
      <c r="Y205">
        <v>21777</v>
      </c>
      <c r="Z205">
        <v>3388</v>
      </c>
      <c r="AA205">
        <v>0</v>
      </c>
      <c r="AB205">
        <v>31869</v>
      </c>
      <c r="AC205" s="10">
        <v>44468</v>
      </c>
      <c r="AD205" s="10">
        <v>44566</v>
      </c>
      <c r="AE205" t="s">
        <v>54</v>
      </c>
      <c r="AF205" t="s">
        <v>45</v>
      </c>
    </row>
    <row r="206" spans="1:32" x14ac:dyDescent="0.25">
      <c r="A206">
        <v>960</v>
      </c>
      <c r="B206">
        <v>20</v>
      </c>
      <c r="C206" t="s">
        <v>32</v>
      </c>
      <c r="D206" t="s">
        <v>33</v>
      </c>
      <c r="E206" t="s">
        <v>34</v>
      </c>
      <c r="F206" t="s">
        <v>49</v>
      </c>
      <c r="G206" t="s">
        <v>36</v>
      </c>
      <c r="H206" t="s">
        <v>37</v>
      </c>
      <c r="I206" t="s">
        <v>50</v>
      </c>
      <c r="J206" t="s">
        <v>51</v>
      </c>
      <c r="K206">
        <v>1</v>
      </c>
      <c r="L206">
        <v>3</v>
      </c>
      <c r="M206" t="s">
        <v>48</v>
      </c>
      <c r="N206" t="s">
        <v>41</v>
      </c>
      <c r="O206" t="s">
        <v>42</v>
      </c>
      <c r="P206" t="s">
        <v>43</v>
      </c>
      <c r="Q206">
        <v>19</v>
      </c>
      <c r="R206">
        <v>1</v>
      </c>
      <c r="S206">
        <v>1</v>
      </c>
      <c r="T206">
        <v>0</v>
      </c>
      <c r="U206">
        <v>0</v>
      </c>
      <c r="V206">
        <v>4</v>
      </c>
      <c r="W206">
        <v>84</v>
      </c>
      <c r="X206">
        <v>129</v>
      </c>
      <c r="Y206">
        <v>13008</v>
      </c>
      <c r="Z206">
        <v>2973</v>
      </c>
      <c r="AA206">
        <v>2</v>
      </c>
      <c r="AB206">
        <v>37542</v>
      </c>
      <c r="AC206" s="10">
        <v>44300</v>
      </c>
      <c r="AD206" s="10">
        <v>44573</v>
      </c>
      <c r="AE206" t="s">
        <v>54</v>
      </c>
      <c r="AF206" t="s">
        <v>45</v>
      </c>
    </row>
    <row r="207" spans="1:32" x14ac:dyDescent="0.25">
      <c r="A207">
        <v>1783</v>
      </c>
      <c r="B207">
        <v>22</v>
      </c>
      <c r="C207" t="s">
        <v>32</v>
      </c>
      <c r="D207" t="s">
        <v>33</v>
      </c>
      <c r="E207" t="s">
        <v>34</v>
      </c>
      <c r="F207" t="s">
        <v>64</v>
      </c>
      <c r="G207" t="s">
        <v>50</v>
      </c>
      <c r="H207" t="s">
        <v>47</v>
      </c>
      <c r="I207" t="s">
        <v>50</v>
      </c>
      <c r="J207" t="s">
        <v>51</v>
      </c>
      <c r="K207">
        <v>1</v>
      </c>
      <c r="L207">
        <v>3</v>
      </c>
      <c r="M207" t="s">
        <v>48</v>
      </c>
      <c r="N207" t="s">
        <v>61</v>
      </c>
      <c r="O207" t="s">
        <v>42</v>
      </c>
      <c r="P207" t="s">
        <v>32</v>
      </c>
      <c r="Q207">
        <v>17</v>
      </c>
      <c r="R207">
        <v>1</v>
      </c>
      <c r="S207">
        <v>1</v>
      </c>
      <c r="T207">
        <v>0</v>
      </c>
      <c r="U207">
        <v>0</v>
      </c>
      <c r="V207">
        <v>8</v>
      </c>
      <c r="W207">
        <v>79</v>
      </c>
      <c r="X207">
        <v>1294</v>
      </c>
      <c r="Y207">
        <v>15999</v>
      </c>
      <c r="Z207">
        <v>2398</v>
      </c>
      <c r="AA207">
        <v>6</v>
      </c>
      <c r="AB207">
        <v>37012</v>
      </c>
      <c r="AC207" s="10">
        <v>44256</v>
      </c>
      <c r="AD207" s="10">
        <v>44575</v>
      </c>
      <c r="AE207" t="s">
        <v>44</v>
      </c>
      <c r="AF207" t="s">
        <v>45</v>
      </c>
    </row>
    <row r="208" spans="1:32" x14ac:dyDescent="0.25">
      <c r="A208">
        <v>64</v>
      </c>
      <c r="B208">
        <v>48</v>
      </c>
      <c r="C208" t="s">
        <v>32</v>
      </c>
      <c r="D208" t="s">
        <v>33</v>
      </c>
      <c r="E208" t="s">
        <v>34</v>
      </c>
      <c r="F208" t="s">
        <v>67</v>
      </c>
      <c r="G208" t="s">
        <v>36</v>
      </c>
      <c r="H208" t="s">
        <v>37</v>
      </c>
      <c r="I208" t="s">
        <v>38</v>
      </c>
      <c r="J208" t="s">
        <v>51</v>
      </c>
      <c r="K208">
        <v>3</v>
      </c>
      <c r="L208">
        <v>3</v>
      </c>
      <c r="M208" t="s">
        <v>48</v>
      </c>
      <c r="N208" t="s">
        <v>41</v>
      </c>
      <c r="O208" t="s">
        <v>42</v>
      </c>
      <c r="P208" t="s">
        <v>32</v>
      </c>
      <c r="Q208">
        <v>13</v>
      </c>
      <c r="R208">
        <v>9</v>
      </c>
      <c r="S208">
        <v>23</v>
      </c>
      <c r="T208">
        <v>0</v>
      </c>
      <c r="U208">
        <v>0</v>
      </c>
      <c r="V208">
        <v>1</v>
      </c>
      <c r="W208">
        <v>98</v>
      </c>
      <c r="X208">
        <v>626</v>
      </c>
      <c r="Y208">
        <v>19294</v>
      </c>
      <c r="Z208">
        <v>5381</v>
      </c>
      <c r="AA208">
        <v>2</v>
      </c>
      <c r="AB208">
        <v>27512</v>
      </c>
      <c r="AC208" s="10">
        <v>44450</v>
      </c>
      <c r="AD208" s="10">
        <v>44575</v>
      </c>
      <c r="AE208" t="s">
        <v>44</v>
      </c>
      <c r="AF208" t="s">
        <v>45</v>
      </c>
    </row>
    <row r="209" spans="1:32" x14ac:dyDescent="0.25">
      <c r="A209">
        <v>1876</v>
      </c>
      <c r="B209">
        <v>30</v>
      </c>
      <c r="C209" t="s">
        <v>32</v>
      </c>
      <c r="D209" t="s">
        <v>33</v>
      </c>
      <c r="E209" t="s">
        <v>56</v>
      </c>
      <c r="F209" t="s">
        <v>49</v>
      </c>
      <c r="G209" t="s">
        <v>38</v>
      </c>
      <c r="H209" t="s">
        <v>37</v>
      </c>
      <c r="I209" t="s">
        <v>50</v>
      </c>
      <c r="J209" t="s">
        <v>66</v>
      </c>
      <c r="K209">
        <v>4</v>
      </c>
      <c r="L209">
        <v>3</v>
      </c>
      <c r="M209" t="s">
        <v>60</v>
      </c>
      <c r="N209" t="s">
        <v>41</v>
      </c>
      <c r="O209" t="s">
        <v>42</v>
      </c>
      <c r="P209" t="s">
        <v>43</v>
      </c>
      <c r="Q209">
        <v>13</v>
      </c>
      <c r="R209">
        <v>1</v>
      </c>
      <c r="S209">
        <v>1</v>
      </c>
      <c r="T209">
        <v>0</v>
      </c>
      <c r="U209">
        <v>0</v>
      </c>
      <c r="V209">
        <v>9</v>
      </c>
      <c r="W209">
        <v>89</v>
      </c>
      <c r="X209">
        <v>945</v>
      </c>
      <c r="Y209">
        <v>16019</v>
      </c>
      <c r="Z209">
        <v>1081</v>
      </c>
      <c r="AA209">
        <v>3</v>
      </c>
      <c r="AB209">
        <v>34070</v>
      </c>
      <c r="AC209" s="10">
        <v>44557</v>
      </c>
      <c r="AD209" s="10">
        <v>44576</v>
      </c>
      <c r="AE209" t="s">
        <v>44</v>
      </c>
      <c r="AF209" t="s">
        <v>45</v>
      </c>
    </row>
    <row r="210" spans="1:32" x14ac:dyDescent="0.25">
      <c r="A210">
        <v>167</v>
      </c>
      <c r="B210">
        <v>19</v>
      </c>
      <c r="C210" t="s">
        <v>32</v>
      </c>
      <c r="D210" t="s">
        <v>33</v>
      </c>
      <c r="E210" t="s">
        <v>56</v>
      </c>
      <c r="F210" t="s">
        <v>64</v>
      </c>
      <c r="G210" t="s">
        <v>59</v>
      </c>
      <c r="H210" t="s">
        <v>37</v>
      </c>
      <c r="I210" t="s">
        <v>50</v>
      </c>
      <c r="J210" t="s">
        <v>66</v>
      </c>
      <c r="K210">
        <v>3</v>
      </c>
      <c r="L210">
        <v>2</v>
      </c>
      <c r="M210" t="s">
        <v>60</v>
      </c>
      <c r="N210" t="s">
        <v>41</v>
      </c>
      <c r="O210" t="s">
        <v>42</v>
      </c>
      <c r="P210" t="s">
        <v>32</v>
      </c>
      <c r="Q210">
        <v>19</v>
      </c>
      <c r="R210">
        <v>1</v>
      </c>
      <c r="S210">
        <v>2</v>
      </c>
      <c r="T210">
        <v>0</v>
      </c>
      <c r="U210">
        <v>0</v>
      </c>
      <c r="V210">
        <v>22</v>
      </c>
      <c r="W210">
        <v>50</v>
      </c>
      <c r="X210">
        <v>528</v>
      </c>
      <c r="Y210">
        <v>26820</v>
      </c>
      <c r="Z210">
        <v>1675</v>
      </c>
      <c r="AA210">
        <v>2</v>
      </c>
      <c r="AB210">
        <v>37849</v>
      </c>
      <c r="AC210" s="10">
        <v>44561</v>
      </c>
      <c r="AD210" s="10">
        <v>44576</v>
      </c>
      <c r="AE210" t="s">
        <v>44</v>
      </c>
      <c r="AF210" t="s">
        <v>45</v>
      </c>
    </row>
    <row r="211" spans="1:32" x14ac:dyDescent="0.25">
      <c r="A211">
        <v>1379</v>
      </c>
      <c r="B211">
        <v>31</v>
      </c>
      <c r="C211" t="s">
        <v>32</v>
      </c>
      <c r="D211" t="s">
        <v>46</v>
      </c>
      <c r="E211" t="s">
        <v>56</v>
      </c>
      <c r="F211" t="s">
        <v>49</v>
      </c>
      <c r="G211" t="s">
        <v>50</v>
      </c>
      <c r="H211" t="s">
        <v>47</v>
      </c>
      <c r="I211" t="s">
        <v>38</v>
      </c>
      <c r="J211" t="s">
        <v>66</v>
      </c>
      <c r="K211">
        <v>4</v>
      </c>
      <c r="L211">
        <v>3</v>
      </c>
      <c r="M211" t="s">
        <v>58</v>
      </c>
      <c r="N211" t="s">
        <v>41</v>
      </c>
      <c r="O211" t="s">
        <v>42</v>
      </c>
      <c r="P211" t="s">
        <v>43</v>
      </c>
      <c r="Q211">
        <v>14</v>
      </c>
      <c r="R211">
        <v>7</v>
      </c>
      <c r="S211">
        <v>3</v>
      </c>
      <c r="T211">
        <v>0</v>
      </c>
      <c r="U211">
        <v>0</v>
      </c>
      <c r="V211">
        <v>2</v>
      </c>
      <c r="W211">
        <v>90</v>
      </c>
      <c r="X211">
        <v>703</v>
      </c>
      <c r="Y211">
        <v>11882</v>
      </c>
      <c r="Z211">
        <v>2785</v>
      </c>
      <c r="AA211">
        <v>3</v>
      </c>
      <c r="AB211">
        <v>33667</v>
      </c>
      <c r="AC211" s="10">
        <v>44574</v>
      </c>
      <c r="AD211" s="10">
        <v>44581</v>
      </c>
      <c r="AE211" t="s">
        <v>54</v>
      </c>
      <c r="AF211" t="s">
        <v>45</v>
      </c>
    </row>
    <row r="212" spans="1:32" x14ac:dyDescent="0.25">
      <c r="A212">
        <v>648</v>
      </c>
      <c r="B212">
        <v>30</v>
      </c>
      <c r="C212" t="s">
        <v>32</v>
      </c>
      <c r="D212" t="s">
        <v>46</v>
      </c>
      <c r="E212" t="s">
        <v>56</v>
      </c>
      <c r="F212" t="s">
        <v>35</v>
      </c>
      <c r="G212" t="s">
        <v>38</v>
      </c>
      <c r="H212" t="s">
        <v>37</v>
      </c>
      <c r="I212" t="s">
        <v>38</v>
      </c>
      <c r="J212" t="s">
        <v>66</v>
      </c>
      <c r="K212">
        <v>1</v>
      </c>
      <c r="L212">
        <v>3</v>
      </c>
      <c r="M212" t="s">
        <v>58</v>
      </c>
      <c r="N212" t="s">
        <v>61</v>
      </c>
      <c r="O212" t="s">
        <v>36</v>
      </c>
      <c r="P212" t="s">
        <v>43</v>
      </c>
      <c r="Q212">
        <v>18</v>
      </c>
      <c r="R212">
        <v>1</v>
      </c>
      <c r="S212">
        <v>1</v>
      </c>
      <c r="T212">
        <v>0</v>
      </c>
      <c r="U212">
        <v>0</v>
      </c>
      <c r="V212">
        <v>12</v>
      </c>
      <c r="W212">
        <v>74</v>
      </c>
      <c r="X212">
        <v>448</v>
      </c>
      <c r="Y212">
        <v>14470</v>
      </c>
      <c r="Z212">
        <v>2033</v>
      </c>
      <c r="AA212">
        <v>2</v>
      </c>
      <c r="AB212">
        <v>34022</v>
      </c>
      <c r="AC212" s="10">
        <v>44355</v>
      </c>
      <c r="AD212" s="10">
        <v>44582</v>
      </c>
      <c r="AE212" t="s">
        <v>44</v>
      </c>
      <c r="AF212" t="s">
        <v>55</v>
      </c>
    </row>
    <row r="213" spans="1:32" x14ac:dyDescent="0.25">
      <c r="A213">
        <v>243</v>
      </c>
      <c r="B213">
        <v>19</v>
      </c>
      <c r="C213" t="s">
        <v>32</v>
      </c>
      <c r="D213" t="s">
        <v>33</v>
      </c>
      <c r="E213" t="s">
        <v>34</v>
      </c>
      <c r="F213" t="s">
        <v>49</v>
      </c>
      <c r="G213" t="s">
        <v>38</v>
      </c>
      <c r="H213" t="s">
        <v>37</v>
      </c>
      <c r="I213" t="s">
        <v>38</v>
      </c>
      <c r="J213" t="s">
        <v>51</v>
      </c>
      <c r="K213">
        <v>4</v>
      </c>
      <c r="L213">
        <v>4</v>
      </c>
      <c r="M213" t="s">
        <v>60</v>
      </c>
      <c r="N213" t="s">
        <v>41</v>
      </c>
      <c r="O213" t="s">
        <v>42</v>
      </c>
      <c r="P213" t="s">
        <v>43</v>
      </c>
      <c r="Q213">
        <v>22</v>
      </c>
      <c r="R213">
        <v>1</v>
      </c>
      <c r="S213">
        <v>1</v>
      </c>
      <c r="T213">
        <v>1</v>
      </c>
      <c r="U213">
        <v>0</v>
      </c>
      <c r="V213">
        <v>2</v>
      </c>
      <c r="W213">
        <v>47</v>
      </c>
      <c r="X213">
        <v>303</v>
      </c>
      <c r="Y213">
        <v>9241</v>
      </c>
      <c r="Z213">
        <v>1102</v>
      </c>
      <c r="AA213">
        <v>3</v>
      </c>
      <c r="AB213">
        <v>38180</v>
      </c>
      <c r="AC213" s="10">
        <v>44379</v>
      </c>
      <c r="AD213" s="10">
        <v>44598</v>
      </c>
      <c r="AE213" t="s">
        <v>44</v>
      </c>
      <c r="AF213" t="s">
        <v>45</v>
      </c>
    </row>
    <row r="214" spans="1:32" x14ac:dyDescent="0.25">
      <c r="A214">
        <v>811</v>
      </c>
      <c r="B214">
        <v>23</v>
      </c>
      <c r="C214" t="s">
        <v>32</v>
      </c>
      <c r="D214" t="s">
        <v>33</v>
      </c>
      <c r="E214" t="s">
        <v>34</v>
      </c>
      <c r="F214" t="s">
        <v>49</v>
      </c>
      <c r="G214" t="s">
        <v>50</v>
      </c>
      <c r="H214" t="s">
        <v>37</v>
      </c>
      <c r="I214" t="s">
        <v>59</v>
      </c>
      <c r="J214" t="s">
        <v>51</v>
      </c>
      <c r="K214">
        <v>1</v>
      </c>
      <c r="L214">
        <v>4</v>
      </c>
      <c r="M214" t="s">
        <v>48</v>
      </c>
      <c r="N214" t="s">
        <v>61</v>
      </c>
      <c r="O214" t="s">
        <v>53</v>
      </c>
      <c r="P214" t="s">
        <v>32</v>
      </c>
      <c r="Q214">
        <v>21</v>
      </c>
      <c r="R214">
        <v>1</v>
      </c>
      <c r="S214">
        <v>2</v>
      </c>
      <c r="T214">
        <v>0</v>
      </c>
      <c r="U214">
        <v>0</v>
      </c>
      <c r="V214">
        <v>6</v>
      </c>
      <c r="W214">
        <v>63</v>
      </c>
      <c r="X214">
        <v>1243</v>
      </c>
      <c r="Y214">
        <v>3445</v>
      </c>
      <c r="Z214">
        <v>1601</v>
      </c>
      <c r="AA214">
        <v>2</v>
      </c>
      <c r="AB214">
        <v>36401</v>
      </c>
      <c r="AC214" s="10">
        <v>44229</v>
      </c>
      <c r="AD214" s="10">
        <v>44603</v>
      </c>
      <c r="AE214" t="s">
        <v>44</v>
      </c>
      <c r="AF214" t="s">
        <v>45</v>
      </c>
    </row>
    <row r="215" spans="1:32" x14ac:dyDescent="0.25">
      <c r="A215">
        <v>994</v>
      </c>
      <c r="B215">
        <v>29</v>
      </c>
      <c r="C215" t="s">
        <v>32</v>
      </c>
      <c r="D215" t="s">
        <v>33</v>
      </c>
      <c r="E215" t="s">
        <v>34</v>
      </c>
      <c r="F215" t="s">
        <v>49</v>
      </c>
      <c r="G215" t="s">
        <v>59</v>
      </c>
      <c r="H215" t="s">
        <v>47</v>
      </c>
      <c r="I215" t="s">
        <v>38</v>
      </c>
      <c r="J215" t="s">
        <v>39</v>
      </c>
      <c r="K215">
        <v>1</v>
      </c>
      <c r="L215">
        <v>4</v>
      </c>
      <c r="M215" t="s">
        <v>48</v>
      </c>
      <c r="N215" t="s">
        <v>41</v>
      </c>
      <c r="O215" t="s">
        <v>42</v>
      </c>
      <c r="P215" t="s">
        <v>32</v>
      </c>
      <c r="Q215">
        <v>20</v>
      </c>
      <c r="R215">
        <v>6</v>
      </c>
      <c r="S215">
        <v>3</v>
      </c>
      <c r="T215">
        <v>0</v>
      </c>
      <c r="U215">
        <v>0</v>
      </c>
      <c r="V215">
        <v>10</v>
      </c>
      <c r="W215">
        <v>92</v>
      </c>
      <c r="X215">
        <v>906</v>
      </c>
      <c r="Y215">
        <v>11479</v>
      </c>
      <c r="Z215">
        <v>2404</v>
      </c>
      <c r="AA215">
        <v>5</v>
      </c>
      <c r="AB215">
        <v>34349</v>
      </c>
      <c r="AC215" s="10">
        <v>44250</v>
      </c>
      <c r="AD215" s="10">
        <v>44603</v>
      </c>
      <c r="AE215" t="s">
        <v>44</v>
      </c>
      <c r="AF215" t="s">
        <v>45</v>
      </c>
    </row>
    <row r="216" spans="1:32" x14ac:dyDescent="0.25">
      <c r="A216">
        <v>1569</v>
      </c>
      <c r="B216">
        <v>35</v>
      </c>
      <c r="C216" t="s">
        <v>32</v>
      </c>
      <c r="D216" t="s">
        <v>33</v>
      </c>
      <c r="E216" t="s">
        <v>34</v>
      </c>
      <c r="F216" t="s">
        <v>49</v>
      </c>
      <c r="G216" t="s">
        <v>36</v>
      </c>
      <c r="H216" t="s">
        <v>47</v>
      </c>
      <c r="I216" t="s">
        <v>50</v>
      </c>
      <c r="J216" t="s">
        <v>51</v>
      </c>
      <c r="K216">
        <v>1</v>
      </c>
      <c r="L216">
        <v>1</v>
      </c>
      <c r="M216" t="s">
        <v>48</v>
      </c>
      <c r="N216" t="s">
        <v>52</v>
      </c>
      <c r="O216" t="s">
        <v>36</v>
      </c>
      <c r="P216" t="s">
        <v>32</v>
      </c>
      <c r="Q216">
        <v>12</v>
      </c>
      <c r="R216">
        <v>1</v>
      </c>
      <c r="S216">
        <v>1</v>
      </c>
      <c r="T216">
        <v>0</v>
      </c>
      <c r="U216">
        <v>0</v>
      </c>
      <c r="V216">
        <v>2</v>
      </c>
      <c r="W216">
        <v>69</v>
      </c>
      <c r="X216">
        <v>104</v>
      </c>
      <c r="Y216">
        <v>26619</v>
      </c>
      <c r="Z216">
        <v>2074</v>
      </c>
      <c r="AA216">
        <v>2</v>
      </c>
      <c r="AB216">
        <v>32130</v>
      </c>
      <c r="AC216" s="10">
        <v>44377</v>
      </c>
      <c r="AD216" s="10">
        <v>44608</v>
      </c>
      <c r="AE216" t="s">
        <v>44</v>
      </c>
      <c r="AF216" t="s">
        <v>45</v>
      </c>
    </row>
    <row r="217" spans="1:32" x14ac:dyDescent="0.25">
      <c r="A217">
        <v>622</v>
      </c>
      <c r="B217">
        <v>26</v>
      </c>
      <c r="C217" t="s">
        <v>32</v>
      </c>
      <c r="D217" t="s">
        <v>33</v>
      </c>
      <c r="E217" t="s">
        <v>34</v>
      </c>
      <c r="F217" t="s">
        <v>49</v>
      </c>
      <c r="G217" t="s">
        <v>50</v>
      </c>
      <c r="H217" t="s">
        <v>37</v>
      </c>
      <c r="I217" t="s">
        <v>36</v>
      </c>
      <c r="J217" t="s">
        <v>51</v>
      </c>
      <c r="K217">
        <v>4</v>
      </c>
      <c r="L217">
        <v>2</v>
      </c>
      <c r="M217" t="s">
        <v>40</v>
      </c>
      <c r="N217" t="s">
        <v>41</v>
      </c>
      <c r="O217" t="s">
        <v>42</v>
      </c>
      <c r="P217" t="s">
        <v>32</v>
      </c>
      <c r="Q217">
        <v>18</v>
      </c>
      <c r="R217">
        <v>1</v>
      </c>
      <c r="S217">
        <v>1</v>
      </c>
      <c r="T217">
        <v>0</v>
      </c>
      <c r="U217">
        <v>0</v>
      </c>
      <c r="V217">
        <v>24</v>
      </c>
      <c r="W217">
        <v>66</v>
      </c>
      <c r="X217">
        <v>471</v>
      </c>
      <c r="Y217">
        <v>23213</v>
      </c>
      <c r="Z217">
        <v>2340</v>
      </c>
      <c r="AA217">
        <v>3</v>
      </c>
      <c r="AB217">
        <v>35512</v>
      </c>
      <c r="AC217" s="10">
        <v>44282</v>
      </c>
      <c r="AD217" s="10">
        <v>44616</v>
      </c>
      <c r="AE217" t="s">
        <v>54</v>
      </c>
      <c r="AF217" t="s">
        <v>45</v>
      </c>
    </row>
    <row r="218" spans="1:32" x14ac:dyDescent="0.25">
      <c r="A218">
        <v>1111</v>
      </c>
      <c r="B218">
        <v>28</v>
      </c>
      <c r="C218" t="s">
        <v>32</v>
      </c>
      <c r="D218" t="s">
        <v>46</v>
      </c>
      <c r="E218" t="s">
        <v>34</v>
      </c>
      <c r="F218" t="s">
        <v>49</v>
      </c>
      <c r="G218" t="s">
        <v>36</v>
      </c>
      <c r="H218" t="s">
        <v>37</v>
      </c>
      <c r="I218" t="s">
        <v>38</v>
      </c>
      <c r="J218" t="s">
        <v>51</v>
      </c>
      <c r="K218">
        <v>2</v>
      </c>
      <c r="L218">
        <v>1</v>
      </c>
      <c r="M218" t="s">
        <v>48</v>
      </c>
      <c r="N218" t="s">
        <v>52</v>
      </c>
      <c r="O218" t="s">
        <v>53</v>
      </c>
      <c r="P218" t="s">
        <v>43</v>
      </c>
      <c r="Q218">
        <v>15</v>
      </c>
      <c r="R218">
        <v>1</v>
      </c>
      <c r="S218">
        <v>1</v>
      </c>
      <c r="T218">
        <v>0</v>
      </c>
      <c r="U218">
        <v>0</v>
      </c>
      <c r="V218">
        <v>1</v>
      </c>
      <c r="W218">
        <v>45</v>
      </c>
      <c r="X218">
        <v>1009</v>
      </c>
      <c r="Y218">
        <v>7160</v>
      </c>
      <c r="Z218">
        <v>2596</v>
      </c>
      <c r="AA218">
        <v>2</v>
      </c>
      <c r="AB218">
        <v>34862</v>
      </c>
      <c r="AC218" s="10">
        <v>44368</v>
      </c>
      <c r="AD218" s="10">
        <v>44617</v>
      </c>
      <c r="AE218" t="s">
        <v>44</v>
      </c>
      <c r="AF218" t="s">
        <v>45</v>
      </c>
    </row>
    <row r="219" spans="1:32" x14ac:dyDescent="0.25">
      <c r="A219">
        <v>342</v>
      </c>
      <c r="B219">
        <v>37</v>
      </c>
      <c r="C219" t="s">
        <v>32</v>
      </c>
      <c r="D219" t="s">
        <v>46</v>
      </c>
      <c r="E219" t="s">
        <v>34</v>
      </c>
      <c r="F219" t="s">
        <v>49</v>
      </c>
      <c r="G219" t="s">
        <v>36</v>
      </c>
      <c r="H219" t="s">
        <v>37</v>
      </c>
      <c r="I219" t="s">
        <v>50</v>
      </c>
      <c r="J219" t="s">
        <v>65</v>
      </c>
      <c r="K219">
        <v>3</v>
      </c>
      <c r="L219">
        <v>3</v>
      </c>
      <c r="M219" t="s">
        <v>48</v>
      </c>
      <c r="N219" t="s">
        <v>52</v>
      </c>
      <c r="O219" t="s">
        <v>53</v>
      </c>
      <c r="P219" t="s">
        <v>43</v>
      </c>
      <c r="Q219">
        <v>11</v>
      </c>
      <c r="R219">
        <v>6</v>
      </c>
      <c r="S219">
        <v>17</v>
      </c>
      <c r="T219">
        <v>0</v>
      </c>
      <c r="U219">
        <v>0</v>
      </c>
      <c r="V219">
        <v>10</v>
      </c>
      <c r="W219">
        <v>61</v>
      </c>
      <c r="X219">
        <v>504</v>
      </c>
      <c r="Y219">
        <v>22573</v>
      </c>
      <c r="Z219">
        <v>10048</v>
      </c>
      <c r="AA219">
        <v>5</v>
      </c>
      <c r="AB219">
        <v>31260</v>
      </c>
      <c r="AC219" s="10">
        <v>44433</v>
      </c>
      <c r="AD219" s="10">
        <v>44620</v>
      </c>
      <c r="AE219" t="s">
        <v>44</v>
      </c>
      <c r="AF219" t="s">
        <v>45</v>
      </c>
    </row>
    <row r="220" spans="1:32" x14ac:dyDescent="0.25">
      <c r="A220">
        <v>261</v>
      </c>
      <c r="B220">
        <v>35</v>
      </c>
      <c r="C220" t="s">
        <v>32</v>
      </c>
      <c r="D220" t="s">
        <v>33</v>
      </c>
      <c r="E220" t="s">
        <v>34</v>
      </c>
      <c r="F220" t="s">
        <v>67</v>
      </c>
      <c r="G220" t="s">
        <v>38</v>
      </c>
      <c r="H220" t="s">
        <v>37</v>
      </c>
      <c r="I220" t="s">
        <v>38</v>
      </c>
      <c r="J220" t="s">
        <v>65</v>
      </c>
      <c r="K220">
        <v>3</v>
      </c>
      <c r="L220">
        <v>2</v>
      </c>
      <c r="M220" t="s">
        <v>48</v>
      </c>
      <c r="N220" t="s">
        <v>61</v>
      </c>
      <c r="O220" t="s">
        <v>42</v>
      </c>
      <c r="P220" t="s">
        <v>32</v>
      </c>
      <c r="Q220">
        <v>13</v>
      </c>
      <c r="R220">
        <v>3</v>
      </c>
      <c r="S220">
        <v>8</v>
      </c>
      <c r="T220">
        <v>0</v>
      </c>
      <c r="U220">
        <v>0</v>
      </c>
      <c r="V220">
        <v>23</v>
      </c>
      <c r="W220">
        <v>50</v>
      </c>
      <c r="X220">
        <v>556</v>
      </c>
      <c r="Y220">
        <v>15497</v>
      </c>
      <c r="Z220">
        <v>5916</v>
      </c>
      <c r="AA220">
        <v>1</v>
      </c>
      <c r="AB220">
        <v>32007</v>
      </c>
      <c r="AC220" s="10">
        <v>44630</v>
      </c>
      <c r="AD220" s="10">
        <v>44664</v>
      </c>
      <c r="AE220" t="s">
        <v>54</v>
      </c>
      <c r="AF220" t="s">
        <v>45</v>
      </c>
    </row>
    <row r="221" spans="1:32" x14ac:dyDescent="0.25">
      <c r="A221">
        <v>1868</v>
      </c>
      <c r="B221">
        <v>29</v>
      </c>
      <c r="C221" t="s">
        <v>32</v>
      </c>
      <c r="D221" t="s">
        <v>46</v>
      </c>
      <c r="E221" t="s">
        <v>34</v>
      </c>
      <c r="F221" t="s">
        <v>67</v>
      </c>
      <c r="G221" t="s">
        <v>59</v>
      </c>
      <c r="H221" t="s">
        <v>37</v>
      </c>
      <c r="I221" t="s">
        <v>38</v>
      </c>
      <c r="J221" t="s">
        <v>39</v>
      </c>
      <c r="K221">
        <v>4</v>
      </c>
      <c r="L221">
        <v>4</v>
      </c>
      <c r="M221" t="s">
        <v>60</v>
      </c>
      <c r="N221" t="s">
        <v>41</v>
      </c>
      <c r="O221" t="s">
        <v>42</v>
      </c>
      <c r="P221" t="s">
        <v>32</v>
      </c>
      <c r="Q221">
        <v>24</v>
      </c>
      <c r="R221">
        <v>1</v>
      </c>
      <c r="S221">
        <v>1</v>
      </c>
      <c r="T221">
        <v>1</v>
      </c>
      <c r="U221">
        <v>0</v>
      </c>
      <c r="V221">
        <v>24</v>
      </c>
      <c r="W221">
        <v>73</v>
      </c>
      <c r="X221">
        <v>459</v>
      </c>
      <c r="Y221">
        <v>14753</v>
      </c>
      <c r="Z221">
        <v>2439</v>
      </c>
      <c r="AA221">
        <v>3</v>
      </c>
      <c r="AB221">
        <v>34434</v>
      </c>
      <c r="AC221" s="10">
        <v>44397</v>
      </c>
      <c r="AD221" s="10">
        <v>44665</v>
      </c>
      <c r="AE221" t="s">
        <v>44</v>
      </c>
      <c r="AF221" t="s">
        <v>45</v>
      </c>
    </row>
    <row r="222" spans="1:32" x14ac:dyDescent="0.25">
      <c r="A222">
        <v>1433</v>
      </c>
      <c r="B222">
        <v>31</v>
      </c>
      <c r="C222" t="s">
        <v>32</v>
      </c>
      <c r="D222" t="s">
        <v>33</v>
      </c>
      <c r="E222" t="s">
        <v>34</v>
      </c>
      <c r="F222" t="s">
        <v>49</v>
      </c>
      <c r="G222" t="s">
        <v>36</v>
      </c>
      <c r="H222" t="s">
        <v>47</v>
      </c>
      <c r="I222" t="s">
        <v>38</v>
      </c>
      <c r="J222" t="s">
        <v>39</v>
      </c>
      <c r="K222">
        <v>2</v>
      </c>
      <c r="L222">
        <v>3</v>
      </c>
      <c r="M222" t="s">
        <v>58</v>
      </c>
      <c r="N222" t="s">
        <v>41</v>
      </c>
      <c r="O222" t="s">
        <v>42</v>
      </c>
      <c r="P222" t="s">
        <v>43</v>
      </c>
      <c r="Q222">
        <v>12</v>
      </c>
      <c r="R222">
        <v>1</v>
      </c>
      <c r="S222">
        <v>1</v>
      </c>
      <c r="T222">
        <v>0</v>
      </c>
      <c r="U222">
        <v>0</v>
      </c>
      <c r="V222">
        <v>8</v>
      </c>
      <c r="W222">
        <v>34</v>
      </c>
      <c r="X222">
        <v>202</v>
      </c>
      <c r="Y222">
        <v>22262</v>
      </c>
      <c r="Z222">
        <v>1261</v>
      </c>
      <c r="AA222">
        <v>3</v>
      </c>
      <c r="AB222">
        <v>33657</v>
      </c>
      <c r="AC222" s="10">
        <v>44352</v>
      </c>
      <c r="AD222" s="10">
        <v>44668</v>
      </c>
      <c r="AE222" t="s">
        <v>44</v>
      </c>
      <c r="AF222" t="s">
        <v>55</v>
      </c>
    </row>
    <row r="223" spans="1:32" x14ac:dyDescent="0.25">
      <c r="A223">
        <v>1878</v>
      </c>
      <c r="B223">
        <v>22</v>
      </c>
      <c r="C223" t="s">
        <v>32</v>
      </c>
      <c r="D223" t="s">
        <v>33</v>
      </c>
      <c r="E223" t="s">
        <v>34</v>
      </c>
      <c r="F223" t="s">
        <v>64</v>
      </c>
      <c r="G223" t="s">
        <v>59</v>
      </c>
      <c r="H223" t="s">
        <v>37</v>
      </c>
      <c r="I223" t="s">
        <v>50</v>
      </c>
      <c r="J223" t="s">
        <v>39</v>
      </c>
      <c r="K223">
        <v>2</v>
      </c>
      <c r="L223">
        <v>4</v>
      </c>
      <c r="M223" t="s">
        <v>48</v>
      </c>
      <c r="N223" t="s">
        <v>41</v>
      </c>
      <c r="O223" t="s">
        <v>42</v>
      </c>
      <c r="P223" t="s">
        <v>32</v>
      </c>
      <c r="Q223">
        <v>23</v>
      </c>
      <c r="R223">
        <v>1</v>
      </c>
      <c r="S223">
        <v>1</v>
      </c>
      <c r="T223">
        <v>0</v>
      </c>
      <c r="U223">
        <v>0</v>
      </c>
      <c r="V223">
        <v>7</v>
      </c>
      <c r="W223">
        <v>75</v>
      </c>
      <c r="X223">
        <v>391</v>
      </c>
      <c r="Y223">
        <v>26092</v>
      </c>
      <c r="Z223">
        <v>2472</v>
      </c>
      <c r="AA223">
        <v>2</v>
      </c>
      <c r="AB223">
        <v>36939</v>
      </c>
      <c r="AC223" s="10">
        <v>44677</v>
      </c>
      <c r="AD223" s="10">
        <v>44681</v>
      </c>
      <c r="AE223" t="s">
        <v>54</v>
      </c>
      <c r="AF223" t="s">
        <v>45</v>
      </c>
    </row>
    <row r="224" spans="1:32" x14ac:dyDescent="0.25">
      <c r="A224">
        <v>1692</v>
      </c>
      <c r="B224">
        <v>32</v>
      </c>
      <c r="C224" t="s">
        <v>32</v>
      </c>
      <c r="D224" t="s">
        <v>33</v>
      </c>
      <c r="E224" t="s">
        <v>34</v>
      </c>
      <c r="F224" t="s">
        <v>35</v>
      </c>
      <c r="G224" t="s">
        <v>59</v>
      </c>
      <c r="H224" t="s">
        <v>37</v>
      </c>
      <c r="I224" t="s">
        <v>50</v>
      </c>
      <c r="J224" t="s">
        <v>51</v>
      </c>
      <c r="K224">
        <v>2</v>
      </c>
      <c r="L224">
        <v>3</v>
      </c>
      <c r="M224" t="s">
        <v>48</v>
      </c>
      <c r="N224" t="s">
        <v>41</v>
      </c>
      <c r="O224" t="s">
        <v>42</v>
      </c>
      <c r="P224" t="s">
        <v>43</v>
      </c>
      <c r="Q224">
        <v>12</v>
      </c>
      <c r="R224">
        <v>1</v>
      </c>
      <c r="S224">
        <v>1</v>
      </c>
      <c r="T224">
        <v>0</v>
      </c>
      <c r="U224">
        <v>0</v>
      </c>
      <c r="V224">
        <v>2</v>
      </c>
      <c r="W224">
        <v>95</v>
      </c>
      <c r="X224">
        <v>1259</v>
      </c>
      <c r="Y224">
        <v>24852</v>
      </c>
      <c r="Z224">
        <v>1393</v>
      </c>
      <c r="AA224">
        <v>2</v>
      </c>
      <c r="AB224">
        <v>33395</v>
      </c>
      <c r="AC224" s="10">
        <v>44372</v>
      </c>
      <c r="AD224" s="10">
        <v>44692</v>
      </c>
      <c r="AE224" t="s">
        <v>44</v>
      </c>
      <c r="AF224" t="s">
        <v>45</v>
      </c>
    </row>
    <row r="225" spans="1:32" x14ac:dyDescent="0.25">
      <c r="A225">
        <v>514</v>
      </c>
      <c r="B225">
        <v>30</v>
      </c>
      <c r="C225" t="s">
        <v>32</v>
      </c>
      <c r="D225" t="s">
        <v>46</v>
      </c>
      <c r="E225" t="s">
        <v>34</v>
      </c>
      <c r="F225" t="s">
        <v>49</v>
      </c>
      <c r="G225" t="s">
        <v>50</v>
      </c>
      <c r="H225" t="s">
        <v>37</v>
      </c>
      <c r="I225" t="s">
        <v>50</v>
      </c>
      <c r="J225" t="s">
        <v>39</v>
      </c>
      <c r="K225">
        <v>4</v>
      </c>
      <c r="L225">
        <v>4</v>
      </c>
      <c r="M225" t="s">
        <v>48</v>
      </c>
      <c r="N225" t="s">
        <v>41</v>
      </c>
      <c r="O225" t="s">
        <v>42</v>
      </c>
      <c r="P225" t="s">
        <v>32</v>
      </c>
      <c r="Q225">
        <v>23</v>
      </c>
      <c r="R225">
        <v>9</v>
      </c>
      <c r="S225">
        <v>3</v>
      </c>
      <c r="T225">
        <v>0</v>
      </c>
      <c r="U225">
        <v>0</v>
      </c>
      <c r="V225">
        <v>4</v>
      </c>
      <c r="W225">
        <v>40</v>
      </c>
      <c r="X225">
        <v>464</v>
      </c>
      <c r="Y225">
        <v>3427</v>
      </c>
      <c r="Z225">
        <v>2285</v>
      </c>
      <c r="AA225">
        <v>4</v>
      </c>
      <c r="AB225">
        <v>34098</v>
      </c>
      <c r="AC225" s="10">
        <v>44639</v>
      </c>
      <c r="AD225" s="10">
        <v>44696</v>
      </c>
      <c r="AE225" t="s">
        <v>44</v>
      </c>
      <c r="AF225" t="s">
        <v>45</v>
      </c>
    </row>
    <row r="226" spans="1:32" x14ac:dyDescent="0.25">
      <c r="A226">
        <v>55</v>
      </c>
      <c r="B226">
        <v>26</v>
      </c>
      <c r="C226" t="s">
        <v>32</v>
      </c>
      <c r="D226" t="s">
        <v>33</v>
      </c>
      <c r="E226" t="s">
        <v>34</v>
      </c>
      <c r="F226" t="s">
        <v>49</v>
      </c>
      <c r="G226" t="s">
        <v>36</v>
      </c>
      <c r="H226" t="s">
        <v>37</v>
      </c>
      <c r="I226" t="s">
        <v>36</v>
      </c>
      <c r="J226" t="s">
        <v>51</v>
      </c>
      <c r="K226">
        <v>3</v>
      </c>
      <c r="L226">
        <v>3</v>
      </c>
      <c r="M226" t="s">
        <v>60</v>
      </c>
      <c r="N226" t="s">
        <v>41</v>
      </c>
      <c r="O226" t="s">
        <v>42</v>
      </c>
      <c r="P226" t="s">
        <v>43</v>
      </c>
      <c r="Q226">
        <v>12</v>
      </c>
      <c r="R226">
        <v>1</v>
      </c>
      <c r="S226">
        <v>1</v>
      </c>
      <c r="T226">
        <v>0</v>
      </c>
      <c r="U226">
        <v>1</v>
      </c>
      <c r="V226">
        <v>25</v>
      </c>
      <c r="W226">
        <v>48</v>
      </c>
      <c r="X226">
        <v>1357</v>
      </c>
      <c r="Y226">
        <v>10558</v>
      </c>
      <c r="Z226">
        <v>2293</v>
      </c>
      <c r="AA226">
        <v>2</v>
      </c>
      <c r="AB226">
        <v>35327</v>
      </c>
      <c r="AC226" s="10">
        <v>44392</v>
      </c>
      <c r="AD226" s="10">
        <v>44702</v>
      </c>
      <c r="AE226" t="s">
        <v>44</v>
      </c>
      <c r="AF226" t="s">
        <v>55</v>
      </c>
    </row>
    <row r="227" spans="1:32" x14ac:dyDescent="0.25">
      <c r="A227">
        <v>485</v>
      </c>
      <c r="B227">
        <v>33</v>
      </c>
      <c r="C227" t="s">
        <v>32</v>
      </c>
      <c r="D227" t="s">
        <v>33</v>
      </c>
      <c r="E227" t="s">
        <v>56</v>
      </c>
      <c r="F227" t="s">
        <v>49</v>
      </c>
      <c r="G227" t="s">
        <v>59</v>
      </c>
      <c r="H227" t="s">
        <v>47</v>
      </c>
      <c r="I227" t="s">
        <v>50</v>
      </c>
      <c r="J227" t="s">
        <v>66</v>
      </c>
      <c r="K227">
        <v>3</v>
      </c>
      <c r="L227">
        <v>3</v>
      </c>
      <c r="M227" t="s">
        <v>48</v>
      </c>
      <c r="N227" t="s">
        <v>41</v>
      </c>
      <c r="O227" t="s">
        <v>42</v>
      </c>
      <c r="P227" t="s">
        <v>32</v>
      </c>
      <c r="Q227">
        <v>13</v>
      </c>
      <c r="R227">
        <v>1</v>
      </c>
      <c r="S227">
        <v>1</v>
      </c>
      <c r="T227">
        <v>0</v>
      </c>
      <c r="U227">
        <v>0</v>
      </c>
      <c r="V227">
        <v>5</v>
      </c>
      <c r="W227">
        <v>34</v>
      </c>
      <c r="X227">
        <v>350</v>
      </c>
      <c r="Y227">
        <v>9150</v>
      </c>
      <c r="Z227">
        <v>2851</v>
      </c>
      <c r="AA227">
        <v>2</v>
      </c>
      <c r="AB227">
        <v>33070</v>
      </c>
      <c r="AC227" s="10">
        <v>44434</v>
      </c>
      <c r="AD227" s="10">
        <v>44710</v>
      </c>
      <c r="AE227" t="s">
        <v>54</v>
      </c>
      <c r="AF227" t="s">
        <v>45</v>
      </c>
    </row>
    <row r="228" spans="1:32" x14ac:dyDescent="0.25">
      <c r="A228">
        <v>911</v>
      </c>
      <c r="B228">
        <v>32</v>
      </c>
      <c r="C228" t="s">
        <v>32</v>
      </c>
      <c r="D228" t="s">
        <v>33</v>
      </c>
      <c r="E228" t="s">
        <v>34</v>
      </c>
      <c r="F228" t="s">
        <v>35</v>
      </c>
      <c r="G228" t="s">
        <v>36</v>
      </c>
      <c r="H228" t="s">
        <v>37</v>
      </c>
      <c r="I228" t="s">
        <v>50</v>
      </c>
      <c r="J228" t="s">
        <v>51</v>
      </c>
      <c r="K228">
        <v>4</v>
      </c>
      <c r="L228">
        <v>4</v>
      </c>
      <c r="M228" t="s">
        <v>40</v>
      </c>
      <c r="N228" t="s">
        <v>41</v>
      </c>
      <c r="O228" t="s">
        <v>42</v>
      </c>
      <c r="P228" t="s">
        <v>32</v>
      </c>
      <c r="Q228">
        <v>24</v>
      </c>
      <c r="R228">
        <v>1</v>
      </c>
      <c r="S228">
        <v>1</v>
      </c>
      <c r="T228">
        <v>0</v>
      </c>
      <c r="U228">
        <v>1</v>
      </c>
      <c r="V228">
        <v>25</v>
      </c>
      <c r="W228">
        <v>87</v>
      </c>
      <c r="X228">
        <v>374</v>
      </c>
      <c r="Y228">
        <v>18016</v>
      </c>
      <c r="Z228">
        <v>2795</v>
      </c>
      <c r="AA228">
        <v>2</v>
      </c>
      <c r="AB228">
        <v>33316</v>
      </c>
      <c r="AC228" s="10">
        <v>44420</v>
      </c>
      <c r="AD228" s="10">
        <v>44715</v>
      </c>
      <c r="AE228" t="s">
        <v>44</v>
      </c>
      <c r="AF228" t="s">
        <v>45</v>
      </c>
    </row>
    <row r="229" spans="1:32" x14ac:dyDescent="0.25">
      <c r="A229">
        <v>1016</v>
      </c>
      <c r="B229">
        <v>20</v>
      </c>
      <c r="C229" t="s">
        <v>32</v>
      </c>
      <c r="D229" t="s">
        <v>33</v>
      </c>
      <c r="E229" t="s">
        <v>34</v>
      </c>
      <c r="F229" t="s">
        <v>49</v>
      </c>
      <c r="G229" t="s">
        <v>59</v>
      </c>
      <c r="H229" t="s">
        <v>47</v>
      </c>
      <c r="I229" t="s">
        <v>38</v>
      </c>
      <c r="J229" t="s">
        <v>39</v>
      </c>
      <c r="K229">
        <v>1</v>
      </c>
      <c r="L229">
        <v>3</v>
      </c>
      <c r="M229" t="s">
        <v>48</v>
      </c>
      <c r="N229" t="s">
        <v>41</v>
      </c>
      <c r="O229" t="s">
        <v>42</v>
      </c>
      <c r="P229" t="s">
        <v>32</v>
      </c>
      <c r="Q229">
        <v>15</v>
      </c>
      <c r="R229">
        <v>1</v>
      </c>
      <c r="S229">
        <v>1</v>
      </c>
      <c r="T229">
        <v>0</v>
      </c>
      <c r="U229">
        <v>0</v>
      </c>
      <c r="V229">
        <v>11</v>
      </c>
      <c r="W229">
        <v>98</v>
      </c>
      <c r="X229">
        <v>1097</v>
      </c>
      <c r="Y229">
        <v>18275</v>
      </c>
      <c r="Z229">
        <v>2600</v>
      </c>
      <c r="AA229">
        <v>2</v>
      </c>
      <c r="AB229">
        <v>37668</v>
      </c>
      <c r="AC229" s="10">
        <v>44629</v>
      </c>
      <c r="AD229" s="10">
        <v>44725</v>
      </c>
      <c r="AE229" t="s">
        <v>44</v>
      </c>
      <c r="AF229" t="s">
        <v>45</v>
      </c>
    </row>
    <row r="230" spans="1:32" x14ac:dyDescent="0.25">
      <c r="A230">
        <v>566</v>
      </c>
      <c r="B230">
        <v>19</v>
      </c>
      <c r="C230" t="s">
        <v>32</v>
      </c>
      <c r="D230" t="s">
        <v>33</v>
      </c>
      <c r="E230" t="s">
        <v>68</v>
      </c>
      <c r="F230" t="s">
        <v>67</v>
      </c>
      <c r="G230" t="s">
        <v>36</v>
      </c>
      <c r="H230" t="s">
        <v>37</v>
      </c>
      <c r="I230" t="s">
        <v>38</v>
      </c>
      <c r="J230" t="s">
        <v>68</v>
      </c>
      <c r="K230">
        <v>4</v>
      </c>
      <c r="L230">
        <v>2</v>
      </c>
      <c r="M230" t="s">
        <v>58</v>
      </c>
      <c r="N230" t="s">
        <v>41</v>
      </c>
      <c r="O230" t="s">
        <v>42</v>
      </c>
      <c r="P230" t="s">
        <v>43</v>
      </c>
      <c r="Q230">
        <v>12</v>
      </c>
      <c r="R230">
        <v>1</v>
      </c>
      <c r="S230">
        <v>1</v>
      </c>
      <c r="T230">
        <v>0</v>
      </c>
      <c r="U230">
        <v>0</v>
      </c>
      <c r="V230">
        <v>2</v>
      </c>
      <c r="W230">
        <v>52</v>
      </c>
      <c r="X230">
        <v>489</v>
      </c>
      <c r="Y230">
        <v>18437</v>
      </c>
      <c r="Z230">
        <v>2564</v>
      </c>
      <c r="AA230">
        <v>3</v>
      </c>
      <c r="AB230">
        <v>37856</v>
      </c>
      <c r="AC230" s="10">
        <v>44443</v>
      </c>
      <c r="AD230" s="10">
        <v>44726</v>
      </c>
      <c r="AE230" t="s">
        <v>44</v>
      </c>
      <c r="AF230" t="s">
        <v>45</v>
      </c>
    </row>
    <row r="231" spans="1:32" x14ac:dyDescent="0.25">
      <c r="A231">
        <v>1033</v>
      </c>
      <c r="B231">
        <v>37</v>
      </c>
      <c r="C231" t="s">
        <v>32</v>
      </c>
      <c r="D231" t="s">
        <v>33</v>
      </c>
      <c r="E231" t="s">
        <v>34</v>
      </c>
      <c r="F231" t="s">
        <v>67</v>
      </c>
      <c r="G231" t="s">
        <v>36</v>
      </c>
      <c r="H231" t="s">
        <v>47</v>
      </c>
      <c r="I231" t="s">
        <v>36</v>
      </c>
      <c r="J231" t="s">
        <v>62</v>
      </c>
      <c r="K231">
        <v>2</v>
      </c>
      <c r="L231">
        <v>3</v>
      </c>
      <c r="M231" t="s">
        <v>40</v>
      </c>
      <c r="N231" t="s">
        <v>61</v>
      </c>
      <c r="O231" t="s">
        <v>42</v>
      </c>
      <c r="P231" t="s">
        <v>43</v>
      </c>
      <c r="Q231">
        <v>15</v>
      </c>
      <c r="R231">
        <v>5</v>
      </c>
      <c r="S231">
        <v>15</v>
      </c>
      <c r="T231">
        <v>0</v>
      </c>
      <c r="U231">
        <v>0</v>
      </c>
      <c r="V231">
        <v>11</v>
      </c>
      <c r="W231">
        <v>61</v>
      </c>
      <c r="X231">
        <v>1141</v>
      </c>
      <c r="Y231">
        <v>14382</v>
      </c>
      <c r="Z231">
        <v>4777</v>
      </c>
      <c r="AA231">
        <v>2</v>
      </c>
      <c r="AB231">
        <v>31426</v>
      </c>
      <c r="AC231" s="10">
        <v>44597</v>
      </c>
      <c r="AD231" s="10">
        <v>44735</v>
      </c>
      <c r="AE231" t="s">
        <v>44</v>
      </c>
      <c r="AF231" t="s">
        <v>45</v>
      </c>
    </row>
    <row r="232" spans="1:32" x14ac:dyDescent="0.25">
      <c r="A232">
        <v>1248</v>
      </c>
      <c r="B232">
        <v>19</v>
      </c>
      <c r="C232" t="s">
        <v>32</v>
      </c>
      <c r="D232" t="s">
        <v>63</v>
      </c>
      <c r="E232" t="s">
        <v>34</v>
      </c>
      <c r="F232" t="s">
        <v>49</v>
      </c>
      <c r="G232" t="s">
        <v>36</v>
      </c>
      <c r="H232" t="s">
        <v>47</v>
      </c>
      <c r="I232" t="s">
        <v>38</v>
      </c>
      <c r="J232" t="s">
        <v>39</v>
      </c>
      <c r="K232">
        <v>2</v>
      </c>
      <c r="L232">
        <v>4</v>
      </c>
      <c r="M232" t="s">
        <v>58</v>
      </c>
      <c r="N232" t="s">
        <v>41</v>
      </c>
      <c r="O232" t="s">
        <v>42</v>
      </c>
      <c r="P232" t="s">
        <v>32</v>
      </c>
      <c r="Q232">
        <v>25</v>
      </c>
      <c r="R232">
        <v>1</v>
      </c>
      <c r="S232">
        <v>1</v>
      </c>
      <c r="T232">
        <v>0</v>
      </c>
      <c r="U232">
        <v>0</v>
      </c>
      <c r="V232">
        <v>10</v>
      </c>
      <c r="W232">
        <v>96</v>
      </c>
      <c r="X232">
        <v>504</v>
      </c>
      <c r="Y232">
        <v>6148</v>
      </c>
      <c r="Z232">
        <v>1859</v>
      </c>
      <c r="AA232">
        <v>2</v>
      </c>
      <c r="AB232">
        <v>37855</v>
      </c>
      <c r="AC232" s="10">
        <v>44580</v>
      </c>
      <c r="AD232" s="10">
        <v>44737</v>
      </c>
      <c r="AE232" t="s">
        <v>54</v>
      </c>
      <c r="AF232" t="s">
        <v>45</v>
      </c>
    </row>
    <row r="233" spans="1:32" x14ac:dyDescent="0.25">
      <c r="A233">
        <v>392</v>
      </c>
      <c r="B233">
        <v>44</v>
      </c>
      <c r="C233" t="s">
        <v>32</v>
      </c>
      <c r="D233" t="s">
        <v>46</v>
      </c>
      <c r="E233" t="s">
        <v>34</v>
      </c>
      <c r="F233" t="s">
        <v>49</v>
      </c>
      <c r="G233" t="s">
        <v>59</v>
      </c>
      <c r="H233" t="s">
        <v>37</v>
      </c>
      <c r="I233" t="s">
        <v>50</v>
      </c>
      <c r="J233" t="s">
        <v>51</v>
      </c>
      <c r="K233">
        <v>3</v>
      </c>
      <c r="L233">
        <v>4</v>
      </c>
      <c r="M233" t="s">
        <v>40</v>
      </c>
      <c r="N233" t="s">
        <v>52</v>
      </c>
      <c r="O233" t="s">
        <v>36</v>
      </c>
      <c r="P233" t="s">
        <v>32</v>
      </c>
      <c r="Q233">
        <v>22</v>
      </c>
      <c r="R233">
        <v>3</v>
      </c>
      <c r="S233">
        <v>19</v>
      </c>
      <c r="T233">
        <v>0</v>
      </c>
      <c r="U233">
        <v>0</v>
      </c>
      <c r="V233">
        <v>24</v>
      </c>
      <c r="W233">
        <v>43</v>
      </c>
      <c r="X233">
        <v>920</v>
      </c>
      <c r="Y233">
        <v>19920</v>
      </c>
      <c r="Z233">
        <v>3161</v>
      </c>
      <c r="AA233">
        <v>0</v>
      </c>
      <c r="AB233">
        <v>29019</v>
      </c>
      <c r="AC233" s="10">
        <v>44445</v>
      </c>
      <c r="AD233" s="10">
        <v>44738</v>
      </c>
      <c r="AE233" t="s">
        <v>44</v>
      </c>
      <c r="AF233" t="s">
        <v>45</v>
      </c>
    </row>
    <row r="234" spans="1:32" x14ac:dyDescent="0.25">
      <c r="A234">
        <v>1842</v>
      </c>
      <c r="B234">
        <v>31</v>
      </c>
      <c r="C234" t="s">
        <v>32</v>
      </c>
      <c r="D234" t="s">
        <v>33</v>
      </c>
      <c r="E234" t="s">
        <v>68</v>
      </c>
      <c r="F234" t="s">
        <v>70</v>
      </c>
      <c r="G234" t="s">
        <v>59</v>
      </c>
      <c r="H234" t="s">
        <v>37</v>
      </c>
      <c r="I234" t="s">
        <v>59</v>
      </c>
      <c r="J234" t="s">
        <v>68</v>
      </c>
      <c r="K234">
        <v>1</v>
      </c>
      <c r="L234">
        <v>3</v>
      </c>
      <c r="M234" t="s">
        <v>48</v>
      </c>
      <c r="N234" t="s">
        <v>61</v>
      </c>
      <c r="O234" t="s">
        <v>42</v>
      </c>
      <c r="P234" t="s">
        <v>43</v>
      </c>
      <c r="Q234">
        <v>17</v>
      </c>
      <c r="R234">
        <v>0</v>
      </c>
      <c r="S234">
        <v>2</v>
      </c>
      <c r="T234">
        <v>0</v>
      </c>
      <c r="U234">
        <v>0</v>
      </c>
      <c r="V234">
        <v>18</v>
      </c>
      <c r="W234">
        <v>89</v>
      </c>
      <c r="X234">
        <v>359</v>
      </c>
      <c r="Y234">
        <v>21495</v>
      </c>
      <c r="Z234">
        <v>2956</v>
      </c>
      <c r="AA234">
        <v>4</v>
      </c>
      <c r="AB234">
        <v>33703</v>
      </c>
      <c r="AC234" s="10">
        <v>44460</v>
      </c>
      <c r="AD234" s="10">
        <v>44738</v>
      </c>
      <c r="AE234" t="s">
        <v>44</v>
      </c>
      <c r="AF234" t="s">
        <v>55</v>
      </c>
    </row>
    <row r="235" spans="1:32" x14ac:dyDescent="0.25">
      <c r="A235">
        <v>1767</v>
      </c>
      <c r="B235">
        <v>43</v>
      </c>
      <c r="C235" t="s">
        <v>32</v>
      </c>
      <c r="D235" t="s">
        <v>46</v>
      </c>
      <c r="E235" t="s">
        <v>34</v>
      </c>
      <c r="F235" t="s">
        <v>49</v>
      </c>
      <c r="G235" t="s">
        <v>50</v>
      </c>
      <c r="H235" t="s">
        <v>37</v>
      </c>
      <c r="I235" t="s">
        <v>38</v>
      </c>
      <c r="J235" t="s">
        <v>39</v>
      </c>
      <c r="K235">
        <v>3</v>
      </c>
      <c r="L235">
        <v>3</v>
      </c>
      <c r="M235" t="s">
        <v>48</v>
      </c>
      <c r="N235" t="s">
        <v>61</v>
      </c>
      <c r="O235" t="s">
        <v>36</v>
      </c>
      <c r="P235" t="s">
        <v>32</v>
      </c>
      <c r="Q235">
        <v>16</v>
      </c>
      <c r="R235">
        <v>9</v>
      </c>
      <c r="S235">
        <v>6</v>
      </c>
      <c r="T235">
        <v>0</v>
      </c>
      <c r="U235">
        <v>0</v>
      </c>
      <c r="V235">
        <v>17</v>
      </c>
      <c r="W235">
        <v>38</v>
      </c>
      <c r="X235">
        <v>807</v>
      </c>
      <c r="Y235">
        <v>15587</v>
      </c>
      <c r="Z235">
        <v>2437</v>
      </c>
      <c r="AA235">
        <v>4</v>
      </c>
      <c r="AB235">
        <v>29331</v>
      </c>
      <c r="AC235" s="10">
        <v>44394</v>
      </c>
      <c r="AD235" s="10">
        <v>44739</v>
      </c>
      <c r="AE235" t="s">
        <v>54</v>
      </c>
      <c r="AF235" t="s">
        <v>45</v>
      </c>
    </row>
    <row r="236" spans="1:32" x14ac:dyDescent="0.25">
      <c r="A236">
        <v>1714</v>
      </c>
      <c r="B236">
        <v>24</v>
      </c>
      <c r="C236" t="s">
        <v>32</v>
      </c>
      <c r="D236" t="s">
        <v>33</v>
      </c>
      <c r="E236" t="s">
        <v>68</v>
      </c>
      <c r="F236" t="s">
        <v>64</v>
      </c>
      <c r="G236" t="s">
        <v>59</v>
      </c>
      <c r="H236" t="s">
        <v>37</v>
      </c>
      <c r="I236" t="s">
        <v>36</v>
      </c>
      <c r="J236" t="s">
        <v>68</v>
      </c>
      <c r="K236">
        <v>3</v>
      </c>
      <c r="L236">
        <v>2</v>
      </c>
      <c r="M236" t="s">
        <v>48</v>
      </c>
      <c r="N236" t="s">
        <v>61</v>
      </c>
      <c r="O236" t="s">
        <v>36</v>
      </c>
      <c r="P236" t="s">
        <v>43</v>
      </c>
      <c r="Q236">
        <v>11</v>
      </c>
      <c r="R236">
        <v>1</v>
      </c>
      <c r="S236">
        <v>1</v>
      </c>
      <c r="T236">
        <v>0</v>
      </c>
      <c r="U236">
        <v>0</v>
      </c>
      <c r="V236">
        <v>22</v>
      </c>
      <c r="W236">
        <v>58</v>
      </c>
      <c r="X236">
        <v>240</v>
      </c>
      <c r="Y236">
        <v>11585</v>
      </c>
      <c r="Z236">
        <v>1555</v>
      </c>
      <c r="AA236">
        <v>2</v>
      </c>
      <c r="AB236">
        <v>36027</v>
      </c>
      <c r="AC236" s="10">
        <v>44598</v>
      </c>
      <c r="AD236" s="10">
        <v>44741</v>
      </c>
      <c r="AE236" t="s">
        <v>44</v>
      </c>
      <c r="AF236" t="s">
        <v>55</v>
      </c>
    </row>
    <row r="237" spans="1:32" x14ac:dyDescent="0.25">
      <c r="A237">
        <v>816</v>
      </c>
      <c r="B237">
        <v>29</v>
      </c>
      <c r="C237" t="s">
        <v>32</v>
      </c>
      <c r="D237" t="s">
        <v>33</v>
      </c>
      <c r="E237" t="s">
        <v>34</v>
      </c>
      <c r="F237" t="s">
        <v>67</v>
      </c>
      <c r="G237" t="s">
        <v>38</v>
      </c>
      <c r="H237" t="s">
        <v>47</v>
      </c>
      <c r="I237" t="s">
        <v>38</v>
      </c>
      <c r="J237" t="s">
        <v>51</v>
      </c>
      <c r="K237">
        <v>1</v>
      </c>
      <c r="L237">
        <v>3</v>
      </c>
      <c r="M237" t="s">
        <v>48</v>
      </c>
      <c r="N237" t="s">
        <v>61</v>
      </c>
      <c r="O237" t="s">
        <v>36</v>
      </c>
      <c r="P237" t="s">
        <v>32</v>
      </c>
      <c r="Q237">
        <v>11</v>
      </c>
      <c r="R237">
        <v>1</v>
      </c>
      <c r="S237">
        <v>1</v>
      </c>
      <c r="T237">
        <v>0</v>
      </c>
      <c r="U237">
        <v>0</v>
      </c>
      <c r="V237">
        <v>1</v>
      </c>
      <c r="W237">
        <v>36</v>
      </c>
      <c r="X237">
        <v>805</v>
      </c>
      <c r="Y237">
        <v>6689</v>
      </c>
      <c r="Z237">
        <v>2319</v>
      </c>
      <c r="AA237">
        <v>1</v>
      </c>
      <c r="AB237">
        <v>34477</v>
      </c>
      <c r="AC237" s="10">
        <v>44723</v>
      </c>
      <c r="AD237" s="10">
        <v>44753</v>
      </c>
      <c r="AE237" t="s">
        <v>44</v>
      </c>
      <c r="AF237" t="s">
        <v>55</v>
      </c>
    </row>
    <row r="238" spans="1:32" x14ac:dyDescent="0.25">
      <c r="A238">
        <v>355</v>
      </c>
      <c r="B238">
        <v>31</v>
      </c>
      <c r="C238" t="s">
        <v>32</v>
      </c>
      <c r="D238" t="s">
        <v>46</v>
      </c>
      <c r="E238" t="s">
        <v>34</v>
      </c>
      <c r="F238" t="s">
        <v>67</v>
      </c>
      <c r="G238" t="s">
        <v>50</v>
      </c>
      <c r="H238" t="s">
        <v>37</v>
      </c>
      <c r="I238" t="s">
        <v>38</v>
      </c>
      <c r="J238" t="s">
        <v>51</v>
      </c>
      <c r="K238">
        <v>2</v>
      </c>
      <c r="L238">
        <v>3</v>
      </c>
      <c r="M238" t="s">
        <v>58</v>
      </c>
      <c r="N238" t="s">
        <v>41</v>
      </c>
      <c r="O238" t="s">
        <v>42</v>
      </c>
      <c r="P238" t="s">
        <v>43</v>
      </c>
      <c r="Q238">
        <v>11</v>
      </c>
      <c r="R238">
        <v>0</v>
      </c>
      <c r="S238">
        <v>6</v>
      </c>
      <c r="T238">
        <v>1</v>
      </c>
      <c r="U238">
        <v>4</v>
      </c>
      <c r="V238">
        <v>29</v>
      </c>
      <c r="W238">
        <v>71</v>
      </c>
      <c r="X238">
        <v>307</v>
      </c>
      <c r="Y238">
        <v>11652</v>
      </c>
      <c r="Z238">
        <v>3479</v>
      </c>
      <c r="AA238">
        <v>2</v>
      </c>
      <c r="AB238">
        <v>33473</v>
      </c>
      <c r="AC238" s="10">
        <v>43294</v>
      </c>
      <c r="AD238" s="10">
        <v>44756</v>
      </c>
      <c r="AE238" t="s">
        <v>44</v>
      </c>
      <c r="AF238" t="s">
        <v>45</v>
      </c>
    </row>
    <row r="239" spans="1:32" x14ac:dyDescent="0.25">
      <c r="A239">
        <v>2019</v>
      </c>
      <c r="B239">
        <v>52</v>
      </c>
      <c r="C239" t="s">
        <v>43</v>
      </c>
      <c r="D239" t="s">
        <v>63</v>
      </c>
      <c r="E239" t="s">
        <v>56</v>
      </c>
      <c r="F239" t="s">
        <v>35</v>
      </c>
      <c r="G239" t="s">
        <v>36</v>
      </c>
      <c r="H239" t="s">
        <v>37</v>
      </c>
      <c r="I239" t="s">
        <v>50</v>
      </c>
      <c r="J239" t="s">
        <v>66</v>
      </c>
      <c r="K239">
        <v>4</v>
      </c>
      <c r="L239">
        <v>3</v>
      </c>
      <c r="M239" t="s">
        <v>60</v>
      </c>
      <c r="N239" t="s">
        <v>52</v>
      </c>
      <c r="O239" t="s">
        <v>53</v>
      </c>
      <c r="P239" t="s">
        <v>43</v>
      </c>
      <c r="Q239">
        <v>15</v>
      </c>
      <c r="R239">
        <v>2</v>
      </c>
      <c r="S239">
        <v>16</v>
      </c>
      <c r="T239">
        <v>0</v>
      </c>
      <c r="U239">
        <v>0</v>
      </c>
      <c r="V239">
        <v>29</v>
      </c>
      <c r="W239">
        <v>40</v>
      </c>
      <c r="X239">
        <v>585</v>
      </c>
      <c r="Y239">
        <v>19788</v>
      </c>
      <c r="Z239">
        <v>3482</v>
      </c>
      <c r="AA239">
        <v>3</v>
      </c>
      <c r="AB239">
        <v>26111</v>
      </c>
      <c r="AC239" s="10">
        <v>41627</v>
      </c>
      <c r="AD239" s="10" t="s">
        <v>72</v>
      </c>
      <c r="AE239" t="s">
        <v>72</v>
      </c>
      <c r="AF239" t="s">
        <v>45</v>
      </c>
    </row>
    <row r="240" spans="1:32" x14ac:dyDescent="0.25">
      <c r="A240">
        <v>1374</v>
      </c>
      <c r="B240">
        <v>34</v>
      </c>
      <c r="C240" t="s">
        <v>43</v>
      </c>
      <c r="D240" t="s">
        <v>63</v>
      </c>
      <c r="E240" t="s">
        <v>34</v>
      </c>
      <c r="F240" t="s">
        <v>64</v>
      </c>
      <c r="G240" t="s">
        <v>36</v>
      </c>
      <c r="H240" t="s">
        <v>47</v>
      </c>
      <c r="I240" t="s">
        <v>38</v>
      </c>
      <c r="J240" t="s">
        <v>39</v>
      </c>
      <c r="K240">
        <v>3</v>
      </c>
      <c r="L240">
        <v>4</v>
      </c>
      <c r="M240" t="s">
        <v>48</v>
      </c>
      <c r="N240" t="s">
        <v>52</v>
      </c>
      <c r="O240" t="s">
        <v>50</v>
      </c>
      <c r="P240" t="s">
        <v>43</v>
      </c>
      <c r="Q240">
        <v>20</v>
      </c>
      <c r="R240">
        <v>1</v>
      </c>
      <c r="S240">
        <v>5</v>
      </c>
      <c r="T240">
        <v>0</v>
      </c>
      <c r="U240">
        <v>0</v>
      </c>
      <c r="V240">
        <v>26</v>
      </c>
      <c r="W240">
        <v>92</v>
      </c>
      <c r="X240">
        <v>999</v>
      </c>
      <c r="Y240">
        <v>15891</v>
      </c>
      <c r="Z240">
        <v>2029</v>
      </c>
      <c r="AA240">
        <v>2</v>
      </c>
      <c r="AB240">
        <v>32592</v>
      </c>
      <c r="AC240" s="10">
        <v>43107</v>
      </c>
      <c r="AD240" s="10" t="s">
        <v>72</v>
      </c>
      <c r="AE240" t="s">
        <v>72</v>
      </c>
      <c r="AF240" t="s">
        <v>45</v>
      </c>
    </row>
    <row r="241" spans="1:32" x14ac:dyDescent="0.25">
      <c r="A241">
        <v>900</v>
      </c>
      <c r="B241">
        <v>37</v>
      </c>
      <c r="C241" t="s">
        <v>43</v>
      </c>
      <c r="D241" t="s">
        <v>46</v>
      </c>
      <c r="E241" t="s">
        <v>56</v>
      </c>
      <c r="F241" t="s">
        <v>67</v>
      </c>
      <c r="G241" t="s">
        <v>50</v>
      </c>
      <c r="H241" t="s">
        <v>47</v>
      </c>
      <c r="I241" t="s">
        <v>50</v>
      </c>
      <c r="J241" t="s">
        <v>66</v>
      </c>
      <c r="K241">
        <v>4</v>
      </c>
      <c r="L241">
        <v>1</v>
      </c>
      <c r="M241" t="s">
        <v>48</v>
      </c>
      <c r="N241" t="s">
        <v>61</v>
      </c>
      <c r="O241" t="s">
        <v>36</v>
      </c>
      <c r="P241" t="s">
        <v>43</v>
      </c>
      <c r="Q241">
        <v>15</v>
      </c>
      <c r="R241">
        <v>5</v>
      </c>
      <c r="S241">
        <v>10</v>
      </c>
      <c r="T241">
        <v>0</v>
      </c>
      <c r="U241">
        <v>0</v>
      </c>
      <c r="V241">
        <v>21</v>
      </c>
      <c r="W241">
        <v>54</v>
      </c>
      <c r="X241">
        <v>1231</v>
      </c>
      <c r="Y241">
        <v>21222</v>
      </c>
      <c r="Z241">
        <v>2973</v>
      </c>
      <c r="AA241">
        <v>3</v>
      </c>
      <c r="AB241">
        <v>31559</v>
      </c>
      <c r="AC241" s="10">
        <v>43266</v>
      </c>
      <c r="AD241" s="10" t="s">
        <v>72</v>
      </c>
      <c r="AE241" t="s">
        <v>72</v>
      </c>
      <c r="AF241" t="s">
        <v>55</v>
      </c>
    </row>
    <row r="242" spans="1:32" x14ac:dyDescent="0.25">
      <c r="A242">
        <v>1340</v>
      </c>
      <c r="B242">
        <v>40</v>
      </c>
      <c r="C242" t="s">
        <v>43</v>
      </c>
      <c r="D242" t="s">
        <v>63</v>
      </c>
      <c r="E242" t="s">
        <v>34</v>
      </c>
      <c r="F242" t="s">
        <v>67</v>
      </c>
      <c r="G242" t="s">
        <v>50</v>
      </c>
      <c r="H242" t="s">
        <v>37</v>
      </c>
      <c r="I242" t="s">
        <v>50</v>
      </c>
      <c r="J242" t="s">
        <v>39</v>
      </c>
      <c r="K242">
        <v>3</v>
      </c>
      <c r="L242">
        <v>3</v>
      </c>
      <c r="M242" t="s">
        <v>48</v>
      </c>
      <c r="N242" t="s">
        <v>52</v>
      </c>
      <c r="O242" t="s">
        <v>36</v>
      </c>
      <c r="P242" t="s">
        <v>43</v>
      </c>
      <c r="Q242">
        <v>16</v>
      </c>
      <c r="R242">
        <v>9</v>
      </c>
      <c r="S242">
        <v>6</v>
      </c>
      <c r="T242">
        <v>0</v>
      </c>
      <c r="U242">
        <v>0</v>
      </c>
      <c r="V242">
        <v>16</v>
      </c>
      <c r="W242">
        <v>74</v>
      </c>
      <c r="X242">
        <v>458</v>
      </c>
      <c r="Y242">
        <v>8532</v>
      </c>
      <c r="Z242">
        <v>3544</v>
      </c>
      <c r="AA242">
        <v>0</v>
      </c>
      <c r="AB242">
        <v>30382</v>
      </c>
      <c r="AC242" s="10">
        <v>43520</v>
      </c>
      <c r="AD242" s="10" t="s">
        <v>72</v>
      </c>
      <c r="AE242" t="s">
        <v>72</v>
      </c>
      <c r="AF242" t="s">
        <v>45</v>
      </c>
    </row>
    <row r="243" spans="1:32" x14ac:dyDescent="0.25">
      <c r="A243">
        <v>2060</v>
      </c>
      <c r="B243">
        <v>26</v>
      </c>
      <c r="C243" t="s">
        <v>43</v>
      </c>
      <c r="D243" t="s">
        <v>33</v>
      </c>
      <c r="E243" t="s">
        <v>56</v>
      </c>
      <c r="F243" t="s">
        <v>49</v>
      </c>
      <c r="G243" t="s">
        <v>59</v>
      </c>
      <c r="H243" t="s">
        <v>47</v>
      </c>
      <c r="I243" t="s">
        <v>38</v>
      </c>
      <c r="J243" t="s">
        <v>66</v>
      </c>
      <c r="K243">
        <v>3</v>
      </c>
      <c r="L243">
        <v>3</v>
      </c>
      <c r="M243" t="s">
        <v>48</v>
      </c>
      <c r="N243" t="s">
        <v>41</v>
      </c>
      <c r="O243" t="s">
        <v>42</v>
      </c>
      <c r="P243" t="s">
        <v>43</v>
      </c>
      <c r="Q243">
        <v>18</v>
      </c>
      <c r="R243">
        <v>0</v>
      </c>
      <c r="S243">
        <v>5</v>
      </c>
      <c r="T243">
        <v>0</v>
      </c>
      <c r="U243">
        <v>0</v>
      </c>
      <c r="V243">
        <v>5</v>
      </c>
      <c r="W243">
        <v>30</v>
      </c>
      <c r="X243">
        <v>1167</v>
      </c>
      <c r="Y243">
        <v>21378</v>
      </c>
      <c r="Z243">
        <v>2966</v>
      </c>
      <c r="AA243">
        <v>2</v>
      </c>
      <c r="AB243">
        <v>35344</v>
      </c>
      <c r="AC243" s="10">
        <v>43564</v>
      </c>
      <c r="AD243" s="10" t="s">
        <v>72</v>
      </c>
      <c r="AE243" t="s">
        <v>72</v>
      </c>
      <c r="AF243" t="s">
        <v>55</v>
      </c>
    </row>
    <row r="244" spans="1:32" x14ac:dyDescent="0.25">
      <c r="A244">
        <v>1839</v>
      </c>
      <c r="B244">
        <v>18</v>
      </c>
      <c r="C244" t="s">
        <v>43</v>
      </c>
      <c r="D244" t="s">
        <v>63</v>
      </c>
      <c r="E244" t="s">
        <v>34</v>
      </c>
      <c r="F244" t="s">
        <v>49</v>
      </c>
      <c r="G244" t="s">
        <v>38</v>
      </c>
      <c r="H244" t="s">
        <v>47</v>
      </c>
      <c r="I244" t="s">
        <v>50</v>
      </c>
      <c r="J244" t="s">
        <v>39</v>
      </c>
      <c r="K244">
        <v>3</v>
      </c>
      <c r="L244">
        <v>3</v>
      </c>
      <c r="M244" t="s">
        <v>40</v>
      </c>
      <c r="N244" t="s">
        <v>41</v>
      </c>
      <c r="O244" t="s">
        <v>42</v>
      </c>
      <c r="P244" t="s">
        <v>43</v>
      </c>
      <c r="Q244">
        <v>16</v>
      </c>
      <c r="R244">
        <v>1</v>
      </c>
      <c r="S244">
        <v>1</v>
      </c>
      <c r="T244">
        <v>0</v>
      </c>
      <c r="U244">
        <v>0</v>
      </c>
      <c r="V244">
        <v>14</v>
      </c>
      <c r="W244">
        <v>33</v>
      </c>
      <c r="X244">
        <v>1431</v>
      </c>
      <c r="Y244">
        <v>8018</v>
      </c>
      <c r="Z244">
        <v>1514</v>
      </c>
      <c r="AA244">
        <v>4</v>
      </c>
      <c r="AB244">
        <v>38382</v>
      </c>
      <c r="AC244" s="10">
        <v>44199</v>
      </c>
      <c r="AD244" s="10" t="s">
        <v>72</v>
      </c>
      <c r="AE244" t="s">
        <v>72</v>
      </c>
      <c r="AF244" t="s">
        <v>45</v>
      </c>
    </row>
    <row r="245" spans="1:32" x14ac:dyDescent="0.25">
      <c r="A245">
        <v>113</v>
      </c>
      <c r="B245">
        <v>23</v>
      </c>
      <c r="C245" t="s">
        <v>43</v>
      </c>
      <c r="D245" t="s">
        <v>33</v>
      </c>
      <c r="E245" t="s">
        <v>56</v>
      </c>
      <c r="F245" t="s">
        <v>64</v>
      </c>
      <c r="G245" t="s">
        <v>50</v>
      </c>
      <c r="H245" t="s">
        <v>37</v>
      </c>
      <c r="I245" t="s">
        <v>50</v>
      </c>
      <c r="J245" t="s">
        <v>66</v>
      </c>
      <c r="K245">
        <v>1</v>
      </c>
      <c r="L245">
        <v>3</v>
      </c>
      <c r="M245" t="s">
        <v>48</v>
      </c>
      <c r="N245" t="s">
        <v>52</v>
      </c>
      <c r="O245" t="s">
        <v>36</v>
      </c>
      <c r="P245" t="s">
        <v>43</v>
      </c>
      <c r="Q245">
        <v>13</v>
      </c>
      <c r="R245">
        <v>3</v>
      </c>
      <c r="S245">
        <v>3</v>
      </c>
      <c r="T245">
        <v>0</v>
      </c>
      <c r="U245">
        <v>0</v>
      </c>
      <c r="V245">
        <v>2</v>
      </c>
      <c r="W245">
        <v>62</v>
      </c>
      <c r="X245">
        <v>541</v>
      </c>
      <c r="Y245">
        <v>9518</v>
      </c>
      <c r="Z245">
        <v>2322</v>
      </c>
      <c r="AA245">
        <v>3</v>
      </c>
      <c r="AB245">
        <v>36645</v>
      </c>
      <c r="AC245" s="10">
        <v>44290</v>
      </c>
      <c r="AD245" s="10" t="s">
        <v>72</v>
      </c>
      <c r="AE245" t="s">
        <v>72</v>
      </c>
      <c r="AF245" t="s">
        <v>55</v>
      </c>
    </row>
    <row r="246" spans="1:32" x14ac:dyDescent="0.25">
      <c r="A246">
        <v>850</v>
      </c>
      <c r="B246">
        <v>27</v>
      </c>
      <c r="C246" t="s">
        <v>43</v>
      </c>
      <c r="D246" t="s">
        <v>63</v>
      </c>
      <c r="E246" t="s">
        <v>34</v>
      </c>
      <c r="F246" t="s">
        <v>49</v>
      </c>
      <c r="G246" t="s">
        <v>59</v>
      </c>
      <c r="H246" t="s">
        <v>37</v>
      </c>
      <c r="I246" t="s">
        <v>50</v>
      </c>
      <c r="J246" t="s">
        <v>39</v>
      </c>
      <c r="K246">
        <v>4</v>
      </c>
      <c r="L246">
        <v>2</v>
      </c>
      <c r="M246" t="s">
        <v>60</v>
      </c>
      <c r="N246" t="s">
        <v>61</v>
      </c>
      <c r="O246" t="s">
        <v>50</v>
      </c>
      <c r="P246" t="s">
        <v>43</v>
      </c>
      <c r="Q246">
        <v>11</v>
      </c>
      <c r="R246">
        <v>1</v>
      </c>
      <c r="S246">
        <v>1</v>
      </c>
      <c r="T246">
        <v>0</v>
      </c>
      <c r="U246">
        <v>0</v>
      </c>
      <c r="V246">
        <v>3</v>
      </c>
      <c r="W246">
        <v>50</v>
      </c>
      <c r="X246">
        <v>443</v>
      </c>
      <c r="Y246">
        <v>16571</v>
      </c>
      <c r="Z246">
        <v>1706</v>
      </c>
      <c r="AA246">
        <v>6</v>
      </c>
      <c r="AB246">
        <v>34993</v>
      </c>
      <c r="AC246" s="10">
        <v>44308</v>
      </c>
      <c r="AD246" s="10" t="s">
        <v>72</v>
      </c>
      <c r="AE246" t="s">
        <v>72</v>
      </c>
      <c r="AF246" t="s">
        <v>45</v>
      </c>
    </row>
    <row r="247" spans="1:32" x14ac:dyDescent="0.25">
      <c r="A247">
        <v>1860</v>
      </c>
      <c r="B247">
        <v>42</v>
      </c>
      <c r="C247" t="s">
        <v>43</v>
      </c>
      <c r="D247" t="s">
        <v>33</v>
      </c>
      <c r="E247" t="s">
        <v>34</v>
      </c>
      <c r="F247" t="s">
        <v>49</v>
      </c>
      <c r="G247" t="s">
        <v>59</v>
      </c>
      <c r="H247" t="s">
        <v>37</v>
      </c>
      <c r="I247" t="s">
        <v>50</v>
      </c>
      <c r="J247" t="s">
        <v>51</v>
      </c>
      <c r="K247">
        <v>3</v>
      </c>
      <c r="L247">
        <v>3</v>
      </c>
      <c r="M247" t="s">
        <v>48</v>
      </c>
      <c r="N247" t="s">
        <v>41</v>
      </c>
      <c r="O247" t="s">
        <v>42</v>
      </c>
      <c r="P247" t="s">
        <v>43</v>
      </c>
      <c r="Q247">
        <v>13</v>
      </c>
      <c r="R247">
        <v>4</v>
      </c>
      <c r="S247">
        <v>8</v>
      </c>
      <c r="T247">
        <v>0</v>
      </c>
      <c r="U247">
        <v>0</v>
      </c>
      <c r="V247">
        <v>8</v>
      </c>
      <c r="W247">
        <v>81</v>
      </c>
      <c r="X247">
        <v>1142</v>
      </c>
      <c r="Y247">
        <v>13624</v>
      </c>
      <c r="Z247">
        <v>3968</v>
      </c>
      <c r="AA247">
        <v>3</v>
      </c>
      <c r="AB247">
        <v>29771</v>
      </c>
      <c r="AC247" s="10">
        <v>44350</v>
      </c>
      <c r="AD247" s="10" t="s">
        <v>72</v>
      </c>
      <c r="AE247" t="s">
        <v>72</v>
      </c>
      <c r="AF247" t="s">
        <v>55</v>
      </c>
    </row>
    <row r="248" spans="1:32" x14ac:dyDescent="0.25">
      <c r="A248">
        <v>1012</v>
      </c>
      <c r="B248">
        <v>18</v>
      </c>
      <c r="C248" t="s">
        <v>43</v>
      </c>
      <c r="D248" t="s">
        <v>63</v>
      </c>
      <c r="E248" t="s">
        <v>34</v>
      </c>
      <c r="F248" t="s">
        <v>67</v>
      </c>
      <c r="G248" t="s">
        <v>38</v>
      </c>
      <c r="H248" t="s">
        <v>37</v>
      </c>
      <c r="I248" t="s">
        <v>50</v>
      </c>
      <c r="J248" t="s">
        <v>39</v>
      </c>
      <c r="K248">
        <v>4</v>
      </c>
      <c r="L248">
        <v>3</v>
      </c>
      <c r="M248" t="s">
        <v>48</v>
      </c>
      <c r="N248" t="s">
        <v>41</v>
      </c>
      <c r="O248" t="s">
        <v>42</v>
      </c>
      <c r="P248" t="s">
        <v>43</v>
      </c>
      <c r="Q248">
        <v>15</v>
      </c>
      <c r="R248">
        <v>1</v>
      </c>
      <c r="S248">
        <v>3</v>
      </c>
      <c r="T248">
        <v>0</v>
      </c>
      <c r="U248">
        <v>0</v>
      </c>
      <c r="V248">
        <v>5</v>
      </c>
      <c r="W248">
        <v>73</v>
      </c>
      <c r="X248">
        <v>287</v>
      </c>
      <c r="Y248">
        <v>13493</v>
      </c>
      <c r="Z248">
        <v>1051</v>
      </c>
      <c r="AA248">
        <v>2</v>
      </c>
      <c r="AB248">
        <v>38502</v>
      </c>
      <c r="AC248" s="10">
        <v>44392</v>
      </c>
      <c r="AD248" s="10" t="s">
        <v>72</v>
      </c>
      <c r="AE248" t="s">
        <v>72</v>
      </c>
      <c r="AF248" t="s">
        <v>45</v>
      </c>
    </row>
    <row r="249" spans="1:32" x14ac:dyDescent="0.25">
      <c r="A249">
        <v>834</v>
      </c>
      <c r="B249">
        <v>45</v>
      </c>
      <c r="C249" t="s">
        <v>43</v>
      </c>
      <c r="D249" t="s">
        <v>33</v>
      </c>
      <c r="E249" t="s">
        <v>34</v>
      </c>
      <c r="F249" t="s">
        <v>49</v>
      </c>
      <c r="G249" t="s">
        <v>38</v>
      </c>
      <c r="H249" t="s">
        <v>47</v>
      </c>
      <c r="I249" t="s">
        <v>38</v>
      </c>
      <c r="J249" t="s">
        <v>39</v>
      </c>
      <c r="K249">
        <v>3</v>
      </c>
      <c r="L249">
        <v>3</v>
      </c>
      <c r="M249" t="s">
        <v>48</v>
      </c>
      <c r="N249" t="s">
        <v>41</v>
      </c>
      <c r="O249" t="s">
        <v>42</v>
      </c>
      <c r="P249" t="s">
        <v>43</v>
      </c>
      <c r="Q249">
        <v>14</v>
      </c>
      <c r="R249">
        <v>1</v>
      </c>
      <c r="S249">
        <v>1</v>
      </c>
      <c r="T249">
        <v>0</v>
      </c>
      <c r="U249">
        <v>0</v>
      </c>
      <c r="V249">
        <v>2</v>
      </c>
      <c r="W249">
        <v>95</v>
      </c>
      <c r="X249">
        <v>252</v>
      </c>
      <c r="Y249">
        <v>6153</v>
      </c>
      <c r="Z249">
        <v>2274</v>
      </c>
      <c r="AA249">
        <v>3</v>
      </c>
      <c r="AB249">
        <v>28545</v>
      </c>
      <c r="AC249" s="10">
        <v>44432</v>
      </c>
      <c r="AD249" s="10" t="s">
        <v>72</v>
      </c>
      <c r="AE249" t="s">
        <v>72</v>
      </c>
      <c r="AF249" t="s">
        <v>45</v>
      </c>
    </row>
    <row r="250" spans="1:32" x14ac:dyDescent="0.25">
      <c r="A250">
        <v>1581</v>
      </c>
      <c r="B250">
        <v>26</v>
      </c>
      <c r="C250" t="s">
        <v>43</v>
      </c>
      <c r="D250" t="s">
        <v>33</v>
      </c>
      <c r="E250" t="s">
        <v>34</v>
      </c>
      <c r="F250" t="s">
        <v>49</v>
      </c>
      <c r="G250" t="s">
        <v>36</v>
      </c>
      <c r="H250" t="s">
        <v>47</v>
      </c>
      <c r="I250" t="s">
        <v>50</v>
      </c>
      <c r="J250" t="s">
        <v>39</v>
      </c>
      <c r="K250">
        <v>4</v>
      </c>
      <c r="L250">
        <v>4</v>
      </c>
      <c r="M250" t="s">
        <v>48</v>
      </c>
      <c r="N250" t="s">
        <v>61</v>
      </c>
      <c r="O250" t="s">
        <v>42</v>
      </c>
      <c r="P250" t="s">
        <v>43</v>
      </c>
      <c r="Q250">
        <v>21</v>
      </c>
      <c r="R250">
        <v>1</v>
      </c>
      <c r="S250">
        <v>1</v>
      </c>
      <c r="T250">
        <v>0</v>
      </c>
      <c r="U250">
        <v>0</v>
      </c>
      <c r="V250">
        <v>3</v>
      </c>
      <c r="W250">
        <v>89</v>
      </c>
      <c r="X250">
        <v>474</v>
      </c>
      <c r="Y250">
        <v>11133</v>
      </c>
      <c r="Z250">
        <v>2061</v>
      </c>
      <c r="AA250">
        <v>5</v>
      </c>
      <c r="AB250">
        <v>35412</v>
      </c>
      <c r="AC250" s="10">
        <v>44440</v>
      </c>
      <c r="AD250" s="10" t="s">
        <v>72</v>
      </c>
      <c r="AE250" t="s">
        <v>72</v>
      </c>
      <c r="AF250" t="s">
        <v>45</v>
      </c>
    </row>
    <row r="251" spans="1:32" x14ac:dyDescent="0.25">
      <c r="A251">
        <v>134</v>
      </c>
      <c r="B251">
        <v>32</v>
      </c>
      <c r="C251" t="s">
        <v>43</v>
      </c>
      <c r="D251" t="s">
        <v>33</v>
      </c>
      <c r="E251" t="s">
        <v>34</v>
      </c>
      <c r="F251" t="s">
        <v>64</v>
      </c>
      <c r="G251" t="s">
        <v>59</v>
      </c>
      <c r="H251" t="s">
        <v>37</v>
      </c>
      <c r="I251" t="s">
        <v>50</v>
      </c>
      <c r="J251" t="s">
        <v>39</v>
      </c>
      <c r="K251">
        <v>1</v>
      </c>
      <c r="L251">
        <v>3</v>
      </c>
      <c r="M251" t="s">
        <v>48</v>
      </c>
      <c r="N251" t="s">
        <v>41</v>
      </c>
      <c r="O251" t="s">
        <v>42</v>
      </c>
      <c r="P251" t="s">
        <v>43</v>
      </c>
      <c r="Q251">
        <v>13</v>
      </c>
      <c r="R251">
        <v>1</v>
      </c>
      <c r="S251">
        <v>1</v>
      </c>
      <c r="T251">
        <v>0</v>
      </c>
      <c r="U251">
        <v>0</v>
      </c>
      <c r="V251">
        <v>1</v>
      </c>
      <c r="W251">
        <v>71</v>
      </c>
      <c r="X251">
        <v>827</v>
      </c>
      <c r="Y251">
        <v>15178</v>
      </c>
      <c r="Z251">
        <v>2956</v>
      </c>
      <c r="AA251">
        <v>2</v>
      </c>
      <c r="AB251">
        <v>33306</v>
      </c>
      <c r="AC251" s="10">
        <v>44450</v>
      </c>
      <c r="AD251" s="10" t="s">
        <v>72</v>
      </c>
      <c r="AE251" t="s">
        <v>72</v>
      </c>
      <c r="AF251" t="s">
        <v>45</v>
      </c>
    </row>
    <row r="252" spans="1:32" x14ac:dyDescent="0.25">
      <c r="A252">
        <v>1542</v>
      </c>
      <c r="B252">
        <v>42</v>
      </c>
      <c r="C252" t="s">
        <v>43</v>
      </c>
      <c r="D252" t="s">
        <v>33</v>
      </c>
      <c r="E252" t="s">
        <v>34</v>
      </c>
      <c r="F252" t="s">
        <v>49</v>
      </c>
      <c r="G252" t="s">
        <v>50</v>
      </c>
      <c r="H252" t="s">
        <v>37</v>
      </c>
      <c r="I252" t="s">
        <v>38</v>
      </c>
      <c r="J252" t="s">
        <v>51</v>
      </c>
      <c r="K252">
        <v>2</v>
      </c>
      <c r="L252">
        <v>3</v>
      </c>
      <c r="M252" t="s">
        <v>48</v>
      </c>
      <c r="N252" t="s">
        <v>61</v>
      </c>
      <c r="O252" t="s">
        <v>36</v>
      </c>
      <c r="P252" t="s">
        <v>43</v>
      </c>
      <c r="Q252">
        <v>14</v>
      </c>
      <c r="R252">
        <v>4</v>
      </c>
      <c r="S252">
        <v>4</v>
      </c>
      <c r="T252">
        <v>0</v>
      </c>
      <c r="U252">
        <v>0</v>
      </c>
      <c r="V252">
        <v>2</v>
      </c>
      <c r="W252">
        <v>68</v>
      </c>
      <c r="X252">
        <v>1210</v>
      </c>
      <c r="Y252">
        <v>24052</v>
      </c>
      <c r="Z252">
        <v>4841</v>
      </c>
      <c r="AA252">
        <v>3</v>
      </c>
      <c r="AB252">
        <v>29737</v>
      </c>
      <c r="AC252" s="10">
        <v>44466</v>
      </c>
      <c r="AD252" s="10" t="s">
        <v>72</v>
      </c>
      <c r="AE252" t="s">
        <v>72</v>
      </c>
      <c r="AF252" t="s">
        <v>45</v>
      </c>
    </row>
    <row r="253" spans="1:32" x14ac:dyDescent="0.25">
      <c r="A253">
        <v>1994</v>
      </c>
      <c r="B253">
        <v>33</v>
      </c>
      <c r="C253" t="s">
        <v>43</v>
      </c>
      <c r="D253" t="s">
        <v>63</v>
      </c>
      <c r="E253" t="s">
        <v>34</v>
      </c>
      <c r="F253" t="s">
        <v>67</v>
      </c>
      <c r="G253" t="s">
        <v>38</v>
      </c>
      <c r="H253" t="s">
        <v>37</v>
      </c>
      <c r="I253" t="s">
        <v>38</v>
      </c>
      <c r="J253" t="s">
        <v>51</v>
      </c>
      <c r="K253">
        <v>3</v>
      </c>
      <c r="L253">
        <v>3</v>
      </c>
      <c r="M253" t="s">
        <v>60</v>
      </c>
      <c r="N253" t="s">
        <v>52</v>
      </c>
      <c r="O253" t="s">
        <v>50</v>
      </c>
      <c r="P253" t="s">
        <v>43</v>
      </c>
      <c r="Q253">
        <v>12</v>
      </c>
      <c r="R253">
        <v>1</v>
      </c>
      <c r="S253">
        <v>1</v>
      </c>
      <c r="T253">
        <v>0</v>
      </c>
      <c r="U253">
        <v>0</v>
      </c>
      <c r="V253">
        <v>1</v>
      </c>
      <c r="W253">
        <v>59</v>
      </c>
      <c r="X253">
        <v>1313</v>
      </c>
      <c r="Y253">
        <v>20439</v>
      </c>
      <c r="Z253">
        <v>2008</v>
      </c>
      <c r="AA253">
        <v>2</v>
      </c>
      <c r="AB253">
        <v>33044</v>
      </c>
      <c r="AC253" s="10">
        <v>44490</v>
      </c>
      <c r="AD253" s="10" t="s">
        <v>72</v>
      </c>
      <c r="AE253" t="s">
        <v>72</v>
      </c>
      <c r="AF253" t="s">
        <v>45</v>
      </c>
    </row>
    <row r="254" spans="1:32" x14ac:dyDescent="0.25">
      <c r="A254">
        <v>1762</v>
      </c>
      <c r="B254">
        <v>29</v>
      </c>
      <c r="C254" t="s">
        <v>43</v>
      </c>
      <c r="D254" t="s">
        <v>33</v>
      </c>
      <c r="E254" t="s">
        <v>34</v>
      </c>
      <c r="F254" t="s">
        <v>49</v>
      </c>
      <c r="G254" t="s">
        <v>59</v>
      </c>
      <c r="H254" t="s">
        <v>47</v>
      </c>
      <c r="I254" t="s">
        <v>38</v>
      </c>
      <c r="J254" t="s">
        <v>39</v>
      </c>
      <c r="K254">
        <v>1</v>
      </c>
      <c r="L254">
        <v>3</v>
      </c>
      <c r="M254" t="s">
        <v>48</v>
      </c>
      <c r="N254" t="s">
        <v>52</v>
      </c>
      <c r="O254" t="s">
        <v>36</v>
      </c>
      <c r="P254" t="s">
        <v>43</v>
      </c>
      <c r="Q254">
        <v>13</v>
      </c>
      <c r="R254">
        <v>1</v>
      </c>
      <c r="S254">
        <v>1</v>
      </c>
      <c r="T254">
        <v>0</v>
      </c>
      <c r="U254">
        <v>0</v>
      </c>
      <c r="V254">
        <v>4</v>
      </c>
      <c r="W254">
        <v>91</v>
      </c>
      <c r="X254">
        <v>590</v>
      </c>
      <c r="Y254">
        <v>10007</v>
      </c>
      <c r="Z254">
        <v>2109</v>
      </c>
      <c r="AA254">
        <v>2</v>
      </c>
      <c r="AB254">
        <v>34449</v>
      </c>
      <c r="AC254" s="10">
        <v>44497</v>
      </c>
      <c r="AD254" s="10" t="s">
        <v>72</v>
      </c>
      <c r="AE254" t="s">
        <v>72</v>
      </c>
      <c r="AF254" t="s">
        <v>45</v>
      </c>
    </row>
    <row r="255" spans="1:32" x14ac:dyDescent="0.25">
      <c r="A255">
        <v>1364</v>
      </c>
      <c r="B255">
        <v>27</v>
      </c>
      <c r="C255" t="s">
        <v>43</v>
      </c>
      <c r="D255" t="s">
        <v>33</v>
      </c>
      <c r="E255" t="s">
        <v>56</v>
      </c>
      <c r="F255" t="s">
        <v>49</v>
      </c>
      <c r="G255" t="s">
        <v>50</v>
      </c>
      <c r="H255" t="s">
        <v>47</v>
      </c>
      <c r="I255" t="s">
        <v>59</v>
      </c>
      <c r="J255" t="s">
        <v>66</v>
      </c>
      <c r="K255">
        <v>4</v>
      </c>
      <c r="L255">
        <v>3</v>
      </c>
      <c r="M255" t="s">
        <v>48</v>
      </c>
      <c r="N255" t="s">
        <v>61</v>
      </c>
      <c r="O255" t="s">
        <v>36</v>
      </c>
      <c r="P255" t="s">
        <v>43</v>
      </c>
      <c r="Q255">
        <v>14</v>
      </c>
      <c r="R255">
        <v>8</v>
      </c>
      <c r="S255">
        <v>5</v>
      </c>
      <c r="T255">
        <v>0</v>
      </c>
      <c r="U255">
        <v>0</v>
      </c>
      <c r="V255">
        <v>11</v>
      </c>
      <c r="W255">
        <v>98</v>
      </c>
      <c r="X255">
        <v>1291</v>
      </c>
      <c r="Y255">
        <v>6527</v>
      </c>
      <c r="Z255">
        <v>2534</v>
      </c>
      <c r="AA255">
        <v>4</v>
      </c>
      <c r="AB255">
        <v>35121</v>
      </c>
      <c r="AC255" s="10">
        <v>44498</v>
      </c>
      <c r="AD255" s="10" t="s">
        <v>72</v>
      </c>
      <c r="AE255" t="s">
        <v>72</v>
      </c>
      <c r="AF255" t="s">
        <v>55</v>
      </c>
    </row>
    <row r="256" spans="1:32" x14ac:dyDescent="0.25">
      <c r="A256">
        <v>704</v>
      </c>
      <c r="B256">
        <v>35</v>
      </c>
      <c r="C256" t="s">
        <v>43</v>
      </c>
      <c r="D256" t="s">
        <v>63</v>
      </c>
      <c r="E256" t="s">
        <v>34</v>
      </c>
      <c r="F256" t="s">
        <v>49</v>
      </c>
      <c r="G256" t="s">
        <v>50</v>
      </c>
      <c r="H256" t="s">
        <v>37</v>
      </c>
      <c r="I256" t="s">
        <v>38</v>
      </c>
      <c r="J256" t="s">
        <v>51</v>
      </c>
      <c r="K256">
        <v>3</v>
      </c>
      <c r="L256">
        <v>3</v>
      </c>
      <c r="M256" t="s">
        <v>48</v>
      </c>
      <c r="N256" t="s">
        <v>61</v>
      </c>
      <c r="O256" t="s">
        <v>53</v>
      </c>
      <c r="P256" t="s">
        <v>43</v>
      </c>
      <c r="Q256">
        <v>18</v>
      </c>
      <c r="R256">
        <v>1</v>
      </c>
      <c r="S256">
        <v>1</v>
      </c>
      <c r="T256">
        <v>0</v>
      </c>
      <c r="U256">
        <v>0</v>
      </c>
      <c r="V256">
        <v>3</v>
      </c>
      <c r="W256">
        <v>41</v>
      </c>
      <c r="X256">
        <v>727</v>
      </c>
      <c r="Y256">
        <v>16900</v>
      </c>
      <c r="Z256">
        <v>1281</v>
      </c>
      <c r="AA256">
        <v>3</v>
      </c>
      <c r="AB256">
        <v>32180</v>
      </c>
      <c r="AC256" s="10">
        <v>44500</v>
      </c>
      <c r="AD256" s="10" t="s">
        <v>72</v>
      </c>
      <c r="AE256" t="s">
        <v>72</v>
      </c>
      <c r="AF256" t="s">
        <v>45</v>
      </c>
    </row>
    <row r="257" spans="1:32" x14ac:dyDescent="0.25">
      <c r="A257">
        <v>353</v>
      </c>
      <c r="B257">
        <v>51</v>
      </c>
      <c r="C257" t="s">
        <v>43</v>
      </c>
      <c r="D257" t="s">
        <v>33</v>
      </c>
      <c r="E257" t="s">
        <v>34</v>
      </c>
      <c r="F257" t="s">
        <v>49</v>
      </c>
      <c r="G257" t="s">
        <v>50</v>
      </c>
      <c r="H257" t="s">
        <v>37</v>
      </c>
      <c r="I257" t="s">
        <v>50</v>
      </c>
      <c r="J257" t="s">
        <v>39</v>
      </c>
      <c r="K257">
        <v>4</v>
      </c>
      <c r="L257">
        <v>3</v>
      </c>
      <c r="M257" t="s">
        <v>60</v>
      </c>
      <c r="N257" t="s">
        <v>61</v>
      </c>
      <c r="O257" t="s">
        <v>42</v>
      </c>
      <c r="P257" t="s">
        <v>43</v>
      </c>
      <c r="Q257">
        <v>11</v>
      </c>
      <c r="R257">
        <v>1</v>
      </c>
      <c r="S257">
        <v>1</v>
      </c>
      <c r="T257">
        <v>0</v>
      </c>
      <c r="U257">
        <v>0</v>
      </c>
      <c r="V257">
        <v>1</v>
      </c>
      <c r="W257">
        <v>96</v>
      </c>
      <c r="X257">
        <v>833</v>
      </c>
      <c r="Y257">
        <v>23231</v>
      </c>
      <c r="Z257">
        <v>2723</v>
      </c>
      <c r="AA257">
        <v>0</v>
      </c>
      <c r="AB257">
        <v>26416</v>
      </c>
      <c r="AC257" s="10">
        <v>44502</v>
      </c>
      <c r="AD257" s="10" t="s">
        <v>72</v>
      </c>
      <c r="AE257" t="s">
        <v>72</v>
      </c>
      <c r="AF257" t="s">
        <v>45</v>
      </c>
    </row>
    <row r="258" spans="1:32" x14ac:dyDescent="0.25">
      <c r="A258">
        <v>933</v>
      </c>
      <c r="B258">
        <v>27</v>
      </c>
      <c r="C258" t="s">
        <v>43</v>
      </c>
      <c r="D258" t="s">
        <v>33</v>
      </c>
      <c r="E258" t="s">
        <v>34</v>
      </c>
      <c r="F258" t="s">
        <v>49</v>
      </c>
      <c r="G258" t="s">
        <v>38</v>
      </c>
      <c r="H258" t="s">
        <v>47</v>
      </c>
      <c r="I258" t="s">
        <v>50</v>
      </c>
      <c r="J258" t="s">
        <v>39</v>
      </c>
      <c r="K258">
        <v>3</v>
      </c>
      <c r="L258">
        <v>3</v>
      </c>
      <c r="M258" t="s">
        <v>48</v>
      </c>
      <c r="N258" t="s">
        <v>41</v>
      </c>
      <c r="O258" t="s">
        <v>42</v>
      </c>
      <c r="P258" t="s">
        <v>43</v>
      </c>
      <c r="Q258">
        <v>19</v>
      </c>
      <c r="R258">
        <v>1</v>
      </c>
      <c r="S258">
        <v>1</v>
      </c>
      <c r="T258">
        <v>0</v>
      </c>
      <c r="U258">
        <v>0</v>
      </c>
      <c r="V258">
        <v>4</v>
      </c>
      <c r="W258">
        <v>76</v>
      </c>
      <c r="X258">
        <v>618</v>
      </c>
      <c r="Y258">
        <v>17808</v>
      </c>
      <c r="Z258">
        <v>2318</v>
      </c>
      <c r="AA258">
        <v>2</v>
      </c>
      <c r="AB258">
        <v>34918</v>
      </c>
      <c r="AC258" s="10">
        <v>44503</v>
      </c>
      <c r="AD258" s="10" t="s">
        <v>72</v>
      </c>
      <c r="AE258" t="s">
        <v>72</v>
      </c>
      <c r="AF258" t="s">
        <v>45</v>
      </c>
    </row>
    <row r="259" spans="1:32" x14ac:dyDescent="0.25">
      <c r="A259">
        <v>11</v>
      </c>
      <c r="B259">
        <v>30</v>
      </c>
      <c r="C259" t="s">
        <v>43</v>
      </c>
      <c r="D259" t="s">
        <v>33</v>
      </c>
      <c r="E259" t="s">
        <v>34</v>
      </c>
      <c r="F259" t="s">
        <v>64</v>
      </c>
      <c r="G259" t="s">
        <v>59</v>
      </c>
      <c r="H259" t="s">
        <v>37</v>
      </c>
      <c r="I259" t="s">
        <v>50</v>
      </c>
      <c r="J259" t="s">
        <v>51</v>
      </c>
      <c r="K259">
        <v>3</v>
      </c>
      <c r="L259">
        <v>3</v>
      </c>
      <c r="M259" t="s">
        <v>48</v>
      </c>
      <c r="N259" t="s">
        <v>52</v>
      </c>
      <c r="O259" t="s">
        <v>36</v>
      </c>
      <c r="P259" t="s">
        <v>43</v>
      </c>
      <c r="Q259">
        <v>22</v>
      </c>
      <c r="R259">
        <v>1</v>
      </c>
      <c r="S259">
        <v>1</v>
      </c>
      <c r="T259">
        <v>0</v>
      </c>
      <c r="U259">
        <v>0</v>
      </c>
      <c r="V259">
        <v>24</v>
      </c>
      <c r="W259">
        <v>67</v>
      </c>
      <c r="X259">
        <v>1358</v>
      </c>
      <c r="Y259">
        <v>13335</v>
      </c>
      <c r="Z259">
        <v>2693</v>
      </c>
      <c r="AA259">
        <v>2</v>
      </c>
      <c r="AB259">
        <v>33856</v>
      </c>
      <c r="AC259" s="10">
        <v>44504</v>
      </c>
      <c r="AD259" s="10" t="s">
        <v>72</v>
      </c>
      <c r="AE259" t="s">
        <v>72</v>
      </c>
      <c r="AF259" t="s">
        <v>45</v>
      </c>
    </row>
    <row r="260" spans="1:32" x14ac:dyDescent="0.25">
      <c r="A260">
        <v>1193</v>
      </c>
      <c r="B260">
        <v>19</v>
      </c>
      <c r="C260" t="s">
        <v>43</v>
      </c>
      <c r="D260" t="s">
        <v>33</v>
      </c>
      <c r="E260" t="s">
        <v>34</v>
      </c>
      <c r="F260" t="s">
        <v>67</v>
      </c>
      <c r="G260" t="s">
        <v>50</v>
      </c>
      <c r="H260" t="s">
        <v>37</v>
      </c>
      <c r="I260" t="s">
        <v>50</v>
      </c>
      <c r="J260" t="s">
        <v>39</v>
      </c>
      <c r="K260">
        <v>1</v>
      </c>
      <c r="L260">
        <v>4</v>
      </c>
      <c r="M260" t="s">
        <v>48</v>
      </c>
      <c r="N260" t="s">
        <v>41</v>
      </c>
      <c r="O260" t="s">
        <v>42</v>
      </c>
      <c r="P260" t="s">
        <v>43</v>
      </c>
      <c r="Q260">
        <v>25</v>
      </c>
      <c r="R260">
        <v>1</v>
      </c>
      <c r="S260">
        <v>1</v>
      </c>
      <c r="T260">
        <v>0</v>
      </c>
      <c r="U260">
        <v>0</v>
      </c>
      <c r="V260">
        <v>9</v>
      </c>
      <c r="W260">
        <v>54</v>
      </c>
      <c r="X260">
        <v>645</v>
      </c>
      <c r="Y260">
        <v>7172</v>
      </c>
      <c r="Z260">
        <v>2552</v>
      </c>
      <c r="AA260">
        <v>4</v>
      </c>
      <c r="AB260">
        <v>38146</v>
      </c>
      <c r="AC260" s="10">
        <v>44509</v>
      </c>
      <c r="AD260" s="10" t="s">
        <v>72</v>
      </c>
      <c r="AE260" t="s">
        <v>72</v>
      </c>
      <c r="AF260" t="s">
        <v>45</v>
      </c>
    </row>
    <row r="261" spans="1:32" x14ac:dyDescent="0.25">
      <c r="A261">
        <v>657</v>
      </c>
      <c r="B261">
        <v>20</v>
      </c>
      <c r="C261" t="s">
        <v>43</v>
      </c>
      <c r="D261" t="s">
        <v>33</v>
      </c>
      <c r="E261" t="s">
        <v>34</v>
      </c>
      <c r="F261" t="s">
        <v>49</v>
      </c>
      <c r="G261" t="s">
        <v>59</v>
      </c>
      <c r="H261" t="s">
        <v>47</v>
      </c>
      <c r="I261" t="s">
        <v>38</v>
      </c>
      <c r="J261" t="s">
        <v>39</v>
      </c>
      <c r="K261">
        <v>2</v>
      </c>
      <c r="L261">
        <v>3</v>
      </c>
      <c r="M261" t="s">
        <v>58</v>
      </c>
      <c r="N261" t="s">
        <v>41</v>
      </c>
      <c r="O261" t="s">
        <v>42</v>
      </c>
      <c r="P261" t="s">
        <v>43</v>
      </c>
      <c r="Q261">
        <v>13</v>
      </c>
      <c r="R261">
        <v>1</v>
      </c>
      <c r="S261">
        <v>1</v>
      </c>
      <c r="T261">
        <v>0</v>
      </c>
      <c r="U261">
        <v>0</v>
      </c>
      <c r="V261">
        <v>1</v>
      </c>
      <c r="W261">
        <v>83</v>
      </c>
      <c r="X261">
        <v>959</v>
      </c>
      <c r="Y261">
        <v>11757</v>
      </c>
      <c r="Z261">
        <v>2836</v>
      </c>
      <c r="AA261">
        <v>0</v>
      </c>
      <c r="AB261">
        <v>37504</v>
      </c>
      <c r="AC261" s="10">
        <v>44511</v>
      </c>
      <c r="AD261" s="10" t="s">
        <v>72</v>
      </c>
      <c r="AE261" t="s">
        <v>72</v>
      </c>
      <c r="AF261" t="s">
        <v>45</v>
      </c>
    </row>
    <row r="262" spans="1:32" x14ac:dyDescent="0.25">
      <c r="A262">
        <v>309</v>
      </c>
      <c r="B262">
        <v>59</v>
      </c>
      <c r="C262" t="s">
        <v>43</v>
      </c>
      <c r="D262" t="s">
        <v>33</v>
      </c>
      <c r="E262" t="s">
        <v>34</v>
      </c>
      <c r="F262" t="s">
        <v>49</v>
      </c>
      <c r="G262" t="s">
        <v>50</v>
      </c>
      <c r="H262" t="s">
        <v>37</v>
      </c>
      <c r="I262" t="s">
        <v>38</v>
      </c>
      <c r="J262" t="s">
        <v>39</v>
      </c>
      <c r="K262">
        <v>4</v>
      </c>
      <c r="L262">
        <v>3</v>
      </c>
      <c r="M262" t="s">
        <v>48</v>
      </c>
      <c r="N262" t="s">
        <v>61</v>
      </c>
      <c r="O262" t="s">
        <v>36</v>
      </c>
      <c r="P262" t="s">
        <v>43</v>
      </c>
      <c r="Q262">
        <v>17</v>
      </c>
      <c r="R262">
        <v>3</v>
      </c>
      <c r="S262">
        <v>7</v>
      </c>
      <c r="T262">
        <v>0</v>
      </c>
      <c r="U262">
        <v>0</v>
      </c>
      <c r="V262">
        <v>3</v>
      </c>
      <c r="W262">
        <v>70</v>
      </c>
      <c r="X262">
        <v>142</v>
      </c>
      <c r="Y262">
        <v>8456</v>
      </c>
      <c r="Z262">
        <v>2177</v>
      </c>
      <c r="AA262">
        <v>6</v>
      </c>
      <c r="AB262">
        <v>23481</v>
      </c>
      <c r="AC262" s="10">
        <v>44516</v>
      </c>
      <c r="AD262" s="10" t="s">
        <v>72</v>
      </c>
      <c r="AE262" t="s">
        <v>72</v>
      </c>
      <c r="AF262" t="s">
        <v>45</v>
      </c>
    </row>
    <row r="263" spans="1:32" x14ac:dyDescent="0.25">
      <c r="A263">
        <v>1265</v>
      </c>
      <c r="B263">
        <v>34</v>
      </c>
      <c r="C263" t="s">
        <v>43</v>
      </c>
      <c r="D263" t="s">
        <v>33</v>
      </c>
      <c r="E263" t="s">
        <v>34</v>
      </c>
      <c r="F263" t="s">
        <v>49</v>
      </c>
      <c r="G263" t="s">
        <v>50</v>
      </c>
      <c r="H263" t="s">
        <v>47</v>
      </c>
      <c r="I263" t="s">
        <v>59</v>
      </c>
      <c r="J263" t="s">
        <v>39</v>
      </c>
      <c r="K263">
        <v>3</v>
      </c>
      <c r="L263">
        <v>3</v>
      </c>
      <c r="M263" t="s">
        <v>60</v>
      </c>
      <c r="N263" t="s">
        <v>61</v>
      </c>
      <c r="O263" t="s">
        <v>42</v>
      </c>
      <c r="P263" t="s">
        <v>43</v>
      </c>
      <c r="Q263">
        <v>17</v>
      </c>
      <c r="R263">
        <v>0</v>
      </c>
      <c r="S263">
        <v>2</v>
      </c>
      <c r="T263">
        <v>0</v>
      </c>
      <c r="U263">
        <v>0</v>
      </c>
      <c r="V263">
        <v>20</v>
      </c>
      <c r="W263">
        <v>89</v>
      </c>
      <c r="X263">
        <v>1320</v>
      </c>
      <c r="Y263">
        <v>21643</v>
      </c>
      <c r="Z263">
        <v>2585</v>
      </c>
      <c r="AA263">
        <v>5</v>
      </c>
      <c r="AB263">
        <v>32582</v>
      </c>
      <c r="AC263" s="10">
        <v>44517</v>
      </c>
      <c r="AD263" s="10" t="s">
        <v>72</v>
      </c>
      <c r="AE263" t="s">
        <v>72</v>
      </c>
      <c r="AF263" t="s">
        <v>45</v>
      </c>
    </row>
    <row r="264" spans="1:32" x14ac:dyDescent="0.25">
      <c r="A264">
        <v>1577</v>
      </c>
      <c r="B264">
        <v>34</v>
      </c>
      <c r="C264" t="s">
        <v>43</v>
      </c>
      <c r="D264" t="s">
        <v>33</v>
      </c>
      <c r="E264" t="s">
        <v>34</v>
      </c>
      <c r="F264" t="s">
        <v>35</v>
      </c>
      <c r="G264" t="s">
        <v>36</v>
      </c>
      <c r="H264" t="s">
        <v>37</v>
      </c>
      <c r="I264" t="s">
        <v>50</v>
      </c>
      <c r="J264" t="s">
        <v>39</v>
      </c>
      <c r="K264">
        <v>4</v>
      </c>
      <c r="L264">
        <v>3</v>
      </c>
      <c r="M264" t="s">
        <v>40</v>
      </c>
      <c r="N264" t="s">
        <v>41</v>
      </c>
      <c r="O264" t="s">
        <v>42</v>
      </c>
      <c r="P264" t="s">
        <v>43</v>
      </c>
      <c r="Q264">
        <v>13</v>
      </c>
      <c r="R264">
        <v>1</v>
      </c>
      <c r="S264">
        <v>1</v>
      </c>
      <c r="T264">
        <v>0</v>
      </c>
      <c r="U264">
        <v>0</v>
      </c>
      <c r="V264">
        <v>7</v>
      </c>
      <c r="W264">
        <v>35</v>
      </c>
      <c r="X264">
        <v>479</v>
      </c>
      <c r="Y264">
        <v>22061</v>
      </c>
      <c r="Z264">
        <v>2972</v>
      </c>
      <c r="AA264">
        <v>4</v>
      </c>
      <c r="AB264">
        <v>32418</v>
      </c>
      <c r="AC264" s="10">
        <v>44517</v>
      </c>
      <c r="AD264" s="10" t="s">
        <v>72</v>
      </c>
      <c r="AE264" t="s">
        <v>72</v>
      </c>
      <c r="AF264" t="s">
        <v>55</v>
      </c>
    </row>
    <row r="265" spans="1:32" x14ac:dyDescent="0.25">
      <c r="A265">
        <v>812</v>
      </c>
      <c r="B265">
        <v>24</v>
      </c>
      <c r="C265" t="s">
        <v>43</v>
      </c>
      <c r="D265" t="s">
        <v>63</v>
      </c>
      <c r="E265" t="s">
        <v>34</v>
      </c>
      <c r="F265" t="s">
        <v>49</v>
      </c>
      <c r="G265" t="s">
        <v>50</v>
      </c>
      <c r="H265" t="s">
        <v>37</v>
      </c>
      <c r="I265" t="s">
        <v>38</v>
      </c>
      <c r="J265" t="s">
        <v>51</v>
      </c>
      <c r="K265">
        <v>2</v>
      </c>
      <c r="L265">
        <v>3</v>
      </c>
      <c r="M265" t="s">
        <v>48</v>
      </c>
      <c r="N265" t="s">
        <v>52</v>
      </c>
      <c r="O265" t="s">
        <v>50</v>
      </c>
      <c r="P265" t="s">
        <v>43</v>
      </c>
      <c r="Q265">
        <v>11</v>
      </c>
      <c r="R265">
        <v>1</v>
      </c>
      <c r="S265">
        <v>1</v>
      </c>
      <c r="T265">
        <v>0</v>
      </c>
      <c r="U265">
        <v>0</v>
      </c>
      <c r="V265">
        <v>9</v>
      </c>
      <c r="W265">
        <v>60</v>
      </c>
      <c r="X265">
        <v>1092</v>
      </c>
      <c r="Y265">
        <v>26551</v>
      </c>
      <c r="Z265">
        <v>2694</v>
      </c>
      <c r="AA265">
        <v>4</v>
      </c>
      <c r="AB265">
        <v>36103</v>
      </c>
      <c r="AC265" s="10">
        <v>44522</v>
      </c>
      <c r="AD265" s="10" t="s">
        <v>72</v>
      </c>
      <c r="AE265" t="s">
        <v>72</v>
      </c>
      <c r="AF265" t="s">
        <v>45</v>
      </c>
    </row>
    <row r="266" spans="1:32" x14ac:dyDescent="0.25">
      <c r="A266">
        <v>680</v>
      </c>
      <c r="B266">
        <v>30</v>
      </c>
      <c r="C266" t="s">
        <v>43</v>
      </c>
      <c r="D266" t="s">
        <v>46</v>
      </c>
      <c r="E266" t="s">
        <v>34</v>
      </c>
      <c r="F266" t="s">
        <v>49</v>
      </c>
      <c r="G266" t="s">
        <v>50</v>
      </c>
      <c r="H266" t="s">
        <v>47</v>
      </c>
      <c r="I266" t="s">
        <v>50</v>
      </c>
      <c r="J266" t="s">
        <v>39</v>
      </c>
      <c r="K266">
        <v>3</v>
      </c>
      <c r="L266">
        <v>4</v>
      </c>
      <c r="M266" t="s">
        <v>48</v>
      </c>
      <c r="N266" t="s">
        <v>52</v>
      </c>
      <c r="O266" t="s">
        <v>36</v>
      </c>
      <c r="P266" t="s">
        <v>43</v>
      </c>
      <c r="Q266">
        <v>20</v>
      </c>
      <c r="R266">
        <v>1</v>
      </c>
      <c r="S266">
        <v>1</v>
      </c>
      <c r="T266">
        <v>0</v>
      </c>
      <c r="U266">
        <v>0</v>
      </c>
      <c r="V266">
        <v>3</v>
      </c>
      <c r="W266">
        <v>71</v>
      </c>
      <c r="X266">
        <v>160</v>
      </c>
      <c r="Y266">
        <v>22653</v>
      </c>
      <c r="Z266">
        <v>2083</v>
      </c>
      <c r="AA266">
        <v>2</v>
      </c>
      <c r="AB266">
        <v>34106</v>
      </c>
      <c r="AC266" s="10">
        <v>44529</v>
      </c>
      <c r="AD266" s="10" t="s">
        <v>72</v>
      </c>
      <c r="AE266" t="s">
        <v>72</v>
      </c>
      <c r="AF266" t="s">
        <v>55</v>
      </c>
    </row>
    <row r="267" spans="1:32" x14ac:dyDescent="0.25">
      <c r="A267">
        <v>1482</v>
      </c>
      <c r="B267">
        <v>30</v>
      </c>
      <c r="C267" t="s">
        <v>43</v>
      </c>
      <c r="D267" t="s">
        <v>63</v>
      </c>
      <c r="E267" t="s">
        <v>34</v>
      </c>
      <c r="F267" t="s">
        <v>49</v>
      </c>
      <c r="G267" t="s">
        <v>50</v>
      </c>
      <c r="H267" t="s">
        <v>37</v>
      </c>
      <c r="I267" t="s">
        <v>50</v>
      </c>
      <c r="J267" t="s">
        <v>39</v>
      </c>
      <c r="K267">
        <v>3</v>
      </c>
      <c r="L267">
        <v>1</v>
      </c>
      <c r="M267" t="s">
        <v>60</v>
      </c>
      <c r="N267" t="s">
        <v>52</v>
      </c>
      <c r="O267" t="s">
        <v>53</v>
      </c>
      <c r="P267" t="s">
        <v>43</v>
      </c>
      <c r="Q267">
        <v>13</v>
      </c>
      <c r="R267">
        <v>1</v>
      </c>
      <c r="S267">
        <v>1</v>
      </c>
      <c r="T267">
        <v>0</v>
      </c>
      <c r="U267">
        <v>0</v>
      </c>
      <c r="V267">
        <v>7</v>
      </c>
      <c r="W267">
        <v>64</v>
      </c>
      <c r="X267">
        <v>990</v>
      </c>
      <c r="Y267">
        <v>7152</v>
      </c>
      <c r="Z267">
        <v>1274</v>
      </c>
      <c r="AA267">
        <v>2</v>
      </c>
      <c r="AB267">
        <v>34035</v>
      </c>
      <c r="AC267" s="10">
        <v>44546</v>
      </c>
      <c r="AD267" s="10" t="s">
        <v>72</v>
      </c>
      <c r="AE267" t="s">
        <v>72</v>
      </c>
      <c r="AF267" t="s">
        <v>45</v>
      </c>
    </row>
    <row r="268" spans="1:32" x14ac:dyDescent="0.25">
      <c r="A268">
        <v>1495</v>
      </c>
      <c r="B268">
        <v>24</v>
      </c>
      <c r="C268" t="s">
        <v>43</v>
      </c>
      <c r="D268" t="s">
        <v>63</v>
      </c>
      <c r="E268" t="s">
        <v>56</v>
      </c>
      <c r="F268" t="s">
        <v>67</v>
      </c>
      <c r="G268" t="s">
        <v>59</v>
      </c>
      <c r="H268" t="s">
        <v>47</v>
      </c>
      <c r="I268" t="s">
        <v>50</v>
      </c>
      <c r="J268" t="s">
        <v>66</v>
      </c>
      <c r="K268">
        <v>2</v>
      </c>
      <c r="L268">
        <v>2</v>
      </c>
      <c r="M268" t="s">
        <v>48</v>
      </c>
      <c r="N268" t="s">
        <v>61</v>
      </c>
      <c r="O268" t="s">
        <v>36</v>
      </c>
      <c r="P268" t="s">
        <v>43</v>
      </c>
      <c r="Q268">
        <v>13</v>
      </c>
      <c r="R268">
        <v>1</v>
      </c>
      <c r="S268">
        <v>1</v>
      </c>
      <c r="T268">
        <v>0</v>
      </c>
      <c r="U268">
        <v>0</v>
      </c>
      <c r="V268">
        <v>13</v>
      </c>
      <c r="W268">
        <v>78</v>
      </c>
      <c r="X268">
        <v>830</v>
      </c>
      <c r="Y268">
        <v>7103</v>
      </c>
      <c r="Z268">
        <v>2033</v>
      </c>
      <c r="AA268">
        <v>2</v>
      </c>
      <c r="AB268">
        <v>36121</v>
      </c>
      <c r="AC268" s="10">
        <v>44548</v>
      </c>
      <c r="AD268" s="10" t="s">
        <v>72</v>
      </c>
      <c r="AE268" t="s">
        <v>72</v>
      </c>
      <c r="AF268" t="s">
        <v>55</v>
      </c>
    </row>
    <row r="269" spans="1:32" x14ac:dyDescent="0.25">
      <c r="A269">
        <v>144</v>
      </c>
      <c r="B269">
        <v>22</v>
      </c>
      <c r="C269" t="s">
        <v>43</v>
      </c>
      <c r="D269" t="s">
        <v>33</v>
      </c>
      <c r="E269" t="s">
        <v>34</v>
      </c>
      <c r="F269" t="s">
        <v>49</v>
      </c>
      <c r="G269" t="s">
        <v>38</v>
      </c>
      <c r="H269" t="s">
        <v>47</v>
      </c>
      <c r="I269" t="s">
        <v>50</v>
      </c>
      <c r="J269" t="s">
        <v>51</v>
      </c>
      <c r="K269">
        <v>4</v>
      </c>
      <c r="L269">
        <v>3</v>
      </c>
      <c r="M269" t="s">
        <v>48</v>
      </c>
      <c r="N269" t="s">
        <v>41</v>
      </c>
      <c r="O269" t="s">
        <v>42</v>
      </c>
      <c r="P269" t="s">
        <v>43</v>
      </c>
      <c r="Q269">
        <v>15</v>
      </c>
      <c r="R269">
        <v>1</v>
      </c>
      <c r="S269">
        <v>1</v>
      </c>
      <c r="T269">
        <v>0</v>
      </c>
      <c r="U269">
        <v>0</v>
      </c>
      <c r="V269">
        <v>15</v>
      </c>
      <c r="W269">
        <v>59</v>
      </c>
      <c r="X269">
        <v>534</v>
      </c>
      <c r="Y269">
        <v>23785</v>
      </c>
      <c r="Z269">
        <v>2871</v>
      </c>
      <c r="AA269">
        <v>5</v>
      </c>
      <c r="AB269">
        <v>37059</v>
      </c>
      <c r="AC269" s="10">
        <v>44557</v>
      </c>
      <c r="AD269" s="10" t="s">
        <v>72</v>
      </c>
      <c r="AE269" t="s">
        <v>72</v>
      </c>
      <c r="AF269" t="s">
        <v>45</v>
      </c>
    </row>
    <row r="270" spans="1:32" x14ac:dyDescent="0.25">
      <c r="A270">
        <v>1056</v>
      </c>
      <c r="B270">
        <v>28</v>
      </c>
      <c r="C270" t="s">
        <v>43</v>
      </c>
      <c r="D270" t="s">
        <v>33</v>
      </c>
      <c r="E270" t="s">
        <v>56</v>
      </c>
      <c r="F270" t="s">
        <v>64</v>
      </c>
      <c r="G270" t="s">
        <v>59</v>
      </c>
      <c r="H270" t="s">
        <v>37</v>
      </c>
      <c r="I270" t="s">
        <v>50</v>
      </c>
      <c r="J270" t="s">
        <v>66</v>
      </c>
      <c r="K270">
        <v>2</v>
      </c>
      <c r="L270">
        <v>4</v>
      </c>
      <c r="M270" t="s">
        <v>48</v>
      </c>
      <c r="N270" t="s">
        <v>61</v>
      </c>
      <c r="O270" t="s">
        <v>42</v>
      </c>
      <c r="P270" t="s">
        <v>43</v>
      </c>
      <c r="Q270">
        <v>22</v>
      </c>
      <c r="R270">
        <v>1</v>
      </c>
      <c r="S270">
        <v>1</v>
      </c>
      <c r="T270">
        <v>0</v>
      </c>
      <c r="U270">
        <v>0</v>
      </c>
      <c r="V270">
        <v>10</v>
      </c>
      <c r="W270">
        <v>74</v>
      </c>
      <c r="X270">
        <v>1144</v>
      </c>
      <c r="Y270">
        <v>23384</v>
      </c>
      <c r="Z270">
        <v>1052</v>
      </c>
      <c r="AA270">
        <v>5</v>
      </c>
      <c r="AB270">
        <v>34848</v>
      </c>
      <c r="AC270" s="10">
        <v>44562</v>
      </c>
      <c r="AD270" s="10" t="s">
        <v>72</v>
      </c>
      <c r="AE270" t="s">
        <v>72</v>
      </c>
      <c r="AF270" t="s">
        <v>45</v>
      </c>
    </row>
    <row r="271" spans="1:32" x14ac:dyDescent="0.25">
      <c r="A271">
        <v>1551</v>
      </c>
      <c r="B271">
        <v>24</v>
      </c>
      <c r="C271" t="s">
        <v>43</v>
      </c>
      <c r="D271" t="s">
        <v>33</v>
      </c>
      <c r="E271" t="s">
        <v>34</v>
      </c>
      <c r="F271" t="s">
        <v>67</v>
      </c>
      <c r="G271" t="s">
        <v>50</v>
      </c>
      <c r="H271" t="s">
        <v>37</v>
      </c>
      <c r="I271" t="s">
        <v>38</v>
      </c>
      <c r="J271" t="s">
        <v>51</v>
      </c>
      <c r="K271">
        <v>1</v>
      </c>
      <c r="L271">
        <v>3</v>
      </c>
      <c r="M271" t="s">
        <v>48</v>
      </c>
      <c r="N271" t="s">
        <v>52</v>
      </c>
      <c r="O271" t="s">
        <v>50</v>
      </c>
      <c r="P271" t="s">
        <v>43</v>
      </c>
      <c r="Q271">
        <v>14</v>
      </c>
      <c r="R271">
        <v>0</v>
      </c>
      <c r="S271">
        <v>2</v>
      </c>
      <c r="T271">
        <v>0</v>
      </c>
      <c r="U271">
        <v>0</v>
      </c>
      <c r="V271">
        <v>21</v>
      </c>
      <c r="W271">
        <v>57</v>
      </c>
      <c r="X271">
        <v>350</v>
      </c>
      <c r="Y271">
        <v>10036</v>
      </c>
      <c r="Z271">
        <v>2296</v>
      </c>
      <c r="AA271">
        <v>3</v>
      </c>
      <c r="AB271">
        <v>36153</v>
      </c>
      <c r="AC271" s="10">
        <v>44565</v>
      </c>
      <c r="AD271" s="10" t="s">
        <v>72</v>
      </c>
      <c r="AE271" t="s">
        <v>72</v>
      </c>
      <c r="AF271" t="s">
        <v>45</v>
      </c>
    </row>
    <row r="272" spans="1:32" x14ac:dyDescent="0.25">
      <c r="A272">
        <v>61</v>
      </c>
      <c r="B272">
        <v>37</v>
      </c>
      <c r="C272" t="s">
        <v>43</v>
      </c>
      <c r="D272" t="s">
        <v>33</v>
      </c>
      <c r="E272" t="s">
        <v>34</v>
      </c>
      <c r="F272" t="s">
        <v>67</v>
      </c>
      <c r="G272" t="s">
        <v>38</v>
      </c>
      <c r="H272" t="s">
        <v>37</v>
      </c>
      <c r="I272" t="s">
        <v>50</v>
      </c>
      <c r="J272" t="s">
        <v>39</v>
      </c>
      <c r="K272">
        <v>2</v>
      </c>
      <c r="L272">
        <v>4</v>
      </c>
      <c r="M272" t="s">
        <v>48</v>
      </c>
      <c r="N272" t="s">
        <v>61</v>
      </c>
      <c r="O272" t="s">
        <v>42</v>
      </c>
      <c r="P272" t="s">
        <v>43</v>
      </c>
      <c r="Q272">
        <v>21</v>
      </c>
      <c r="R272">
        <v>4</v>
      </c>
      <c r="S272">
        <v>8</v>
      </c>
      <c r="T272">
        <v>0</v>
      </c>
      <c r="U272">
        <v>0</v>
      </c>
      <c r="V272">
        <v>19</v>
      </c>
      <c r="W272">
        <v>73</v>
      </c>
      <c r="X272">
        <v>408</v>
      </c>
      <c r="Y272">
        <v>10227</v>
      </c>
      <c r="Z272">
        <v>3022</v>
      </c>
      <c r="AA272">
        <v>1</v>
      </c>
      <c r="AB272">
        <v>31292</v>
      </c>
      <c r="AC272" s="10">
        <v>44567</v>
      </c>
      <c r="AD272" s="10" t="s">
        <v>72</v>
      </c>
      <c r="AE272" t="s">
        <v>72</v>
      </c>
      <c r="AF272" t="s">
        <v>45</v>
      </c>
    </row>
    <row r="273" spans="1:32" x14ac:dyDescent="0.25">
      <c r="A273">
        <v>53</v>
      </c>
      <c r="B273">
        <v>35</v>
      </c>
      <c r="C273" t="s">
        <v>43</v>
      </c>
      <c r="D273" t="s">
        <v>33</v>
      </c>
      <c r="E273" t="s">
        <v>34</v>
      </c>
      <c r="F273" t="s">
        <v>67</v>
      </c>
      <c r="G273" t="s">
        <v>50</v>
      </c>
      <c r="H273" t="s">
        <v>37</v>
      </c>
      <c r="I273" t="s">
        <v>50</v>
      </c>
      <c r="J273" t="s">
        <v>51</v>
      </c>
      <c r="K273">
        <v>4</v>
      </c>
      <c r="L273">
        <v>3</v>
      </c>
      <c r="M273" t="s">
        <v>48</v>
      </c>
      <c r="N273" t="s">
        <v>52</v>
      </c>
      <c r="O273" t="s">
        <v>36</v>
      </c>
      <c r="P273" t="s">
        <v>43</v>
      </c>
      <c r="Q273">
        <v>12</v>
      </c>
      <c r="R273">
        <v>1</v>
      </c>
      <c r="S273">
        <v>1</v>
      </c>
      <c r="T273">
        <v>0</v>
      </c>
      <c r="U273">
        <v>0</v>
      </c>
      <c r="V273">
        <v>4</v>
      </c>
      <c r="W273">
        <v>75</v>
      </c>
      <c r="X273">
        <v>464</v>
      </c>
      <c r="Y273">
        <v>10910</v>
      </c>
      <c r="Z273">
        <v>1951</v>
      </c>
      <c r="AA273">
        <v>3</v>
      </c>
      <c r="AB273">
        <v>32128</v>
      </c>
      <c r="AC273" s="10">
        <v>44570</v>
      </c>
      <c r="AD273" s="10" t="s">
        <v>72</v>
      </c>
      <c r="AE273" t="s">
        <v>72</v>
      </c>
      <c r="AF273" t="s">
        <v>45</v>
      </c>
    </row>
    <row r="274" spans="1:32" x14ac:dyDescent="0.25">
      <c r="A274">
        <v>407</v>
      </c>
      <c r="B274">
        <v>36</v>
      </c>
      <c r="C274" t="s">
        <v>43</v>
      </c>
      <c r="D274" t="s">
        <v>46</v>
      </c>
      <c r="E274" t="s">
        <v>34</v>
      </c>
      <c r="F274" t="s">
        <v>35</v>
      </c>
      <c r="G274" t="s">
        <v>50</v>
      </c>
      <c r="H274" t="s">
        <v>37</v>
      </c>
      <c r="I274" t="s">
        <v>59</v>
      </c>
      <c r="J274" t="s">
        <v>51</v>
      </c>
      <c r="K274">
        <v>4</v>
      </c>
      <c r="L274">
        <v>3</v>
      </c>
      <c r="M274" t="s">
        <v>48</v>
      </c>
      <c r="N274" t="s">
        <v>61</v>
      </c>
      <c r="O274" t="s">
        <v>53</v>
      </c>
      <c r="P274" t="s">
        <v>43</v>
      </c>
      <c r="Q274">
        <v>18</v>
      </c>
      <c r="R274">
        <v>4</v>
      </c>
      <c r="S274">
        <v>4</v>
      </c>
      <c r="T274">
        <v>0</v>
      </c>
      <c r="U274">
        <v>0</v>
      </c>
      <c r="V274">
        <v>18</v>
      </c>
      <c r="W274">
        <v>81</v>
      </c>
      <c r="X274">
        <v>566</v>
      </c>
      <c r="Y274">
        <v>7122</v>
      </c>
      <c r="Z274">
        <v>3688</v>
      </c>
      <c r="AA274">
        <v>2</v>
      </c>
      <c r="AB274">
        <v>31872</v>
      </c>
      <c r="AC274" s="10">
        <v>44577</v>
      </c>
      <c r="AD274" s="10" t="s">
        <v>72</v>
      </c>
      <c r="AE274" t="s">
        <v>72</v>
      </c>
      <c r="AF274" t="s">
        <v>45</v>
      </c>
    </row>
    <row r="275" spans="1:32" x14ac:dyDescent="0.25">
      <c r="A275">
        <v>1506</v>
      </c>
      <c r="B275">
        <v>28</v>
      </c>
      <c r="C275" t="s">
        <v>43</v>
      </c>
      <c r="D275" t="s">
        <v>33</v>
      </c>
      <c r="E275" t="s">
        <v>34</v>
      </c>
      <c r="F275" t="s">
        <v>49</v>
      </c>
      <c r="G275" t="s">
        <v>36</v>
      </c>
      <c r="H275" t="s">
        <v>37</v>
      </c>
      <c r="I275" t="s">
        <v>38</v>
      </c>
      <c r="J275" t="s">
        <v>39</v>
      </c>
      <c r="K275">
        <v>3</v>
      </c>
      <c r="L275">
        <v>3</v>
      </c>
      <c r="M275" t="s">
        <v>40</v>
      </c>
      <c r="N275" t="s">
        <v>52</v>
      </c>
      <c r="O275" t="s">
        <v>36</v>
      </c>
      <c r="P275" t="s">
        <v>43</v>
      </c>
      <c r="Q275">
        <v>14</v>
      </c>
      <c r="R275">
        <v>1</v>
      </c>
      <c r="S275">
        <v>1</v>
      </c>
      <c r="T275">
        <v>0</v>
      </c>
      <c r="U275">
        <v>0</v>
      </c>
      <c r="V275">
        <v>1</v>
      </c>
      <c r="W275">
        <v>72</v>
      </c>
      <c r="X275">
        <v>1423</v>
      </c>
      <c r="Y275">
        <v>12530</v>
      </c>
      <c r="Z275">
        <v>1563</v>
      </c>
      <c r="AA275">
        <v>2</v>
      </c>
      <c r="AB275">
        <v>34769</v>
      </c>
      <c r="AC275" s="10">
        <v>44586</v>
      </c>
      <c r="AD275" s="10" t="s">
        <v>72</v>
      </c>
      <c r="AE275" t="s">
        <v>72</v>
      </c>
      <c r="AF275" t="s">
        <v>55</v>
      </c>
    </row>
    <row r="276" spans="1:32" x14ac:dyDescent="0.25">
      <c r="A276">
        <v>30</v>
      </c>
      <c r="B276">
        <v>21</v>
      </c>
      <c r="C276" t="s">
        <v>43</v>
      </c>
      <c r="D276" t="s">
        <v>33</v>
      </c>
      <c r="E276" t="s">
        <v>34</v>
      </c>
      <c r="F276" t="s">
        <v>67</v>
      </c>
      <c r="G276" t="s">
        <v>50</v>
      </c>
      <c r="H276" t="s">
        <v>37</v>
      </c>
      <c r="I276" t="s">
        <v>50</v>
      </c>
      <c r="J276" t="s">
        <v>39</v>
      </c>
      <c r="K276">
        <v>4</v>
      </c>
      <c r="L276">
        <v>3</v>
      </c>
      <c r="M276" t="s">
        <v>48</v>
      </c>
      <c r="N276" t="s">
        <v>41</v>
      </c>
      <c r="O276" t="s">
        <v>42</v>
      </c>
      <c r="P276" t="s">
        <v>43</v>
      </c>
      <c r="Q276">
        <v>14</v>
      </c>
      <c r="R276">
        <v>1</v>
      </c>
      <c r="S276">
        <v>1</v>
      </c>
      <c r="T276">
        <v>0</v>
      </c>
      <c r="U276">
        <v>0</v>
      </c>
      <c r="V276">
        <v>15</v>
      </c>
      <c r="W276">
        <v>96</v>
      </c>
      <c r="X276">
        <v>391</v>
      </c>
      <c r="Y276">
        <v>19281</v>
      </c>
      <c r="Z276">
        <v>1232</v>
      </c>
      <c r="AA276">
        <v>6</v>
      </c>
      <c r="AB276">
        <v>37338</v>
      </c>
      <c r="AC276" s="10">
        <v>44594</v>
      </c>
      <c r="AD276" s="10" t="s">
        <v>72</v>
      </c>
      <c r="AE276" t="s">
        <v>72</v>
      </c>
      <c r="AF276" t="s">
        <v>45</v>
      </c>
    </row>
    <row r="277" spans="1:32" x14ac:dyDescent="0.25">
      <c r="A277">
        <v>1875</v>
      </c>
      <c r="B277">
        <v>28</v>
      </c>
      <c r="C277" t="s">
        <v>43</v>
      </c>
      <c r="D277" t="s">
        <v>33</v>
      </c>
      <c r="E277" t="s">
        <v>56</v>
      </c>
      <c r="F277" t="s">
        <v>49</v>
      </c>
      <c r="G277" t="s">
        <v>38</v>
      </c>
      <c r="H277" t="s">
        <v>47</v>
      </c>
      <c r="I277" t="s">
        <v>50</v>
      </c>
      <c r="J277" t="s">
        <v>66</v>
      </c>
      <c r="K277">
        <v>2</v>
      </c>
      <c r="L277">
        <v>3</v>
      </c>
      <c r="M277" t="s">
        <v>48</v>
      </c>
      <c r="N277" t="s">
        <v>61</v>
      </c>
      <c r="O277" t="s">
        <v>36</v>
      </c>
      <c r="P277" t="s">
        <v>43</v>
      </c>
      <c r="Q277">
        <v>19</v>
      </c>
      <c r="R277">
        <v>1</v>
      </c>
      <c r="S277">
        <v>1</v>
      </c>
      <c r="T277">
        <v>0</v>
      </c>
      <c r="U277">
        <v>0</v>
      </c>
      <c r="V277">
        <v>3</v>
      </c>
      <c r="W277">
        <v>78</v>
      </c>
      <c r="X277">
        <v>1172</v>
      </c>
      <c r="Y277">
        <v>3692</v>
      </c>
      <c r="Z277">
        <v>2856</v>
      </c>
      <c r="AA277">
        <v>3</v>
      </c>
      <c r="AB277">
        <v>34549</v>
      </c>
      <c r="AC277" s="10">
        <v>44602</v>
      </c>
      <c r="AD277" s="10" t="s">
        <v>72</v>
      </c>
      <c r="AE277" t="s">
        <v>72</v>
      </c>
      <c r="AF277" t="s">
        <v>45</v>
      </c>
    </row>
    <row r="278" spans="1:32" x14ac:dyDescent="0.25">
      <c r="A278">
        <v>1270</v>
      </c>
      <c r="B278">
        <v>23</v>
      </c>
      <c r="C278" t="s">
        <v>43</v>
      </c>
      <c r="D278" t="s">
        <v>33</v>
      </c>
      <c r="E278" t="s">
        <v>34</v>
      </c>
      <c r="F278" t="s">
        <v>67</v>
      </c>
      <c r="G278" t="s">
        <v>59</v>
      </c>
      <c r="H278" t="s">
        <v>37</v>
      </c>
      <c r="I278" t="s">
        <v>50</v>
      </c>
      <c r="J278" t="s">
        <v>39</v>
      </c>
      <c r="K278">
        <v>3</v>
      </c>
      <c r="L278">
        <v>4</v>
      </c>
      <c r="M278" t="s">
        <v>48</v>
      </c>
      <c r="N278" t="s">
        <v>61</v>
      </c>
      <c r="O278" t="s">
        <v>36</v>
      </c>
      <c r="P278" t="s">
        <v>43</v>
      </c>
      <c r="Q278">
        <v>22</v>
      </c>
      <c r="R278">
        <v>1</v>
      </c>
      <c r="S278">
        <v>1</v>
      </c>
      <c r="T278">
        <v>0</v>
      </c>
      <c r="U278">
        <v>0</v>
      </c>
      <c r="V278">
        <v>1</v>
      </c>
      <c r="W278">
        <v>47</v>
      </c>
      <c r="X278">
        <v>373</v>
      </c>
      <c r="Y278">
        <v>16901</v>
      </c>
      <c r="Z278">
        <v>1223</v>
      </c>
      <c r="AA278">
        <v>2</v>
      </c>
      <c r="AB278">
        <v>36583</v>
      </c>
      <c r="AC278" s="10">
        <v>44603</v>
      </c>
      <c r="AD278" s="10" t="s">
        <v>72</v>
      </c>
      <c r="AE278" t="s">
        <v>72</v>
      </c>
      <c r="AF278" t="s">
        <v>45</v>
      </c>
    </row>
    <row r="279" spans="1:32" x14ac:dyDescent="0.25">
      <c r="A279">
        <v>97</v>
      </c>
      <c r="B279">
        <v>36</v>
      </c>
      <c r="C279" t="s">
        <v>43</v>
      </c>
      <c r="D279" t="s">
        <v>33</v>
      </c>
      <c r="E279" t="s">
        <v>34</v>
      </c>
      <c r="F279" t="s">
        <v>49</v>
      </c>
      <c r="G279" t="s">
        <v>38</v>
      </c>
      <c r="H279" t="s">
        <v>47</v>
      </c>
      <c r="I279" t="s">
        <v>59</v>
      </c>
      <c r="J279" t="s">
        <v>51</v>
      </c>
      <c r="K279">
        <v>4</v>
      </c>
      <c r="L279">
        <v>3</v>
      </c>
      <c r="M279" t="s">
        <v>48</v>
      </c>
      <c r="N279" t="s">
        <v>61</v>
      </c>
      <c r="O279" t="s">
        <v>42</v>
      </c>
      <c r="P279" t="s">
        <v>43</v>
      </c>
      <c r="Q279">
        <v>12</v>
      </c>
      <c r="R279">
        <v>3</v>
      </c>
      <c r="S279">
        <v>5</v>
      </c>
      <c r="T279">
        <v>0</v>
      </c>
      <c r="U279">
        <v>0</v>
      </c>
      <c r="V279">
        <v>6</v>
      </c>
      <c r="W279">
        <v>55</v>
      </c>
      <c r="X279">
        <v>132</v>
      </c>
      <c r="Y279">
        <v>22002</v>
      </c>
      <c r="Z279">
        <v>3038</v>
      </c>
      <c r="AA279">
        <v>3</v>
      </c>
      <c r="AB279">
        <v>31684</v>
      </c>
      <c r="AC279" s="10">
        <v>44604</v>
      </c>
      <c r="AD279" s="10" t="s">
        <v>72</v>
      </c>
      <c r="AE279" t="s">
        <v>72</v>
      </c>
      <c r="AF279" t="s">
        <v>45</v>
      </c>
    </row>
    <row r="280" spans="1:32" x14ac:dyDescent="0.25">
      <c r="A280">
        <v>63</v>
      </c>
      <c r="B280">
        <v>35</v>
      </c>
      <c r="C280" t="s">
        <v>43</v>
      </c>
      <c r="D280" t="s">
        <v>33</v>
      </c>
      <c r="E280" t="s">
        <v>34</v>
      </c>
      <c r="F280" t="s">
        <v>64</v>
      </c>
      <c r="G280" t="s">
        <v>59</v>
      </c>
      <c r="H280" t="s">
        <v>37</v>
      </c>
      <c r="I280" t="s">
        <v>59</v>
      </c>
      <c r="J280" t="s">
        <v>51</v>
      </c>
      <c r="K280">
        <v>4</v>
      </c>
      <c r="L280">
        <v>3</v>
      </c>
      <c r="M280" t="s">
        <v>48</v>
      </c>
      <c r="N280" t="s">
        <v>61</v>
      </c>
      <c r="O280" t="s">
        <v>42</v>
      </c>
      <c r="P280" t="s">
        <v>43</v>
      </c>
      <c r="Q280">
        <v>19</v>
      </c>
      <c r="R280">
        <v>1</v>
      </c>
      <c r="S280">
        <v>1</v>
      </c>
      <c r="T280">
        <v>0</v>
      </c>
      <c r="U280">
        <v>0</v>
      </c>
      <c r="V280">
        <v>8</v>
      </c>
      <c r="W280">
        <v>36</v>
      </c>
      <c r="X280">
        <v>1229</v>
      </c>
      <c r="Y280">
        <v>4892</v>
      </c>
      <c r="Z280">
        <v>2269</v>
      </c>
      <c r="AA280">
        <v>2</v>
      </c>
      <c r="AB280">
        <v>32249</v>
      </c>
      <c r="AC280" s="10">
        <v>44616</v>
      </c>
      <c r="AD280" s="10" t="s">
        <v>72</v>
      </c>
      <c r="AE280" t="s">
        <v>72</v>
      </c>
      <c r="AF280" t="s">
        <v>45</v>
      </c>
    </row>
    <row r="281" spans="1:32" x14ac:dyDescent="0.25">
      <c r="A281">
        <v>945</v>
      </c>
      <c r="B281">
        <v>48</v>
      </c>
      <c r="C281" t="s">
        <v>43</v>
      </c>
      <c r="D281" t="s">
        <v>33</v>
      </c>
      <c r="E281" t="s">
        <v>34</v>
      </c>
      <c r="F281" t="s">
        <v>35</v>
      </c>
      <c r="G281" t="s">
        <v>59</v>
      </c>
      <c r="H281" t="s">
        <v>37</v>
      </c>
      <c r="I281" t="s">
        <v>50</v>
      </c>
      <c r="J281" t="s">
        <v>39</v>
      </c>
      <c r="K281">
        <v>3</v>
      </c>
      <c r="L281">
        <v>2</v>
      </c>
      <c r="M281" t="s">
        <v>60</v>
      </c>
      <c r="N281" t="s">
        <v>61</v>
      </c>
      <c r="O281" t="s">
        <v>53</v>
      </c>
      <c r="P281" t="s">
        <v>43</v>
      </c>
      <c r="Q281">
        <v>17</v>
      </c>
      <c r="R281">
        <v>4</v>
      </c>
      <c r="S281">
        <v>13</v>
      </c>
      <c r="T281">
        <v>0</v>
      </c>
      <c r="U281">
        <v>0</v>
      </c>
      <c r="V281">
        <v>20</v>
      </c>
      <c r="W281">
        <v>51</v>
      </c>
      <c r="X281">
        <v>1469</v>
      </c>
      <c r="Y281">
        <v>5543</v>
      </c>
      <c r="Z281">
        <v>2259</v>
      </c>
      <c r="AA281">
        <v>2</v>
      </c>
      <c r="AB281">
        <v>27552</v>
      </c>
      <c r="AC281" s="10">
        <v>44619</v>
      </c>
      <c r="AD281" s="10" t="s">
        <v>72</v>
      </c>
      <c r="AE281" t="s">
        <v>72</v>
      </c>
      <c r="AF281" t="s">
        <v>45</v>
      </c>
    </row>
    <row r="282" spans="1:32" x14ac:dyDescent="0.25">
      <c r="A282">
        <v>1206</v>
      </c>
      <c r="B282">
        <v>44</v>
      </c>
      <c r="C282" t="s">
        <v>43</v>
      </c>
      <c r="D282" t="s">
        <v>63</v>
      </c>
      <c r="E282" t="s">
        <v>34</v>
      </c>
      <c r="F282" t="s">
        <v>49</v>
      </c>
      <c r="G282" t="s">
        <v>59</v>
      </c>
      <c r="H282" t="s">
        <v>37</v>
      </c>
      <c r="I282" t="s">
        <v>36</v>
      </c>
      <c r="J282" t="s">
        <v>39</v>
      </c>
      <c r="K282">
        <v>3</v>
      </c>
      <c r="L282">
        <v>3</v>
      </c>
      <c r="M282" t="s">
        <v>48</v>
      </c>
      <c r="N282" t="s">
        <v>41</v>
      </c>
      <c r="O282" t="s">
        <v>42</v>
      </c>
      <c r="P282" t="s">
        <v>43</v>
      </c>
      <c r="Q282">
        <v>13</v>
      </c>
      <c r="R282">
        <v>2</v>
      </c>
      <c r="S282">
        <v>6</v>
      </c>
      <c r="T282">
        <v>0</v>
      </c>
      <c r="U282">
        <v>0</v>
      </c>
      <c r="V282">
        <v>17</v>
      </c>
      <c r="W282">
        <v>74</v>
      </c>
      <c r="X282">
        <v>111</v>
      </c>
      <c r="Y282">
        <v>4279</v>
      </c>
      <c r="Z282">
        <v>2290</v>
      </c>
      <c r="AA282">
        <v>3</v>
      </c>
      <c r="AB282">
        <v>29003</v>
      </c>
      <c r="AC282" s="10">
        <v>44622</v>
      </c>
      <c r="AD282" s="10" t="s">
        <v>72</v>
      </c>
      <c r="AE282" t="s">
        <v>72</v>
      </c>
      <c r="AF282" t="s">
        <v>45</v>
      </c>
    </row>
    <row r="283" spans="1:32" x14ac:dyDescent="0.25">
      <c r="A283">
        <v>1258</v>
      </c>
      <c r="B283">
        <v>48</v>
      </c>
      <c r="C283" t="s">
        <v>43</v>
      </c>
      <c r="D283" t="s">
        <v>33</v>
      </c>
      <c r="E283" t="s">
        <v>34</v>
      </c>
      <c r="F283" t="s">
        <v>67</v>
      </c>
      <c r="G283" t="s">
        <v>59</v>
      </c>
      <c r="H283" t="s">
        <v>37</v>
      </c>
      <c r="I283" t="s">
        <v>59</v>
      </c>
      <c r="J283" t="s">
        <v>51</v>
      </c>
      <c r="K283">
        <v>2</v>
      </c>
      <c r="L283">
        <v>1</v>
      </c>
      <c r="M283" t="s">
        <v>60</v>
      </c>
      <c r="N283" t="s">
        <v>41</v>
      </c>
      <c r="O283" t="s">
        <v>42</v>
      </c>
      <c r="P283" t="s">
        <v>43</v>
      </c>
      <c r="Q283">
        <v>11</v>
      </c>
      <c r="R283">
        <v>5</v>
      </c>
      <c r="S283">
        <v>7</v>
      </c>
      <c r="T283">
        <v>0</v>
      </c>
      <c r="U283">
        <v>0</v>
      </c>
      <c r="V283">
        <v>2</v>
      </c>
      <c r="W283">
        <v>76</v>
      </c>
      <c r="X283">
        <v>969</v>
      </c>
      <c r="Y283">
        <v>16620</v>
      </c>
      <c r="Z283">
        <v>2559</v>
      </c>
      <c r="AA283">
        <v>4</v>
      </c>
      <c r="AB283">
        <v>27525</v>
      </c>
      <c r="AC283" s="10">
        <v>44623</v>
      </c>
      <c r="AD283" s="10" t="s">
        <v>72</v>
      </c>
      <c r="AE283" t="s">
        <v>72</v>
      </c>
      <c r="AF283" t="s">
        <v>55</v>
      </c>
    </row>
    <row r="284" spans="1:32" x14ac:dyDescent="0.25">
      <c r="A284">
        <v>201</v>
      </c>
      <c r="B284">
        <v>19</v>
      </c>
      <c r="C284" t="s">
        <v>43</v>
      </c>
      <c r="D284" t="s">
        <v>33</v>
      </c>
      <c r="E284" t="s">
        <v>34</v>
      </c>
      <c r="F284" t="s">
        <v>64</v>
      </c>
      <c r="G284" t="s">
        <v>38</v>
      </c>
      <c r="H284" t="s">
        <v>47</v>
      </c>
      <c r="I284" t="s">
        <v>50</v>
      </c>
      <c r="J284" t="s">
        <v>51</v>
      </c>
      <c r="K284">
        <v>2</v>
      </c>
      <c r="L284">
        <v>3</v>
      </c>
      <c r="M284" t="s">
        <v>48</v>
      </c>
      <c r="N284" t="s">
        <v>41</v>
      </c>
      <c r="O284" t="s">
        <v>42</v>
      </c>
      <c r="P284" t="s">
        <v>43</v>
      </c>
      <c r="Q284">
        <v>14</v>
      </c>
      <c r="R284">
        <v>1</v>
      </c>
      <c r="S284">
        <v>1</v>
      </c>
      <c r="T284">
        <v>0</v>
      </c>
      <c r="U284">
        <v>0</v>
      </c>
      <c r="V284">
        <v>3</v>
      </c>
      <c r="W284">
        <v>79</v>
      </c>
      <c r="X284">
        <v>1181</v>
      </c>
      <c r="Y284">
        <v>16102</v>
      </c>
      <c r="Z284">
        <v>1483</v>
      </c>
      <c r="AA284">
        <v>3</v>
      </c>
      <c r="AB284">
        <v>38070</v>
      </c>
      <c r="AC284" s="10">
        <v>44624</v>
      </c>
      <c r="AD284" s="10" t="s">
        <v>72</v>
      </c>
      <c r="AE284" t="s">
        <v>72</v>
      </c>
      <c r="AF284" t="s">
        <v>45</v>
      </c>
    </row>
    <row r="285" spans="1:32" x14ac:dyDescent="0.25">
      <c r="A285">
        <v>508</v>
      </c>
      <c r="B285">
        <v>30</v>
      </c>
      <c r="C285" t="s">
        <v>43</v>
      </c>
      <c r="D285" t="s">
        <v>33</v>
      </c>
      <c r="E285" t="s">
        <v>56</v>
      </c>
      <c r="F285" t="s">
        <v>64</v>
      </c>
      <c r="G285" t="s">
        <v>50</v>
      </c>
      <c r="H285" t="s">
        <v>37</v>
      </c>
      <c r="I285" t="s">
        <v>50</v>
      </c>
      <c r="J285" t="s">
        <v>66</v>
      </c>
      <c r="K285">
        <v>2</v>
      </c>
      <c r="L285">
        <v>3</v>
      </c>
      <c r="M285" t="s">
        <v>48</v>
      </c>
      <c r="N285" t="s">
        <v>61</v>
      </c>
      <c r="O285" t="s">
        <v>36</v>
      </c>
      <c r="P285" t="s">
        <v>43</v>
      </c>
      <c r="Q285">
        <v>18</v>
      </c>
      <c r="R285">
        <v>1</v>
      </c>
      <c r="S285">
        <v>1</v>
      </c>
      <c r="T285">
        <v>0</v>
      </c>
      <c r="U285">
        <v>0</v>
      </c>
      <c r="V285">
        <v>2</v>
      </c>
      <c r="W285">
        <v>72</v>
      </c>
      <c r="X285">
        <v>202</v>
      </c>
      <c r="Y285">
        <v>17434</v>
      </c>
      <c r="Z285">
        <v>2476</v>
      </c>
      <c r="AA285">
        <v>3</v>
      </c>
      <c r="AB285">
        <v>34128</v>
      </c>
      <c r="AC285" s="10">
        <v>44626</v>
      </c>
      <c r="AD285" s="10" t="s">
        <v>72</v>
      </c>
      <c r="AE285" t="s">
        <v>72</v>
      </c>
      <c r="AF285" t="s">
        <v>45</v>
      </c>
    </row>
    <row r="286" spans="1:32" x14ac:dyDescent="0.25">
      <c r="A286">
        <v>1558</v>
      </c>
      <c r="B286">
        <v>29</v>
      </c>
      <c r="C286" t="s">
        <v>43</v>
      </c>
      <c r="D286" t="s">
        <v>33</v>
      </c>
      <c r="E286" t="s">
        <v>34</v>
      </c>
      <c r="F286" t="s">
        <v>49</v>
      </c>
      <c r="G286" t="s">
        <v>50</v>
      </c>
      <c r="H286" t="s">
        <v>37</v>
      </c>
      <c r="I286" t="s">
        <v>59</v>
      </c>
      <c r="J286" t="s">
        <v>39</v>
      </c>
      <c r="K286">
        <v>3</v>
      </c>
      <c r="L286">
        <v>2</v>
      </c>
      <c r="M286" t="s">
        <v>60</v>
      </c>
      <c r="N286" t="s">
        <v>61</v>
      </c>
      <c r="O286" t="s">
        <v>53</v>
      </c>
      <c r="P286" t="s">
        <v>43</v>
      </c>
      <c r="Q286">
        <v>18</v>
      </c>
      <c r="R286">
        <v>6</v>
      </c>
      <c r="S286">
        <v>5</v>
      </c>
      <c r="T286">
        <v>0</v>
      </c>
      <c r="U286">
        <v>0</v>
      </c>
      <c r="V286">
        <v>9</v>
      </c>
      <c r="W286">
        <v>91</v>
      </c>
      <c r="X286">
        <v>598</v>
      </c>
      <c r="Y286">
        <v>22376</v>
      </c>
      <c r="Z286">
        <v>2451</v>
      </c>
      <c r="AA286">
        <v>2</v>
      </c>
      <c r="AB286">
        <v>34412</v>
      </c>
      <c r="AC286" s="10">
        <v>44627</v>
      </c>
      <c r="AD286" s="10" t="s">
        <v>72</v>
      </c>
      <c r="AE286" t="s">
        <v>72</v>
      </c>
      <c r="AF286" t="s">
        <v>45</v>
      </c>
    </row>
    <row r="287" spans="1:32" x14ac:dyDescent="0.25">
      <c r="A287">
        <v>54</v>
      </c>
      <c r="B287">
        <v>27</v>
      </c>
      <c r="C287" t="s">
        <v>43</v>
      </c>
      <c r="D287" t="s">
        <v>33</v>
      </c>
      <c r="E287" t="s">
        <v>34</v>
      </c>
      <c r="F287" t="s">
        <v>35</v>
      </c>
      <c r="G287" t="s">
        <v>59</v>
      </c>
      <c r="H287" t="s">
        <v>47</v>
      </c>
      <c r="I287" t="s">
        <v>50</v>
      </c>
      <c r="J287" t="s">
        <v>51</v>
      </c>
      <c r="K287">
        <v>1</v>
      </c>
      <c r="L287">
        <v>3</v>
      </c>
      <c r="M287" t="s">
        <v>48</v>
      </c>
      <c r="N287" t="s">
        <v>52</v>
      </c>
      <c r="O287" t="s">
        <v>36</v>
      </c>
      <c r="P287" t="s">
        <v>43</v>
      </c>
      <c r="Q287">
        <v>13</v>
      </c>
      <c r="R287">
        <v>1</v>
      </c>
      <c r="S287">
        <v>1</v>
      </c>
      <c r="T287">
        <v>0</v>
      </c>
      <c r="U287">
        <v>0</v>
      </c>
      <c r="V287">
        <v>2</v>
      </c>
      <c r="W287">
        <v>33</v>
      </c>
      <c r="X287">
        <v>1240</v>
      </c>
      <c r="Y287">
        <v>19715</v>
      </c>
      <c r="Z287">
        <v>2341</v>
      </c>
      <c r="AA287">
        <v>6</v>
      </c>
      <c r="AB287">
        <v>34949</v>
      </c>
      <c r="AC287" s="10">
        <v>44653</v>
      </c>
      <c r="AD287" s="10" t="s">
        <v>72</v>
      </c>
      <c r="AE287" t="s">
        <v>72</v>
      </c>
      <c r="AF287" t="s">
        <v>45</v>
      </c>
    </row>
    <row r="288" spans="1:32" x14ac:dyDescent="0.25">
      <c r="A288">
        <v>95</v>
      </c>
      <c r="B288">
        <v>31</v>
      </c>
      <c r="C288" t="s">
        <v>43</v>
      </c>
      <c r="D288" t="s">
        <v>33</v>
      </c>
      <c r="E288" t="s">
        <v>34</v>
      </c>
      <c r="F288" t="s">
        <v>35</v>
      </c>
      <c r="G288" t="s">
        <v>50</v>
      </c>
      <c r="H288" t="s">
        <v>37</v>
      </c>
      <c r="I288" t="s">
        <v>50</v>
      </c>
      <c r="J288" t="s">
        <v>39</v>
      </c>
      <c r="K288">
        <v>2</v>
      </c>
      <c r="L288">
        <v>1</v>
      </c>
      <c r="M288" t="s">
        <v>48</v>
      </c>
      <c r="N288" t="s">
        <v>41</v>
      </c>
      <c r="O288" t="s">
        <v>42</v>
      </c>
      <c r="P288" t="s">
        <v>43</v>
      </c>
      <c r="Q288">
        <v>17</v>
      </c>
      <c r="R288">
        <v>1</v>
      </c>
      <c r="S288">
        <v>1</v>
      </c>
      <c r="T288">
        <v>0</v>
      </c>
      <c r="U288">
        <v>0</v>
      </c>
      <c r="V288">
        <v>1</v>
      </c>
      <c r="W288">
        <v>87</v>
      </c>
      <c r="X288">
        <v>1082</v>
      </c>
      <c r="Y288">
        <v>18775</v>
      </c>
      <c r="Z288">
        <v>2501</v>
      </c>
      <c r="AA288">
        <v>4</v>
      </c>
      <c r="AB288">
        <v>33601</v>
      </c>
      <c r="AC288" s="10">
        <v>44653</v>
      </c>
      <c r="AD288" s="10" t="s">
        <v>72</v>
      </c>
      <c r="AE288" t="s">
        <v>72</v>
      </c>
      <c r="AF288" t="s">
        <v>45</v>
      </c>
    </row>
    <row r="289" spans="1:32" x14ac:dyDescent="0.25">
      <c r="A289">
        <v>1492</v>
      </c>
      <c r="B289">
        <v>35</v>
      </c>
      <c r="C289" t="s">
        <v>43</v>
      </c>
      <c r="D289" t="s">
        <v>33</v>
      </c>
      <c r="E289" t="s">
        <v>56</v>
      </c>
      <c r="F289" t="s">
        <v>64</v>
      </c>
      <c r="G289" t="s">
        <v>59</v>
      </c>
      <c r="H289" t="s">
        <v>37</v>
      </c>
      <c r="I289" t="s">
        <v>50</v>
      </c>
      <c r="J289" t="s">
        <v>66</v>
      </c>
      <c r="K289">
        <v>3</v>
      </c>
      <c r="L289">
        <v>3</v>
      </c>
      <c r="M289" t="s">
        <v>48</v>
      </c>
      <c r="N289" t="s">
        <v>61</v>
      </c>
      <c r="O289" t="s">
        <v>36</v>
      </c>
      <c r="P289" t="s">
        <v>43</v>
      </c>
      <c r="Q289">
        <v>13</v>
      </c>
      <c r="R289">
        <v>1</v>
      </c>
      <c r="S289">
        <v>1</v>
      </c>
      <c r="T289">
        <v>0</v>
      </c>
      <c r="U289">
        <v>0</v>
      </c>
      <c r="V289">
        <v>7</v>
      </c>
      <c r="W289">
        <v>76</v>
      </c>
      <c r="X289">
        <v>660</v>
      </c>
      <c r="Y289">
        <v>16192</v>
      </c>
      <c r="Z289">
        <v>2404</v>
      </c>
      <c r="AA289">
        <v>3</v>
      </c>
      <c r="AB289">
        <v>32135</v>
      </c>
      <c r="AC289" s="10">
        <v>44661</v>
      </c>
      <c r="AD289" s="10" t="s">
        <v>72</v>
      </c>
      <c r="AE289" t="s">
        <v>72</v>
      </c>
      <c r="AF289" t="s">
        <v>45</v>
      </c>
    </row>
    <row r="290" spans="1:32" x14ac:dyDescent="0.25">
      <c r="A290">
        <v>1961</v>
      </c>
      <c r="B290">
        <v>38</v>
      </c>
      <c r="C290" t="s">
        <v>43</v>
      </c>
      <c r="D290" t="s">
        <v>33</v>
      </c>
      <c r="E290" t="s">
        <v>56</v>
      </c>
      <c r="F290" t="s">
        <v>49</v>
      </c>
      <c r="G290" t="s">
        <v>36</v>
      </c>
      <c r="H290" t="s">
        <v>37</v>
      </c>
      <c r="I290" t="s">
        <v>38</v>
      </c>
      <c r="J290" t="s">
        <v>66</v>
      </c>
      <c r="K290">
        <v>1</v>
      </c>
      <c r="L290">
        <v>3</v>
      </c>
      <c r="M290" t="s">
        <v>60</v>
      </c>
      <c r="N290" t="s">
        <v>41</v>
      </c>
      <c r="O290" t="s">
        <v>42</v>
      </c>
      <c r="P290" t="s">
        <v>43</v>
      </c>
      <c r="Q290">
        <v>14</v>
      </c>
      <c r="R290">
        <v>4</v>
      </c>
      <c r="S290">
        <v>20</v>
      </c>
      <c r="T290">
        <v>0</v>
      </c>
      <c r="U290">
        <v>0</v>
      </c>
      <c r="V290">
        <v>1</v>
      </c>
      <c r="W290">
        <v>59</v>
      </c>
      <c r="X290">
        <v>1404</v>
      </c>
      <c r="Y290">
        <v>11473</v>
      </c>
      <c r="Z290">
        <v>2858</v>
      </c>
      <c r="AA290">
        <v>3</v>
      </c>
      <c r="AB290">
        <v>31004</v>
      </c>
      <c r="AC290" s="10">
        <v>44662</v>
      </c>
      <c r="AD290" s="10" t="s">
        <v>72</v>
      </c>
      <c r="AE290" t="s">
        <v>72</v>
      </c>
      <c r="AF290" t="s">
        <v>45</v>
      </c>
    </row>
    <row r="291" spans="1:32" x14ac:dyDescent="0.25">
      <c r="A291">
        <v>155</v>
      </c>
      <c r="B291">
        <v>36</v>
      </c>
      <c r="C291" t="s">
        <v>43</v>
      </c>
      <c r="D291" t="s">
        <v>33</v>
      </c>
      <c r="E291" t="s">
        <v>34</v>
      </c>
      <c r="F291" t="s">
        <v>67</v>
      </c>
      <c r="G291" t="s">
        <v>36</v>
      </c>
      <c r="H291" t="s">
        <v>47</v>
      </c>
      <c r="I291" t="s">
        <v>50</v>
      </c>
      <c r="J291" t="s">
        <v>51</v>
      </c>
      <c r="K291">
        <v>4</v>
      </c>
      <c r="L291">
        <v>4</v>
      </c>
      <c r="M291" t="s">
        <v>48</v>
      </c>
      <c r="N291" t="s">
        <v>52</v>
      </c>
      <c r="O291" t="s">
        <v>36</v>
      </c>
      <c r="P291" t="s">
        <v>43</v>
      </c>
      <c r="Q291">
        <v>22</v>
      </c>
      <c r="R291">
        <v>5</v>
      </c>
      <c r="S291">
        <v>7</v>
      </c>
      <c r="T291">
        <v>0</v>
      </c>
      <c r="U291">
        <v>0</v>
      </c>
      <c r="V291">
        <v>3</v>
      </c>
      <c r="W291">
        <v>39</v>
      </c>
      <c r="X291">
        <v>922</v>
      </c>
      <c r="Y291">
        <v>2561</v>
      </c>
      <c r="Z291">
        <v>2835</v>
      </c>
      <c r="AA291">
        <v>2</v>
      </c>
      <c r="AB291">
        <v>31798</v>
      </c>
      <c r="AC291" s="10">
        <v>44672</v>
      </c>
      <c r="AD291" s="10" t="s">
        <v>72</v>
      </c>
      <c r="AE291" t="s">
        <v>72</v>
      </c>
      <c r="AF291" t="s">
        <v>45</v>
      </c>
    </row>
    <row r="292" spans="1:32" x14ac:dyDescent="0.25">
      <c r="A292">
        <v>662</v>
      </c>
      <c r="B292">
        <v>38</v>
      </c>
      <c r="C292" t="s">
        <v>43</v>
      </c>
      <c r="D292" t="s">
        <v>33</v>
      </c>
      <c r="E292" t="s">
        <v>34</v>
      </c>
      <c r="F292" t="s">
        <v>64</v>
      </c>
      <c r="G292" t="s">
        <v>50</v>
      </c>
      <c r="H292" t="s">
        <v>47</v>
      </c>
      <c r="I292" t="s">
        <v>50</v>
      </c>
      <c r="J292" t="s">
        <v>39</v>
      </c>
      <c r="K292">
        <v>1</v>
      </c>
      <c r="L292">
        <v>3</v>
      </c>
      <c r="M292" t="s">
        <v>60</v>
      </c>
      <c r="N292" t="s">
        <v>41</v>
      </c>
      <c r="O292" t="s">
        <v>42</v>
      </c>
      <c r="P292" t="s">
        <v>43</v>
      </c>
      <c r="Q292">
        <v>17</v>
      </c>
      <c r="R292">
        <v>3</v>
      </c>
      <c r="S292">
        <v>8</v>
      </c>
      <c r="T292">
        <v>0</v>
      </c>
      <c r="U292">
        <v>0</v>
      </c>
      <c r="V292">
        <v>1</v>
      </c>
      <c r="W292">
        <v>43</v>
      </c>
      <c r="X292">
        <v>362</v>
      </c>
      <c r="Y292">
        <v>14561</v>
      </c>
      <c r="Z292">
        <v>2619</v>
      </c>
      <c r="AA292">
        <v>3</v>
      </c>
      <c r="AB292">
        <v>31142</v>
      </c>
      <c r="AC292" s="10">
        <v>44673</v>
      </c>
      <c r="AD292" s="10" t="s">
        <v>72</v>
      </c>
      <c r="AE292" t="s">
        <v>72</v>
      </c>
      <c r="AF292" t="s">
        <v>45</v>
      </c>
    </row>
    <row r="293" spans="1:32" x14ac:dyDescent="0.25">
      <c r="A293">
        <v>1115</v>
      </c>
      <c r="B293">
        <v>34</v>
      </c>
      <c r="C293" t="s">
        <v>43</v>
      </c>
      <c r="D293" t="s">
        <v>63</v>
      </c>
      <c r="E293" t="s">
        <v>34</v>
      </c>
      <c r="F293" t="s">
        <v>35</v>
      </c>
      <c r="G293" t="s">
        <v>50</v>
      </c>
      <c r="H293" t="s">
        <v>37</v>
      </c>
      <c r="I293" t="s">
        <v>38</v>
      </c>
      <c r="J293" t="s">
        <v>39</v>
      </c>
      <c r="K293">
        <v>4</v>
      </c>
      <c r="L293">
        <v>3</v>
      </c>
      <c r="M293" t="s">
        <v>48</v>
      </c>
      <c r="N293" t="s">
        <v>61</v>
      </c>
      <c r="O293" t="s">
        <v>50</v>
      </c>
      <c r="P293" t="s">
        <v>43</v>
      </c>
      <c r="Q293">
        <v>17</v>
      </c>
      <c r="R293">
        <v>3</v>
      </c>
      <c r="S293">
        <v>6</v>
      </c>
      <c r="T293">
        <v>0</v>
      </c>
      <c r="U293">
        <v>0</v>
      </c>
      <c r="V293">
        <v>3</v>
      </c>
      <c r="W293">
        <v>40</v>
      </c>
      <c r="X293">
        <v>697</v>
      </c>
      <c r="Y293">
        <v>22478</v>
      </c>
      <c r="Z293">
        <v>2979</v>
      </c>
      <c r="AA293">
        <v>2</v>
      </c>
      <c r="AB293">
        <v>32634</v>
      </c>
      <c r="AC293" s="10">
        <v>44678</v>
      </c>
      <c r="AD293" s="10" t="s">
        <v>72</v>
      </c>
      <c r="AE293" t="s">
        <v>72</v>
      </c>
      <c r="AF293" t="s">
        <v>45</v>
      </c>
    </row>
    <row r="294" spans="1:32" x14ac:dyDescent="0.25">
      <c r="A294">
        <v>1190</v>
      </c>
      <c r="B294">
        <v>32</v>
      </c>
      <c r="C294" t="s">
        <v>43</v>
      </c>
      <c r="D294" t="s">
        <v>63</v>
      </c>
      <c r="E294" t="s">
        <v>56</v>
      </c>
      <c r="F294" t="s">
        <v>64</v>
      </c>
      <c r="G294" t="s">
        <v>50</v>
      </c>
      <c r="H294" t="s">
        <v>47</v>
      </c>
      <c r="I294" t="s">
        <v>50</v>
      </c>
      <c r="J294" t="s">
        <v>66</v>
      </c>
      <c r="K294">
        <v>1</v>
      </c>
      <c r="L294">
        <v>3</v>
      </c>
      <c r="M294" t="s">
        <v>48</v>
      </c>
      <c r="N294" t="s">
        <v>52</v>
      </c>
      <c r="O294" t="s">
        <v>50</v>
      </c>
      <c r="P294" t="s">
        <v>43</v>
      </c>
      <c r="Q294">
        <v>12</v>
      </c>
      <c r="R294">
        <v>1</v>
      </c>
      <c r="S294">
        <v>1</v>
      </c>
      <c r="T294">
        <v>0</v>
      </c>
      <c r="U294">
        <v>0</v>
      </c>
      <c r="V294">
        <v>2</v>
      </c>
      <c r="W294">
        <v>76</v>
      </c>
      <c r="X294">
        <v>862</v>
      </c>
      <c r="Y294">
        <v>14947</v>
      </c>
      <c r="Z294">
        <v>2827</v>
      </c>
      <c r="AA294">
        <v>3</v>
      </c>
      <c r="AB294">
        <v>33345</v>
      </c>
      <c r="AC294" s="10">
        <v>44685</v>
      </c>
      <c r="AD294" s="10" t="s">
        <v>72</v>
      </c>
      <c r="AE294" t="s">
        <v>72</v>
      </c>
      <c r="AF294" t="s">
        <v>45</v>
      </c>
    </row>
    <row r="295" spans="1:32" x14ac:dyDescent="0.25">
      <c r="A295">
        <v>39</v>
      </c>
      <c r="B295">
        <v>33</v>
      </c>
      <c r="C295" t="s">
        <v>43</v>
      </c>
      <c r="D295" t="s">
        <v>33</v>
      </c>
      <c r="E295" t="s">
        <v>34</v>
      </c>
      <c r="F295" t="s">
        <v>49</v>
      </c>
      <c r="G295" t="s">
        <v>50</v>
      </c>
      <c r="H295" t="s">
        <v>37</v>
      </c>
      <c r="I295" t="s">
        <v>50</v>
      </c>
      <c r="J295" t="s">
        <v>51</v>
      </c>
      <c r="K295">
        <v>4</v>
      </c>
      <c r="L295">
        <v>3</v>
      </c>
      <c r="M295" t="s">
        <v>48</v>
      </c>
      <c r="N295" t="s">
        <v>41</v>
      </c>
      <c r="O295" t="s">
        <v>42</v>
      </c>
      <c r="P295" t="s">
        <v>43</v>
      </c>
      <c r="Q295">
        <v>11</v>
      </c>
      <c r="R295">
        <v>4</v>
      </c>
      <c r="S295">
        <v>7</v>
      </c>
      <c r="T295">
        <v>0</v>
      </c>
      <c r="U295">
        <v>0</v>
      </c>
      <c r="V295">
        <v>2</v>
      </c>
      <c r="W295">
        <v>78</v>
      </c>
      <c r="X295">
        <v>924</v>
      </c>
      <c r="Y295">
        <v>6670</v>
      </c>
      <c r="Z295">
        <v>2496</v>
      </c>
      <c r="AA295">
        <v>3</v>
      </c>
      <c r="AB295">
        <v>32780</v>
      </c>
      <c r="AC295" s="10">
        <v>44686</v>
      </c>
      <c r="AD295" s="10" t="s">
        <v>72</v>
      </c>
      <c r="AE295" t="s">
        <v>72</v>
      </c>
      <c r="AF295" t="s">
        <v>45</v>
      </c>
    </row>
    <row r="296" spans="1:32" x14ac:dyDescent="0.25">
      <c r="A296">
        <v>934</v>
      </c>
      <c r="B296">
        <v>34</v>
      </c>
      <c r="C296" t="s">
        <v>43</v>
      </c>
      <c r="D296" t="s">
        <v>33</v>
      </c>
      <c r="E296" t="s">
        <v>34</v>
      </c>
      <c r="F296" t="s">
        <v>49</v>
      </c>
      <c r="G296" t="s">
        <v>38</v>
      </c>
      <c r="H296" t="s">
        <v>37</v>
      </c>
      <c r="I296" t="s">
        <v>50</v>
      </c>
      <c r="J296" t="s">
        <v>51</v>
      </c>
      <c r="K296">
        <v>2</v>
      </c>
      <c r="L296">
        <v>3</v>
      </c>
      <c r="M296" t="s">
        <v>48</v>
      </c>
      <c r="N296" t="s">
        <v>52</v>
      </c>
      <c r="O296" t="s">
        <v>53</v>
      </c>
      <c r="P296" t="s">
        <v>43</v>
      </c>
      <c r="Q296">
        <v>14</v>
      </c>
      <c r="R296">
        <v>1</v>
      </c>
      <c r="S296">
        <v>1</v>
      </c>
      <c r="T296">
        <v>0</v>
      </c>
      <c r="U296">
        <v>0</v>
      </c>
      <c r="V296">
        <v>10</v>
      </c>
      <c r="W296">
        <v>83</v>
      </c>
      <c r="X296">
        <v>546</v>
      </c>
      <c r="Y296">
        <v>6896</v>
      </c>
      <c r="Z296">
        <v>2008</v>
      </c>
      <c r="AA296">
        <v>3</v>
      </c>
      <c r="AB296">
        <v>32519</v>
      </c>
      <c r="AC296" s="10">
        <v>44688</v>
      </c>
      <c r="AD296" s="10" t="s">
        <v>72</v>
      </c>
      <c r="AE296" t="s">
        <v>72</v>
      </c>
      <c r="AF296" t="s">
        <v>45</v>
      </c>
    </row>
    <row r="297" spans="1:32" x14ac:dyDescent="0.25">
      <c r="A297">
        <v>715</v>
      </c>
      <c r="B297">
        <v>37</v>
      </c>
      <c r="C297" t="s">
        <v>43</v>
      </c>
      <c r="D297" t="s">
        <v>33</v>
      </c>
      <c r="E297" t="s">
        <v>34</v>
      </c>
      <c r="F297" t="s">
        <v>67</v>
      </c>
      <c r="G297" t="s">
        <v>59</v>
      </c>
      <c r="H297" t="s">
        <v>37</v>
      </c>
      <c r="I297" t="s">
        <v>59</v>
      </c>
      <c r="J297" t="s">
        <v>39</v>
      </c>
      <c r="K297">
        <v>4</v>
      </c>
      <c r="L297">
        <v>2</v>
      </c>
      <c r="M297" t="s">
        <v>48</v>
      </c>
      <c r="N297" t="s">
        <v>41</v>
      </c>
      <c r="O297" t="s">
        <v>42</v>
      </c>
      <c r="P297" t="s">
        <v>43</v>
      </c>
      <c r="Q297">
        <v>17</v>
      </c>
      <c r="R297">
        <v>3</v>
      </c>
      <c r="S297">
        <v>4</v>
      </c>
      <c r="T297">
        <v>0</v>
      </c>
      <c r="U297">
        <v>0</v>
      </c>
      <c r="V297">
        <v>10</v>
      </c>
      <c r="W297">
        <v>80</v>
      </c>
      <c r="X297">
        <v>1225</v>
      </c>
      <c r="Y297">
        <v>15232</v>
      </c>
      <c r="Z297">
        <v>4680</v>
      </c>
      <c r="AA297">
        <v>2</v>
      </c>
      <c r="AB297">
        <v>31620</v>
      </c>
      <c r="AC297" s="10">
        <v>44689</v>
      </c>
      <c r="AD297" s="10" t="s">
        <v>72</v>
      </c>
      <c r="AE297" t="s">
        <v>72</v>
      </c>
      <c r="AF297" t="s">
        <v>45</v>
      </c>
    </row>
    <row r="298" spans="1:32" x14ac:dyDescent="0.25">
      <c r="A298">
        <v>1030</v>
      </c>
      <c r="B298">
        <v>50</v>
      </c>
      <c r="C298" t="s">
        <v>43</v>
      </c>
      <c r="D298" t="s">
        <v>33</v>
      </c>
      <c r="E298" t="s">
        <v>34</v>
      </c>
      <c r="F298" t="s">
        <v>49</v>
      </c>
      <c r="G298" t="s">
        <v>36</v>
      </c>
      <c r="H298" t="s">
        <v>37</v>
      </c>
      <c r="I298" t="s">
        <v>50</v>
      </c>
      <c r="J298" t="s">
        <v>51</v>
      </c>
      <c r="K298">
        <v>4</v>
      </c>
      <c r="L298">
        <v>2</v>
      </c>
      <c r="M298" t="s">
        <v>48</v>
      </c>
      <c r="N298" t="s">
        <v>61</v>
      </c>
      <c r="O298" t="s">
        <v>42</v>
      </c>
      <c r="P298" t="s">
        <v>43</v>
      </c>
      <c r="Q298">
        <v>18</v>
      </c>
      <c r="R298">
        <v>4</v>
      </c>
      <c r="S298">
        <v>8</v>
      </c>
      <c r="T298">
        <v>0</v>
      </c>
      <c r="U298">
        <v>0</v>
      </c>
      <c r="V298">
        <v>9</v>
      </c>
      <c r="W298">
        <v>64</v>
      </c>
      <c r="X298">
        <v>804</v>
      </c>
      <c r="Y298">
        <v>20165</v>
      </c>
      <c r="Z298">
        <v>2380</v>
      </c>
      <c r="AA298">
        <v>5</v>
      </c>
      <c r="AB298">
        <v>26675</v>
      </c>
      <c r="AC298" s="10">
        <v>44690</v>
      </c>
      <c r="AD298" s="10" t="s">
        <v>72</v>
      </c>
      <c r="AE298" t="s">
        <v>72</v>
      </c>
      <c r="AF298" t="s">
        <v>55</v>
      </c>
    </row>
    <row r="299" spans="1:32" x14ac:dyDescent="0.25">
      <c r="A299">
        <v>1687</v>
      </c>
      <c r="B299">
        <v>38</v>
      </c>
      <c r="C299" t="s">
        <v>43</v>
      </c>
      <c r="D299" t="s">
        <v>33</v>
      </c>
      <c r="E299" t="s">
        <v>34</v>
      </c>
      <c r="F299" t="s">
        <v>67</v>
      </c>
      <c r="G299" t="s">
        <v>59</v>
      </c>
      <c r="H299" t="s">
        <v>47</v>
      </c>
      <c r="I299" t="s">
        <v>50</v>
      </c>
      <c r="J299" t="s">
        <v>51</v>
      </c>
      <c r="K299">
        <v>3</v>
      </c>
      <c r="L299">
        <v>3</v>
      </c>
      <c r="M299" t="s">
        <v>60</v>
      </c>
      <c r="N299" t="s">
        <v>61</v>
      </c>
      <c r="O299" t="s">
        <v>36</v>
      </c>
      <c r="P299" t="s">
        <v>43</v>
      </c>
      <c r="Q299">
        <v>19</v>
      </c>
      <c r="R299">
        <v>7</v>
      </c>
      <c r="S299">
        <v>7</v>
      </c>
      <c r="T299">
        <v>0</v>
      </c>
      <c r="U299">
        <v>0</v>
      </c>
      <c r="V299">
        <v>4</v>
      </c>
      <c r="W299">
        <v>87</v>
      </c>
      <c r="X299">
        <v>1495</v>
      </c>
      <c r="Y299">
        <v>26176</v>
      </c>
      <c r="Z299">
        <v>3306</v>
      </c>
      <c r="AA299">
        <v>5</v>
      </c>
      <c r="AB299">
        <v>31142</v>
      </c>
      <c r="AC299" s="10">
        <v>44691</v>
      </c>
      <c r="AD299" s="10" t="s">
        <v>72</v>
      </c>
      <c r="AE299" t="s">
        <v>72</v>
      </c>
      <c r="AF299" t="s">
        <v>45</v>
      </c>
    </row>
    <row r="300" spans="1:32" x14ac:dyDescent="0.25">
      <c r="A300">
        <v>643</v>
      </c>
      <c r="B300">
        <v>24</v>
      </c>
      <c r="C300" t="s">
        <v>43</v>
      </c>
      <c r="D300" t="s">
        <v>33</v>
      </c>
      <c r="E300" t="s">
        <v>34</v>
      </c>
      <c r="F300" t="s">
        <v>67</v>
      </c>
      <c r="G300" t="s">
        <v>59</v>
      </c>
      <c r="H300" t="s">
        <v>37</v>
      </c>
      <c r="I300" t="s">
        <v>38</v>
      </c>
      <c r="J300" t="s">
        <v>51</v>
      </c>
      <c r="K300">
        <v>2</v>
      </c>
      <c r="L300">
        <v>4</v>
      </c>
      <c r="M300" t="s">
        <v>48</v>
      </c>
      <c r="N300" t="s">
        <v>61</v>
      </c>
      <c r="O300" t="s">
        <v>36</v>
      </c>
      <c r="P300" t="s">
        <v>43</v>
      </c>
      <c r="Q300">
        <v>21</v>
      </c>
      <c r="R300">
        <v>1</v>
      </c>
      <c r="S300">
        <v>1</v>
      </c>
      <c r="T300">
        <v>0</v>
      </c>
      <c r="U300">
        <v>0</v>
      </c>
      <c r="V300">
        <v>17</v>
      </c>
      <c r="W300">
        <v>94</v>
      </c>
      <c r="X300">
        <v>823</v>
      </c>
      <c r="Y300">
        <v>9100</v>
      </c>
      <c r="Z300">
        <v>2127</v>
      </c>
      <c r="AA300">
        <v>2</v>
      </c>
      <c r="AB300">
        <v>36024</v>
      </c>
      <c r="AC300" s="10">
        <v>44695</v>
      </c>
      <c r="AD300" s="10" t="s">
        <v>72</v>
      </c>
      <c r="AE300" t="s">
        <v>72</v>
      </c>
      <c r="AF300" t="s">
        <v>45</v>
      </c>
    </row>
    <row r="301" spans="1:32" x14ac:dyDescent="0.25">
      <c r="A301">
        <v>749</v>
      </c>
      <c r="B301">
        <v>29</v>
      </c>
      <c r="C301" t="s">
        <v>43</v>
      </c>
      <c r="D301" t="s">
        <v>33</v>
      </c>
      <c r="E301" t="s">
        <v>56</v>
      </c>
      <c r="F301" t="s">
        <v>49</v>
      </c>
      <c r="G301" t="s">
        <v>50</v>
      </c>
      <c r="H301" t="s">
        <v>37</v>
      </c>
      <c r="I301" t="s">
        <v>50</v>
      </c>
      <c r="J301" t="s">
        <v>66</v>
      </c>
      <c r="K301">
        <v>3</v>
      </c>
      <c r="L301">
        <v>3</v>
      </c>
      <c r="M301" t="s">
        <v>48</v>
      </c>
      <c r="N301" t="s">
        <v>41</v>
      </c>
      <c r="O301" t="s">
        <v>42</v>
      </c>
      <c r="P301" t="s">
        <v>43</v>
      </c>
      <c r="Q301">
        <v>11</v>
      </c>
      <c r="R301">
        <v>1</v>
      </c>
      <c r="S301">
        <v>1</v>
      </c>
      <c r="T301">
        <v>0</v>
      </c>
      <c r="U301">
        <v>0</v>
      </c>
      <c r="V301">
        <v>10</v>
      </c>
      <c r="W301">
        <v>99</v>
      </c>
      <c r="X301">
        <v>1396</v>
      </c>
      <c r="Y301">
        <v>2755</v>
      </c>
      <c r="Z301">
        <v>2642</v>
      </c>
      <c r="AA301">
        <v>6</v>
      </c>
      <c r="AB301">
        <v>34365</v>
      </c>
      <c r="AC301" s="10">
        <v>44695</v>
      </c>
      <c r="AD301" s="10" t="s">
        <v>72</v>
      </c>
      <c r="AE301" t="s">
        <v>72</v>
      </c>
      <c r="AF301" t="s">
        <v>55</v>
      </c>
    </row>
    <row r="302" spans="1:32" x14ac:dyDescent="0.25">
      <c r="A302">
        <v>1368</v>
      </c>
      <c r="B302">
        <v>18</v>
      </c>
      <c r="C302" t="s">
        <v>43</v>
      </c>
      <c r="D302" t="s">
        <v>63</v>
      </c>
      <c r="E302" t="s">
        <v>34</v>
      </c>
      <c r="F302" t="s">
        <v>49</v>
      </c>
      <c r="G302" t="s">
        <v>59</v>
      </c>
      <c r="H302" t="s">
        <v>47</v>
      </c>
      <c r="I302" t="s">
        <v>50</v>
      </c>
      <c r="J302" t="s">
        <v>51</v>
      </c>
      <c r="K302">
        <v>4</v>
      </c>
      <c r="L302">
        <v>3</v>
      </c>
      <c r="M302" t="s">
        <v>58</v>
      </c>
      <c r="N302" t="s">
        <v>41</v>
      </c>
      <c r="O302" t="s">
        <v>42</v>
      </c>
      <c r="P302" t="s">
        <v>43</v>
      </c>
      <c r="Q302">
        <v>15</v>
      </c>
      <c r="R302">
        <v>1</v>
      </c>
      <c r="S302">
        <v>2</v>
      </c>
      <c r="T302">
        <v>0</v>
      </c>
      <c r="U302">
        <v>0</v>
      </c>
      <c r="V302">
        <v>1</v>
      </c>
      <c r="W302">
        <v>97</v>
      </c>
      <c r="X302">
        <v>1124</v>
      </c>
      <c r="Y302">
        <v>19305</v>
      </c>
      <c r="Z302">
        <v>1611</v>
      </c>
      <c r="AA302">
        <v>5</v>
      </c>
      <c r="AB302">
        <v>38230</v>
      </c>
      <c r="AC302" s="10">
        <v>44697</v>
      </c>
      <c r="AD302" s="10" t="s">
        <v>72</v>
      </c>
      <c r="AE302" t="s">
        <v>72</v>
      </c>
      <c r="AF302" t="s">
        <v>45</v>
      </c>
    </row>
    <row r="303" spans="1:32" x14ac:dyDescent="0.25">
      <c r="A303">
        <v>2012</v>
      </c>
      <c r="B303">
        <v>40</v>
      </c>
      <c r="C303" t="s">
        <v>43</v>
      </c>
      <c r="D303" t="s">
        <v>33</v>
      </c>
      <c r="E303" t="s">
        <v>34</v>
      </c>
      <c r="F303" t="s">
        <v>35</v>
      </c>
      <c r="G303" t="s">
        <v>36</v>
      </c>
      <c r="H303" t="s">
        <v>37</v>
      </c>
      <c r="I303" t="s">
        <v>50</v>
      </c>
      <c r="J303" t="s">
        <v>51</v>
      </c>
      <c r="K303">
        <v>4</v>
      </c>
      <c r="L303">
        <v>3</v>
      </c>
      <c r="M303" t="s">
        <v>60</v>
      </c>
      <c r="N303" t="s">
        <v>61</v>
      </c>
      <c r="O303" t="s">
        <v>53</v>
      </c>
      <c r="P303" t="s">
        <v>43</v>
      </c>
      <c r="Q303">
        <v>19</v>
      </c>
      <c r="R303">
        <v>8</v>
      </c>
      <c r="S303">
        <v>8</v>
      </c>
      <c r="T303">
        <v>0</v>
      </c>
      <c r="U303">
        <v>0</v>
      </c>
      <c r="V303">
        <v>1</v>
      </c>
      <c r="W303">
        <v>83</v>
      </c>
      <c r="X303">
        <v>543</v>
      </c>
      <c r="Y303">
        <v>4060</v>
      </c>
      <c r="Z303">
        <v>2406</v>
      </c>
      <c r="AA303">
        <v>3</v>
      </c>
      <c r="AB303">
        <v>30475</v>
      </c>
      <c r="AC303" s="10">
        <v>44703</v>
      </c>
      <c r="AD303" s="10" t="s">
        <v>72</v>
      </c>
      <c r="AE303" t="s">
        <v>72</v>
      </c>
      <c r="AF303" t="s">
        <v>45</v>
      </c>
    </row>
    <row r="304" spans="1:32" x14ac:dyDescent="0.25">
      <c r="A304">
        <v>1865</v>
      </c>
      <c r="B304">
        <v>29</v>
      </c>
      <c r="C304" t="s">
        <v>43</v>
      </c>
      <c r="D304" t="s">
        <v>33</v>
      </c>
      <c r="E304" t="s">
        <v>68</v>
      </c>
      <c r="F304" t="s">
        <v>64</v>
      </c>
      <c r="G304" t="s">
        <v>59</v>
      </c>
      <c r="H304" t="s">
        <v>37</v>
      </c>
      <c r="I304" t="s">
        <v>38</v>
      </c>
      <c r="J304" t="s">
        <v>68</v>
      </c>
      <c r="K304">
        <v>2</v>
      </c>
      <c r="L304">
        <v>3</v>
      </c>
      <c r="M304" t="s">
        <v>48</v>
      </c>
      <c r="N304" t="s">
        <v>61</v>
      </c>
      <c r="O304" t="s">
        <v>42</v>
      </c>
      <c r="P304" t="s">
        <v>43</v>
      </c>
      <c r="Q304">
        <v>11</v>
      </c>
      <c r="R304">
        <v>1</v>
      </c>
      <c r="S304">
        <v>1</v>
      </c>
      <c r="T304">
        <v>0</v>
      </c>
      <c r="U304">
        <v>0</v>
      </c>
      <c r="V304">
        <v>6</v>
      </c>
      <c r="W304">
        <v>87</v>
      </c>
      <c r="X304">
        <v>352</v>
      </c>
      <c r="Y304">
        <v>15434</v>
      </c>
      <c r="Z304">
        <v>2804</v>
      </c>
      <c r="AA304">
        <v>3</v>
      </c>
      <c r="AB304">
        <v>34295</v>
      </c>
      <c r="AC304" s="10">
        <v>44736</v>
      </c>
      <c r="AD304" s="10" t="s">
        <v>72</v>
      </c>
      <c r="AE304" t="s">
        <v>72</v>
      </c>
      <c r="AF304" t="s">
        <v>45</v>
      </c>
    </row>
    <row r="305" spans="1:32" x14ac:dyDescent="0.25">
      <c r="A305">
        <v>411</v>
      </c>
      <c r="B305">
        <v>18</v>
      </c>
      <c r="C305" t="s">
        <v>43</v>
      </c>
      <c r="D305" t="s">
        <v>33</v>
      </c>
      <c r="E305" t="s">
        <v>56</v>
      </c>
      <c r="F305" t="s">
        <v>49</v>
      </c>
      <c r="G305" t="s">
        <v>59</v>
      </c>
      <c r="H305" t="s">
        <v>47</v>
      </c>
      <c r="I305" t="s">
        <v>38</v>
      </c>
      <c r="J305" t="s">
        <v>66</v>
      </c>
      <c r="K305">
        <v>3</v>
      </c>
      <c r="L305">
        <v>3</v>
      </c>
      <c r="M305" t="s">
        <v>48</v>
      </c>
      <c r="N305" t="s">
        <v>41</v>
      </c>
      <c r="O305" t="s">
        <v>42</v>
      </c>
      <c r="P305" t="s">
        <v>43</v>
      </c>
      <c r="Q305">
        <v>12</v>
      </c>
      <c r="R305">
        <v>1</v>
      </c>
      <c r="S305">
        <v>0</v>
      </c>
      <c r="T305">
        <v>0</v>
      </c>
      <c r="U305">
        <v>0</v>
      </c>
      <c r="V305">
        <v>10</v>
      </c>
      <c r="W305">
        <v>69</v>
      </c>
      <c r="X305">
        <v>812</v>
      </c>
      <c r="Y305">
        <v>9724</v>
      </c>
      <c r="Z305">
        <v>1200</v>
      </c>
      <c r="AA305">
        <v>2</v>
      </c>
      <c r="AB305">
        <v>38282</v>
      </c>
      <c r="AC305" s="10">
        <v>44777</v>
      </c>
      <c r="AD305" s="10" t="s">
        <v>72</v>
      </c>
      <c r="AE305" t="s">
        <v>72</v>
      </c>
      <c r="AF305" t="s">
        <v>45</v>
      </c>
    </row>
    <row r="306" spans="1:32" x14ac:dyDescent="0.25">
      <c r="A306">
        <v>556</v>
      </c>
      <c r="B306">
        <v>38</v>
      </c>
      <c r="C306" t="s">
        <v>43</v>
      </c>
      <c r="D306" t="s">
        <v>46</v>
      </c>
      <c r="E306" t="s">
        <v>34</v>
      </c>
      <c r="F306" t="s">
        <v>67</v>
      </c>
      <c r="G306" t="s">
        <v>59</v>
      </c>
      <c r="H306" t="s">
        <v>37</v>
      </c>
      <c r="I306" t="s">
        <v>50</v>
      </c>
      <c r="J306" t="s">
        <v>51</v>
      </c>
      <c r="K306">
        <v>4</v>
      </c>
      <c r="L306">
        <v>4</v>
      </c>
      <c r="M306" t="s">
        <v>48</v>
      </c>
      <c r="N306" t="s">
        <v>61</v>
      </c>
      <c r="O306" t="s">
        <v>36</v>
      </c>
      <c r="P306" t="s">
        <v>32</v>
      </c>
      <c r="Q306">
        <v>23</v>
      </c>
      <c r="R306">
        <v>1</v>
      </c>
      <c r="S306">
        <v>1</v>
      </c>
      <c r="T306">
        <v>0</v>
      </c>
      <c r="U306">
        <v>0</v>
      </c>
      <c r="V306">
        <v>2</v>
      </c>
      <c r="W306">
        <v>42</v>
      </c>
      <c r="X306">
        <v>1490</v>
      </c>
      <c r="Y306">
        <v>12106</v>
      </c>
      <c r="Z306">
        <v>1702</v>
      </c>
      <c r="AA306">
        <v>3</v>
      </c>
      <c r="AB306">
        <v>30916</v>
      </c>
      <c r="AC306" s="10">
        <v>44409</v>
      </c>
      <c r="AD306" s="10" t="s">
        <v>72</v>
      </c>
      <c r="AE306" t="s">
        <v>72</v>
      </c>
      <c r="AF306" t="s">
        <v>45</v>
      </c>
    </row>
    <row r="307" spans="1:32" x14ac:dyDescent="0.25">
      <c r="A307">
        <v>1158</v>
      </c>
      <c r="B307">
        <v>41</v>
      </c>
      <c r="C307" t="s">
        <v>43</v>
      </c>
      <c r="D307" t="s">
        <v>33</v>
      </c>
      <c r="E307" t="s">
        <v>34</v>
      </c>
      <c r="F307" t="s">
        <v>35</v>
      </c>
      <c r="G307" t="s">
        <v>38</v>
      </c>
      <c r="H307" t="s">
        <v>37</v>
      </c>
      <c r="I307" t="s">
        <v>50</v>
      </c>
      <c r="J307" t="s">
        <v>51</v>
      </c>
      <c r="K307">
        <v>4</v>
      </c>
      <c r="L307">
        <v>3</v>
      </c>
      <c r="M307" t="s">
        <v>48</v>
      </c>
      <c r="N307" t="s">
        <v>61</v>
      </c>
      <c r="O307" t="s">
        <v>36</v>
      </c>
      <c r="P307" t="s">
        <v>32</v>
      </c>
      <c r="Q307">
        <v>11</v>
      </c>
      <c r="R307">
        <v>3</v>
      </c>
      <c r="S307">
        <v>6</v>
      </c>
      <c r="T307">
        <v>0</v>
      </c>
      <c r="U307">
        <v>0</v>
      </c>
      <c r="V307">
        <v>12</v>
      </c>
      <c r="W307">
        <v>46</v>
      </c>
      <c r="X307">
        <v>167</v>
      </c>
      <c r="Y307">
        <v>9051</v>
      </c>
      <c r="Z307">
        <v>4766</v>
      </c>
      <c r="AA307">
        <v>4</v>
      </c>
      <c r="AB307">
        <v>29894</v>
      </c>
      <c r="AC307" s="10">
        <v>44431</v>
      </c>
      <c r="AD307" s="10" t="s">
        <v>72</v>
      </c>
      <c r="AE307" t="s">
        <v>72</v>
      </c>
      <c r="AF307" t="s">
        <v>45</v>
      </c>
    </row>
    <row r="308" spans="1:32" x14ac:dyDescent="0.25">
      <c r="A308">
        <v>1055</v>
      </c>
      <c r="B308">
        <v>34</v>
      </c>
      <c r="C308" t="s">
        <v>43</v>
      </c>
      <c r="D308" t="s">
        <v>33</v>
      </c>
      <c r="E308" t="s">
        <v>56</v>
      </c>
      <c r="F308" t="s">
        <v>35</v>
      </c>
      <c r="G308" t="s">
        <v>50</v>
      </c>
      <c r="H308" t="s">
        <v>47</v>
      </c>
      <c r="I308" t="s">
        <v>50</v>
      </c>
      <c r="J308" t="s">
        <v>66</v>
      </c>
      <c r="K308">
        <v>3</v>
      </c>
      <c r="L308">
        <v>3</v>
      </c>
      <c r="M308" t="s">
        <v>48</v>
      </c>
      <c r="N308" t="s">
        <v>61</v>
      </c>
      <c r="O308" t="s">
        <v>36</v>
      </c>
      <c r="P308" t="s">
        <v>32</v>
      </c>
      <c r="Q308">
        <v>19</v>
      </c>
      <c r="R308">
        <v>1</v>
      </c>
      <c r="S308">
        <v>1</v>
      </c>
      <c r="T308">
        <v>0</v>
      </c>
      <c r="U308">
        <v>0</v>
      </c>
      <c r="V308">
        <v>10</v>
      </c>
      <c r="W308">
        <v>87</v>
      </c>
      <c r="X308">
        <v>1333</v>
      </c>
      <c r="Y308">
        <v>18410</v>
      </c>
      <c r="Z308">
        <v>2220</v>
      </c>
      <c r="AA308">
        <v>2</v>
      </c>
      <c r="AB308">
        <v>32405</v>
      </c>
      <c r="AC308" s="10">
        <v>44435</v>
      </c>
      <c r="AD308" s="10" t="s">
        <v>72</v>
      </c>
      <c r="AE308" t="s">
        <v>72</v>
      </c>
      <c r="AF308" t="s">
        <v>45</v>
      </c>
    </row>
    <row r="309" spans="1:32" x14ac:dyDescent="0.25">
      <c r="A309">
        <v>10</v>
      </c>
      <c r="B309">
        <v>59</v>
      </c>
      <c r="C309" t="s">
        <v>43</v>
      </c>
      <c r="D309" t="s">
        <v>33</v>
      </c>
      <c r="E309" t="s">
        <v>34</v>
      </c>
      <c r="F309" t="s">
        <v>49</v>
      </c>
      <c r="G309" t="s">
        <v>50</v>
      </c>
      <c r="H309" t="s">
        <v>47</v>
      </c>
      <c r="I309" t="s">
        <v>59</v>
      </c>
      <c r="J309" t="s">
        <v>51</v>
      </c>
      <c r="K309">
        <v>1</v>
      </c>
      <c r="L309">
        <v>4</v>
      </c>
      <c r="M309" t="s">
        <v>60</v>
      </c>
      <c r="N309" t="s">
        <v>61</v>
      </c>
      <c r="O309" t="s">
        <v>50</v>
      </c>
      <c r="P309" t="s">
        <v>32</v>
      </c>
      <c r="Q309">
        <v>20</v>
      </c>
      <c r="R309">
        <v>4</v>
      </c>
      <c r="S309">
        <v>12</v>
      </c>
      <c r="T309">
        <v>0</v>
      </c>
      <c r="U309">
        <v>0</v>
      </c>
      <c r="V309">
        <v>3</v>
      </c>
      <c r="W309">
        <v>81</v>
      </c>
      <c r="X309">
        <v>1324</v>
      </c>
      <c r="Y309">
        <v>9964</v>
      </c>
      <c r="Z309">
        <v>2670</v>
      </c>
      <c r="AA309">
        <v>3</v>
      </c>
      <c r="AB309">
        <v>23563</v>
      </c>
      <c r="AC309" s="10">
        <v>44520</v>
      </c>
      <c r="AD309" s="10" t="s">
        <v>72</v>
      </c>
      <c r="AE309" t="s">
        <v>72</v>
      </c>
      <c r="AF309" t="s">
        <v>45</v>
      </c>
    </row>
    <row r="310" spans="1:32" x14ac:dyDescent="0.25">
      <c r="A310">
        <v>1974</v>
      </c>
      <c r="B310">
        <v>31</v>
      </c>
      <c r="C310" t="s">
        <v>43</v>
      </c>
      <c r="D310" t="s">
        <v>33</v>
      </c>
      <c r="E310" t="s">
        <v>34</v>
      </c>
      <c r="F310" t="s">
        <v>64</v>
      </c>
      <c r="G310" t="s">
        <v>59</v>
      </c>
      <c r="H310" t="s">
        <v>47</v>
      </c>
      <c r="I310" t="s">
        <v>36</v>
      </c>
      <c r="J310" t="s">
        <v>51</v>
      </c>
      <c r="K310">
        <v>4</v>
      </c>
      <c r="L310">
        <v>3</v>
      </c>
      <c r="M310" t="s">
        <v>48</v>
      </c>
      <c r="N310" t="s">
        <v>52</v>
      </c>
      <c r="O310" t="s">
        <v>50</v>
      </c>
      <c r="P310" t="s">
        <v>32</v>
      </c>
      <c r="Q310">
        <v>11</v>
      </c>
      <c r="R310">
        <v>1</v>
      </c>
      <c r="S310">
        <v>1</v>
      </c>
      <c r="T310">
        <v>0</v>
      </c>
      <c r="U310">
        <v>0</v>
      </c>
      <c r="V310">
        <v>2</v>
      </c>
      <c r="W310">
        <v>59</v>
      </c>
      <c r="X310">
        <v>1276</v>
      </c>
      <c r="Y310">
        <v>17536</v>
      </c>
      <c r="Z310">
        <v>1129</v>
      </c>
      <c r="AA310">
        <v>4</v>
      </c>
      <c r="AB310">
        <v>33677</v>
      </c>
      <c r="AC310" s="10">
        <v>44582</v>
      </c>
      <c r="AD310" s="10" t="s">
        <v>72</v>
      </c>
      <c r="AE310" t="s">
        <v>72</v>
      </c>
      <c r="AF310" t="s">
        <v>45</v>
      </c>
    </row>
    <row r="311" spans="1:32" x14ac:dyDescent="0.25">
      <c r="A311">
        <v>22</v>
      </c>
      <c r="B311">
        <v>22</v>
      </c>
      <c r="C311" t="s">
        <v>43</v>
      </c>
      <c r="D311" t="s">
        <v>63</v>
      </c>
      <c r="E311" t="s">
        <v>34</v>
      </c>
      <c r="F311" t="s">
        <v>67</v>
      </c>
      <c r="G311" t="s">
        <v>59</v>
      </c>
      <c r="H311" t="s">
        <v>37</v>
      </c>
      <c r="I311" t="s">
        <v>59</v>
      </c>
      <c r="J311" t="s">
        <v>51</v>
      </c>
      <c r="K311">
        <v>4</v>
      </c>
      <c r="L311">
        <v>3</v>
      </c>
      <c r="M311" t="s">
        <v>60</v>
      </c>
      <c r="N311" t="s">
        <v>52</v>
      </c>
      <c r="O311" t="s">
        <v>53</v>
      </c>
      <c r="P311" t="s">
        <v>32</v>
      </c>
      <c r="Q311">
        <v>13</v>
      </c>
      <c r="R311">
        <v>1</v>
      </c>
      <c r="S311">
        <v>1</v>
      </c>
      <c r="T311">
        <v>0</v>
      </c>
      <c r="U311">
        <v>0</v>
      </c>
      <c r="V311">
        <v>16</v>
      </c>
      <c r="W311">
        <v>96</v>
      </c>
      <c r="X311">
        <v>1123</v>
      </c>
      <c r="Y311">
        <v>7324</v>
      </c>
      <c r="Z311">
        <v>2935</v>
      </c>
      <c r="AA311">
        <v>2</v>
      </c>
      <c r="AB311">
        <v>37023</v>
      </c>
      <c r="AC311" s="10">
        <v>44607</v>
      </c>
      <c r="AD311" s="10" t="s">
        <v>72</v>
      </c>
      <c r="AE311" t="s">
        <v>72</v>
      </c>
      <c r="AF311" t="s">
        <v>45</v>
      </c>
    </row>
    <row r="312" spans="1:32" x14ac:dyDescent="0.25">
      <c r="A312">
        <v>964</v>
      </c>
      <c r="B312">
        <v>40</v>
      </c>
      <c r="C312" t="s">
        <v>43</v>
      </c>
      <c r="D312" t="s">
        <v>46</v>
      </c>
      <c r="E312" t="s">
        <v>34</v>
      </c>
      <c r="F312" t="s">
        <v>35</v>
      </c>
      <c r="G312" t="s">
        <v>59</v>
      </c>
      <c r="H312" t="s">
        <v>37</v>
      </c>
      <c r="I312" t="s">
        <v>50</v>
      </c>
      <c r="J312" t="s">
        <v>39</v>
      </c>
      <c r="K312">
        <v>2</v>
      </c>
      <c r="L312">
        <v>3</v>
      </c>
      <c r="M312" t="s">
        <v>48</v>
      </c>
      <c r="N312" t="s">
        <v>52</v>
      </c>
      <c r="O312" t="s">
        <v>36</v>
      </c>
      <c r="P312" t="s">
        <v>32</v>
      </c>
      <c r="Q312">
        <v>14</v>
      </c>
      <c r="R312">
        <v>8</v>
      </c>
      <c r="S312">
        <v>3</v>
      </c>
      <c r="T312">
        <v>0</v>
      </c>
      <c r="U312">
        <v>0</v>
      </c>
      <c r="V312">
        <v>9</v>
      </c>
      <c r="W312">
        <v>35</v>
      </c>
      <c r="X312">
        <v>1469</v>
      </c>
      <c r="Y312">
        <v>25063</v>
      </c>
      <c r="Z312">
        <v>3617</v>
      </c>
      <c r="AA312">
        <v>2</v>
      </c>
      <c r="AB312">
        <v>30198</v>
      </c>
      <c r="AC312" s="10">
        <v>44627</v>
      </c>
      <c r="AD312" s="10" t="s">
        <v>72</v>
      </c>
      <c r="AE312" t="s">
        <v>72</v>
      </c>
      <c r="AF312" t="s">
        <v>55</v>
      </c>
    </row>
    <row r="313" spans="1:32" x14ac:dyDescent="0.25">
      <c r="A313">
        <v>51</v>
      </c>
      <c r="B313">
        <v>36</v>
      </c>
      <c r="C313" t="s">
        <v>43</v>
      </c>
      <c r="D313" t="s">
        <v>33</v>
      </c>
      <c r="E313" t="s">
        <v>34</v>
      </c>
      <c r="F313" t="s">
        <v>35</v>
      </c>
      <c r="G313" t="s">
        <v>38</v>
      </c>
      <c r="H313" t="s">
        <v>47</v>
      </c>
      <c r="I313" t="s">
        <v>38</v>
      </c>
      <c r="J313" t="s">
        <v>39</v>
      </c>
      <c r="K313">
        <v>1</v>
      </c>
      <c r="L313">
        <v>2</v>
      </c>
      <c r="M313" t="s">
        <v>58</v>
      </c>
      <c r="N313" t="s">
        <v>61</v>
      </c>
      <c r="O313" t="s">
        <v>36</v>
      </c>
      <c r="P313" t="s">
        <v>32</v>
      </c>
      <c r="Q313">
        <v>14</v>
      </c>
      <c r="R313">
        <v>9</v>
      </c>
      <c r="S313">
        <v>6</v>
      </c>
      <c r="T313">
        <v>0</v>
      </c>
      <c r="U313">
        <v>0</v>
      </c>
      <c r="V313">
        <v>5</v>
      </c>
      <c r="W313">
        <v>82</v>
      </c>
      <c r="X313">
        <v>852</v>
      </c>
      <c r="Y313">
        <v>13072</v>
      </c>
      <c r="Z313">
        <v>3419</v>
      </c>
      <c r="AA313">
        <v>3</v>
      </c>
      <c r="AB313">
        <v>31898</v>
      </c>
      <c r="AC313" s="10">
        <v>44655</v>
      </c>
      <c r="AD313" s="10" t="s">
        <v>72</v>
      </c>
      <c r="AE313" t="s">
        <v>72</v>
      </c>
      <c r="AF313" t="s">
        <v>55</v>
      </c>
    </row>
    <row r="314" spans="1:32" x14ac:dyDescent="0.25">
      <c r="A314">
        <v>1893</v>
      </c>
      <c r="B314">
        <v>26</v>
      </c>
      <c r="C314" t="s">
        <v>43</v>
      </c>
      <c r="D314" t="s">
        <v>33</v>
      </c>
      <c r="E314" t="s">
        <v>34</v>
      </c>
      <c r="F314" t="s">
        <v>67</v>
      </c>
      <c r="G314" t="s">
        <v>38</v>
      </c>
      <c r="H314" t="s">
        <v>47</v>
      </c>
      <c r="I314" t="s">
        <v>38</v>
      </c>
      <c r="J314" t="s">
        <v>39</v>
      </c>
      <c r="K314">
        <v>3</v>
      </c>
      <c r="L314">
        <v>3</v>
      </c>
      <c r="M314" t="s">
        <v>60</v>
      </c>
      <c r="N314" t="s">
        <v>61</v>
      </c>
      <c r="O314" t="s">
        <v>36</v>
      </c>
      <c r="P314" t="s">
        <v>32</v>
      </c>
      <c r="Q314">
        <v>13</v>
      </c>
      <c r="R314">
        <v>1</v>
      </c>
      <c r="S314">
        <v>1</v>
      </c>
      <c r="T314">
        <v>0</v>
      </c>
      <c r="U314">
        <v>0</v>
      </c>
      <c r="V314">
        <v>1</v>
      </c>
      <c r="W314">
        <v>90</v>
      </c>
      <c r="X314">
        <v>482</v>
      </c>
      <c r="Y314">
        <v>14908</v>
      </c>
      <c r="Z314">
        <v>2933</v>
      </c>
      <c r="AA314">
        <v>3</v>
      </c>
      <c r="AB314">
        <v>35298</v>
      </c>
      <c r="AC314" s="10">
        <v>44658</v>
      </c>
      <c r="AD314" s="10" t="s">
        <v>72</v>
      </c>
      <c r="AE314" t="s">
        <v>72</v>
      </c>
      <c r="AF314" t="s">
        <v>45</v>
      </c>
    </row>
    <row r="315" spans="1:32" x14ac:dyDescent="0.25">
      <c r="A315">
        <v>773</v>
      </c>
      <c r="B315">
        <v>38</v>
      </c>
      <c r="C315" t="s">
        <v>43</v>
      </c>
      <c r="D315" t="s">
        <v>33</v>
      </c>
      <c r="E315" t="s">
        <v>34</v>
      </c>
      <c r="F315" t="s">
        <v>70</v>
      </c>
      <c r="G315" t="s">
        <v>59</v>
      </c>
      <c r="H315" t="s">
        <v>37</v>
      </c>
      <c r="I315" t="s">
        <v>50</v>
      </c>
      <c r="J315" t="s">
        <v>39</v>
      </c>
      <c r="K315">
        <v>3</v>
      </c>
      <c r="L315">
        <v>3</v>
      </c>
      <c r="M315" t="s">
        <v>40</v>
      </c>
      <c r="N315" t="s">
        <v>61</v>
      </c>
      <c r="O315" t="s">
        <v>36</v>
      </c>
      <c r="P315" t="s">
        <v>32</v>
      </c>
      <c r="Q315">
        <v>13</v>
      </c>
      <c r="R315">
        <v>6</v>
      </c>
      <c r="S315">
        <v>6</v>
      </c>
      <c r="T315">
        <v>0</v>
      </c>
      <c r="U315">
        <v>0</v>
      </c>
      <c r="V315">
        <v>2</v>
      </c>
      <c r="W315">
        <v>92</v>
      </c>
      <c r="X315">
        <v>268</v>
      </c>
      <c r="Y315">
        <v>20471</v>
      </c>
      <c r="Z315">
        <v>3057</v>
      </c>
      <c r="AA315">
        <v>0</v>
      </c>
      <c r="AB315">
        <v>30979</v>
      </c>
      <c r="AC315" s="10">
        <v>44723</v>
      </c>
      <c r="AD315" s="10" t="s">
        <v>72</v>
      </c>
      <c r="AE315" t="s">
        <v>72</v>
      </c>
      <c r="AF315" t="s">
        <v>45</v>
      </c>
    </row>
    <row r="316" spans="1:32" x14ac:dyDescent="0.25">
      <c r="A316">
        <v>214</v>
      </c>
      <c r="B316">
        <v>58</v>
      </c>
      <c r="C316" t="s">
        <v>43</v>
      </c>
      <c r="D316" t="s">
        <v>33</v>
      </c>
      <c r="E316" t="s">
        <v>34</v>
      </c>
      <c r="F316" t="s">
        <v>49</v>
      </c>
      <c r="G316" t="s">
        <v>38</v>
      </c>
      <c r="H316" t="s">
        <v>47</v>
      </c>
      <c r="I316" t="s">
        <v>38</v>
      </c>
      <c r="J316" t="s">
        <v>39</v>
      </c>
      <c r="K316">
        <v>2</v>
      </c>
      <c r="L316">
        <v>4</v>
      </c>
      <c r="M316" t="s">
        <v>60</v>
      </c>
      <c r="N316" t="s">
        <v>61</v>
      </c>
      <c r="O316" t="s">
        <v>36</v>
      </c>
      <c r="P316" t="s">
        <v>32</v>
      </c>
      <c r="Q316">
        <v>20</v>
      </c>
      <c r="R316">
        <v>4</v>
      </c>
      <c r="S316">
        <v>9</v>
      </c>
      <c r="T316">
        <v>0</v>
      </c>
      <c r="U316">
        <v>0</v>
      </c>
      <c r="V316">
        <v>9</v>
      </c>
      <c r="W316">
        <v>75</v>
      </c>
      <c r="X316">
        <v>1145</v>
      </c>
      <c r="Y316">
        <v>11873</v>
      </c>
      <c r="Z316">
        <v>3346</v>
      </c>
      <c r="AA316">
        <v>3</v>
      </c>
      <c r="AB316">
        <v>23942</v>
      </c>
      <c r="AC316" s="10">
        <v>44742</v>
      </c>
      <c r="AD316" s="10" t="s">
        <v>72</v>
      </c>
      <c r="AE316" t="s">
        <v>72</v>
      </c>
      <c r="AF316" t="s">
        <v>45</v>
      </c>
    </row>
    <row r="317" spans="1:32" x14ac:dyDescent="0.25">
      <c r="A317">
        <v>947</v>
      </c>
      <c r="B317">
        <v>31</v>
      </c>
      <c r="C317" t="s">
        <v>43</v>
      </c>
      <c r="D317" t="s">
        <v>63</v>
      </c>
      <c r="E317" t="s">
        <v>56</v>
      </c>
      <c r="F317" t="s">
        <v>67</v>
      </c>
      <c r="G317" t="s">
        <v>59</v>
      </c>
      <c r="H317" t="s">
        <v>47</v>
      </c>
      <c r="I317" t="s">
        <v>50</v>
      </c>
      <c r="J317" t="s">
        <v>57</v>
      </c>
      <c r="K317">
        <v>3</v>
      </c>
      <c r="L317">
        <v>3</v>
      </c>
      <c r="M317" t="s">
        <v>60</v>
      </c>
      <c r="N317" t="s">
        <v>61</v>
      </c>
      <c r="O317" t="s">
        <v>36</v>
      </c>
      <c r="P317" t="s">
        <v>43</v>
      </c>
      <c r="Q317">
        <v>13</v>
      </c>
      <c r="R317">
        <v>1</v>
      </c>
      <c r="S317">
        <v>9</v>
      </c>
      <c r="T317">
        <v>0</v>
      </c>
      <c r="U317">
        <v>0</v>
      </c>
      <c r="V317">
        <v>20</v>
      </c>
      <c r="W317">
        <v>45</v>
      </c>
      <c r="X317">
        <v>1188</v>
      </c>
      <c r="Y317">
        <v>24406</v>
      </c>
      <c r="Z317">
        <v>6932</v>
      </c>
      <c r="AA317">
        <v>2</v>
      </c>
      <c r="AB317">
        <v>33796</v>
      </c>
      <c r="AC317" s="10">
        <v>41594</v>
      </c>
      <c r="AD317" s="10" t="s">
        <v>72</v>
      </c>
      <c r="AE317" t="s">
        <v>72</v>
      </c>
      <c r="AF317" t="s">
        <v>45</v>
      </c>
    </row>
    <row r="318" spans="1:32" x14ac:dyDescent="0.25">
      <c r="A318">
        <v>448</v>
      </c>
      <c r="B318">
        <v>43</v>
      </c>
      <c r="C318" t="s">
        <v>43</v>
      </c>
      <c r="D318" t="s">
        <v>46</v>
      </c>
      <c r="E318" t="s">
        <v>34</v>
      </c>
      <c r="F318" t="s">
        <v>35</v>
      </c>
      <c r="G318" t="s">
        <v>50</v>
      </c>
      <c r="H318" t="s">
        <v>47</v>
      </c>
      <c r="I318" t="s">
        <v>38</v>
      </c>
      <c r="J318" t="s">
        <v>51</v>
      </c>
      <c r="K318">
        <v>3</v>
      </c>
      <c r="L318">
        <v>3</v>
      </c>
      <c r="M318" t="s">
        <v>58</v>
      </c>
      <c r="N318" t="s">
        <v>52</v>
      </c>
      <c r="O318" t="s">
        <v>36</v>
      </c>
      <c r="P318" t="s">
        <v>43</v>
      </c>
      <c r="Q318">
        <v>11</v>
      </c>
      <c r="R318">
        <v>1</v>
      </c>
      <c r="S318">
        <v>9</v>
      </c>
      <c r="T318">
        <v>0</v>
      </c>
      <c r="U318">
        <v>0</v>
      </c>
      <c r="V318">
        <v>10</v>
      </c>
      <c r="W318">
        <v>82</v>
      </c>
      <c r="X318">
        <v>559</v>
      </c>
      <c r="Y318">
        <v>6227</v>
      </c>
      <c r="Z318">
        <v>5257</v>
      </c>
      <c r="AA318">
        <v>3</v>
      </c>
      <c r="AB318">
        <v>29206</v>
      </c>
      <c r="AC318" s="10">
        <v>41668</v>
      </c>
      <c r="AD318" s="10" t="s">
        <v>72</v>
      </c>
      <c r="AE318" t="s">
        <v>72</v>
      </c>
      <c r="AF318" t="s">
        <v>45</v>
      </c>
    </row>
    <row r="319" spans="1:32" x14ac:dyDescent="0.25">
      <c r="A319">
        <v>867</v>
      </c>
      <c r="B319">
        <v>52</v>
      </c>
      <c r="C319" t="s">
        <v>43</v>
      </c>
      <c r="D319" t="s">
        <v>46</v>
      </c>
      <c r="E319" t="s">
        <v>34</v>
      </c>
      <c r="F319" t="s">
        <v>35</v>
      </c>
      <c r="G319" t="s">
        <v>50</v>
      </c>
      <c r="H319" t="s">
        <v>47</v>
      </c>
      <c r="I319" t="s">
        <v>38</v>
      </c>
      <c r="J319" t="s">
        <v>65</v>
      </c>
      <c r="K319">
        <v>4</v>
      </c>
      <c r="L319">
        <v>4</v>
      </c>
      <c r="M319" t="s">
        <v>48</v>
      </c>
      <c r="N319" t="s">
        <v>61</v>
      </c>
      <c r="O319" t="s">
        <v>42</v>
      </c>
      <c r="P319" t="s">
        <v>43</v>
      </c>
      <c r="Q319">
        <v>22</v>
      </c>
      <c r="R319">
        <v>3</v>
      </c>
      <c r="S319">
        <v>31</v>
      </c>
      <c r="T319">
        <v>0</v>
      </c>
      <c r="U319">
        <v>0</v>
      </c>
      <c r="V319">
        <v>25</v>
      </c>
      <c r="W319">
        <v>81</v>
      </c>
      <c r="X319">
        <v>890</v>
      </c>
      <c r="Y319">
        <v>19028</v>
      </c>
      <c r="Z319">
        <v>13826</v>
      </c>
      <c r="AA319">
        <v>3</v>
      </c>
      <c r="AB319">
        <v>25987</v>
      </c>
      <c r="AC319" s="10">
        <v>41766</v>
      </c>
      <c r="AD319" s="10" t="s">
        <v>72</v>
      </c>
      <c r="AE319" t="s">
        <v>72</v>
      </c>
      <c r="AF319" t="s">
        <v>55</v>
      </c>
    </row>
    <row r="320" spans="1:32" x14ac:dyDescent="0.25">
      <c r="A320">
        <v>1369</v>
      </c>
      <c r="B320">
        <v>35</v>
      </c>
      <c r="C320" t="s">
        <v>43</v>
      </c>
      <c r="D320" t="s">
        <v>33</v>
      </c>
      <c r="E320" t="s">
        <v>34</v>
      </c>
      <c r="F320" t="s">
        <v>49</v>
      </c>
      <c r="G320" t="s">
        <v>59</v>
      </c>
      <c r="H320" t="s">
        <v>47</v>
      </c>
      <c r="I320" t="s">
        <v>38</v>
      </c>
      <c r="J320" t="s">
        <v>51</v>
      </c>
      <c r="K320">
        <v>4</v>
      </c>
      <c r="L320">
        <v>3</v>
      </c>
      <c r="M320" t="s">
        <v>48</v>
      </c>
      <c r="N320" t="s">
        <v>61</v>
      </c>
      <c r="O320" t="s">
        <v>36</v>
      </c>
      <c r="P320" t="s">
        <v>43</v>
      </c>
      <c r="Q320">
        <v>12</v>
      </c>
      <c r="R320">
        <v>0</v>
      </c>
      <c r="S320">
        <v>10</v>
      </c>
      <c r="T320">
        <v>0</v>
      </c>
      <c r="U320">
        <v>0</v>
      </c>
      <c r="V320">
        <v>1</v>
      </c>
      <c r="W320">
        <v>60</v>
      </c>
      <c r="X320">
        <v>817</v>
      </c>
      <c r="Y320">
        <v>10846</v>
      </c>
      <c r="Z320">
        <v>5363</v>
      </c>
      <c r="AA320">
        <v>0</v>
      </c>
      <c r="AB320">
        <v>32297</v>
      </c>
      <c r="AC320" s="10">
        <v>41820</v>
      </c>
      <c r="AD320" s="10" t="s">
        <v>72</v>
      </c>
      <c r="AE320" t="s">
        <v>72</v>
      </c>
      <c r="AF320" t="s">
        <v>45</v>
      </c>
    </row>
    <row r="321" spans="1:32" x14ac:dyDescent="0.25">
      <c r="A321">
        <v>1677</v>
      </c>
      <c r="B321">
        <v>49</v>
      </c>
      <c r="C321" t="s">
        <v>43</v>
      </c>
      <c r="D321" t="s">
        <v>33</v>
      </c>
      <c r="E321" t="s">
        <v>34</v>
      </c>
      <c r="F321" t="s">
        <v>49</v>
      </c>
      <c r="G321" t="s">
        <v>50</v>
      </c>
      <c r="H321" t="s">
        <v>37</v>
      </c>
      <c r="I321" t="s">
        <v>50</v>
      </c>
      <c r="J321" t="s">
        <v>69</v>
      </c>
      <c r="K321">
        <v>3</v>
      </c>
      <c r="L321">
        <v>1</v>
      </c>
      <c r="M321" t="s">
        <v>48</v>
      </c>
      <c r="N321" t="s">
        <v>41</v>
      </c>
      <c r="O321" t="s">
        <v>42</v>
      </c>
      <c r="P321" t="s">
        <v>43</v>
      </c>
      <c r="Q321">
        <v>14</v>
      </c>
      <c r="R321">
        <v>4</v>
      </c>
      <c r="S321">
        <v>23</v>
      </c>
      <c r="T321">
        <v>0</v>
      </c>
      <c r="U321">
        <v>0</v>
      </c>
      <c r="V321">
        <v>1</v>
      </c>
      <c r="W321">
        <v>36</v>
      </c>
      <c r="X321">
        <v>809</v>
      </c>
      <c r="Y321">
        <v>22384</v>
      </c>
      <c r="Z321">
        <v>15379</v>
      </c>
      <c r="AA321">
        <v>2</v>
      </c>
      <c r="AB321">
        <v>27155</v>
      </c>
      <c r="AC321" s="10">
        <v>42180</v>
      </c>
      <c r="AD321" s="10" t="s">
        <v>72</v>
      </c>
      <c r="AE321" t="s">
        <v>72</v>
      </c>
      <c r="AF321" t="s">
        <v>45</v>
      </c>
    </row>
    <row r="322" spans="1:32" x14ac:dyDescent="0.25">
      <c r="A322">
        <v>586</v>
      </c>
      <c r="B322">
        <v>35</v>
      </c>
      <c r="C322" t="s">
        <v>43</v>
      </c>
      <c r="D322" t="s">
        <v>33</v>
      </c>
      <c r="E322" t="s">
        <v>34</v>
      </c>
      <c r="F322" t="s">
        <v>49</v>
      </c>
      <c r="G322" t="s">
        <v>59</v>
      </c>
      <c r="H322" t="s">
        <v>37</v>
      </c>
      <c r="I322" t="s">
        <v>50</v>
      </c>
      <c r="J322" t="s">
        <v>62</v>
      </c>
      <c r="K322">
        <v>3</v>
      </c>
      <c r="L322">
        <v>3</v>
      </c>
      <c r="M322" t="s">
        <v>48</v>
      </c>
      <c r="N322" t="s">
        <v>61</v>
      </c>
      <c r="O322" t="s">
        <v>42</v>
      </c>
      <c r="P322" t="s">
        <v>32</v>
      </c>
      <c r="Q322">
        <v>12</v>
      </c>
      <c r="R322">
        <v>4</v>
      </c>
      <c r="S322">
        <v>10</v>
      </c>
      <c r="T322">
        <v>0</v>
      </c>
      <c r="U322">
        <v>0</v>
      </c>
      <c r="V322">
        <v>16</v>
      </c>
      <c r="W322">
        <v>72</v>
      </c>
      <c r="X322">
        <v>1276</v>
      </c>
      <c r="Y322">
        <v>14295</v>
      </c>
      <c r="Z322">
        <v>7632</v>
      </c>
      <c r="AA322">
        <v>2</v>
      </c>
      <c r="AB322">
        <v>32042</v>
      </c>
      <c r="AC322" s="10">
        <v>42208</v>
      </c>
      <c r="AD322" s="10" t="s">
        <v>72</v>
      </c>
      <c r="AE322" t="s">
        <v>72</v>
      </c>
      <c r="AF322" t="s">
        <v>55</v>
      </c>
    </row>
    <row r="323" spans="1:32" x14ac:dyDescent="0.25">
      <c r="A323">
        <v>1424</v>
      </c>
      <c r="B323">
        <v>55</v>
      </c>
      <c r="C323" t="s">
        <v>43</v>
      </c>
      <c r="D323" t="s">
        <v>33</v>
      </c>
      <c r="E323" t="s">
        <v>34</v>
      </c>
      <c r="F323" t="s">
        <v>35</v>
      </c>
      <c r="G323" t="s">
        <v>38</v>
      </c>
      <c r="H323" t="s">
        <v>37</v>
      </c>
      <c r="I323" t="s">
        <v>59</v>
      </c>
      <c r="J323" t="s">
        <v>71</v>
      </c>
      <c r="K323">
        <v>4</v>
      </c>
      <c r="L323">
        <v>3</v>
      </c>
      <c r="M323" t="s">
        <v>58</v>
      </c>
      <c r="N323" t="s">
        <v>52</v>
      </c>
      <c r="O323" t="s">
        <v>53</v>
      </c>
      <c r="P323" t="s">
        <v>43</v>
      </c>
      <c r="Q323">
        <v>13</v>
      </c>
      <c r="R323">
        <v>2</v>
      </c>
      <c r="S323">
        <v>31</v>
      </c>
      <c r="T323">
        <v>0</v>
      </c>
      <c r="U323">
        <v>0</v>
      </c>
      <c r="V323">
        <v>1</v>
      </c>
      <c r="W323">
        <v>81</v>
      </c>
      <c r="X323">
        <v>1136</v>
      </c>
      <c r="Y323">
        <v>12414</v>
      </c>
      <c r="Z323">
        <v>14732</v>
      </c>
      <c r="AA323">
        <v>4</v>
      </c>
      <c r="AB323">
        <v>24863</v>
      </c>
      <c r="AC323" s="10">
        <v>42290</v>
      </c>
      <c r="AD323" s="10" t="s">
        <v>72</v>
      </c>
      <c r="AE323" t="s">
        <v>72</v>
      </c>
      <c r="AF323" t="s">
        <v>55</v>
      </c>
    </row>
    <row r="324" spans="1:32" x14ac:dyDescent="0.25">
      <c r="A324">
        <v>2045</v>
      </c>
      <c r="B324">
        <v>36</v>
      </c>
      <c r="C324" t="s">
        <v>43</v>
      </c>
      <c r="D324" t="s">
        <v>33</v>
      </c>
      <c r="E324" t="s">
        <v>56</v>
      </c>
      <c r="F324" t="s">
        <v>35</v>
      </c>
      <c r="G324" t="s">
        <v>38</v>
      </c>
      <c r="H324" t="s">
        <v>47</v>
      </c>
      <c r="I324" t="s">
        <v>38</v>
      </c>
      <c r="J324" t="s">
        <v>57</v>
      </c>
      <c r="K324">
        <v>4</v>
      </c>
      <c r="L324">
        <v>3</v>
      </c>
      <c r="M324" t="s">
        <v>60</v>
      </c>
      <c r="N324" t="s">
        <v>61</v>
      </c>
      <c r="O324" t="s">
        <v>36</v>
      </c>
      <c r="P324" t="s">
        <v>43</v>
      </c>
      <c r="Q324">
        <v>13</v>
      </c>
      <c r="R324">
        <v>4</v>
      </c>
      <c r="S324">
        <v>8</v>
      </c>
      <c r="T324">
        <v>0</v>
      </c>
      <c r="U324">
        <v>0</v>
      </c>
      <c r="V324">
        <v>11</v>
      </c>
      <c r="W324">
        <v>100</v>
      </c>
      <c r="X324">
        <v>1120</v>
      </c>
      <c r="Y324">
        <v>14369</v>
      </c>
      <c r="Z324">
        <v>6652</v>
      </c>
      <c r="AA324">
        <v>2</v>
      </c>
      <c r="AB324">
        <v>31766</v>
      </c>
      <c r="AC324" s="10">
        <v>42758</v>
      </c>
      <c r="AD324" s="10" t="s">
        <v>72</v>
      </c>
      <c r="AE324" t="s">
        <v>72</v>
      </c>
      <c r="AF324" t="s">
        <v>45</v>
      </c>
    </row>
    <row r="325" spans="1:32" x14ac:dyDescent="0.25">
      <c r="A325">
        <v>1371</v>
      </c>
      <c r="B325">
        <v>27</v>
      </c>
      <c r="C325" t="s">
        <v>43</v>
      </c>
      <c r="D325" t="s">
        <v>46</v>
      </c>
      <c r="E325" t="s">
        <v>56</v>
      </c>
      <c r="F325" t="s">
        <v>64</v>
      </c>
      <c r="G325" t="s">
        <v>59</v>
      </c>
      <c r="H325" t="s">
        <v>37</v>
      </c>
      <c r="I325" t="s">
        <v>36</v>
      </c>
      <c r="J325" t="s">
        <v>57</v>
      </c>
      <c r="K325">
        <v>4</v>
      </c>
      <c r="L325">
        <v>4</v>
      </c>
      <c r="M325" t="s">
        <v>48</v>
      </c>
      <c r="N325" t="s">
        <v>41</v>
      </c>
      <c r="O325" t="s">
        <v>42</v>
      </c>
      <c r="P325" t="s">
        <v>43</v>
      </c>
      <c r="Q325">
        <v>20</v>
      </c>
      <c r="R325">
        <v>3</v>
      </c>
      <c r="S325">
        <v>8</v>
      </c>
      <c r="T325">
        <v>0</v>
      </c>
      <c r="U325">
        <v>0</v>
      </c>
      <c r="V325">
        <v>2</v>
      </c>
      <c r="W325">
        <v>43</v>
      </c>
      <c r="X325">
        <v>793</v>
      </c>
      <c r="Y325">
        <v>20392</v>
      </c>
      <c r="Z325">
        <v>5071</v>
      </c>
      <c r="AA325">
        <v>3</v>
      </c>
      <c r="AB325">
        <v>35195</v>
      </c>
      <c r="AC325" s="10">
        <v>42884</v>
      </c>
      <c r="AD325" s="10" t="s">
        <v>72</v>
      </c>
      <c r="AE325" t="s">
        <v>72</v>
      </c>
      <c r="AF325" t="s">
        <v>55</v>
      </c>
    </row>
    <row r="326" spans="1:32" x14ac:dyDescent="0.25">
      <c r="A326">
        <v>1516</v>
      </c>
      <c r="B326">
        <v>32</v>
      </c>
      <c r="C326" t="s">
        <v>43</v>
      </c>
      <c r="D326" t="s">
        <v>33</v>
      </c>
      <c r="E326" t="s">
        <v>34</v>
      </c>
      <c r="F326" t="s">
        <v>49</v>
      </c>
      <c r="G326" t="s">
        <v>50</v>
      </c>
      <c r="H326" t="s">
        <v>37</v>
      </c>
      <c r="I326" t="s">
        <v>50</v>
      </c>
      <c r="J326" t="s">
        <v>69</v>
      </c>
      <c r="K326">
        <v>4</v>
      </c>
      <c r="L326">
        <v>4</v>
      </c>
      <c r="M326" t="s">
        <v>58</v>
      </c>
      <c r="N326" t="s">
        <v>41</v>
      </c>
      <c r="O326" t="s">
        <v>42</v>
      </c>
      <c r="P326" t="s">
        <v>43</v>
      </c>
      <c r="Q326">
        <v>25</v>
      </c>
      <c r="R326">
        <v>2</v>
      </c>
      <c r="S326">
        <v>10</v>
      </c>
      <c r="T326">
        <v>0</v>
      </c>
      <c r="U326">
        <v>0</v>
      </c>
      <c r="V326">
        <v>10</v>
      </c>
      <c r="W326">
        <v>64</v>
      </c>
      <c r="X326">
        <v>495</v>
      </c>
      <c r="Y326">
        <v>21072</v>
      </c>
      <c r="Z326">
        <v>11244</v>
      </c>
      <c r="AA326">
        <v>5</v>
      </c>
      <c r="AB326">
        <v>33232</v>
      </c>
      <c r="AC326" s="10">
        <v>42976</v>
      </c>
      <c r="AD326" s="10" t="s">
        <v>72</v>
      </c>
      <c r="AE326" t="s">
        <v>72</v>
      </c>
      <c r="AF326" t="s">
        <v>45</v>
      </c>
    </row>
    <row r="327" spans="1:32" x14ac:dyDescent="0.25">
      <c r="A327">
        <v>499</v>
      </c>
      <c r="B327">
        <v>49</v>
      </c>
      <c r="C327" t="s">
        <v>43</v>
      </c>
      <c r="D327" t="s">
        <v>33</v>
      </c>
      <c r="E327" t="s">
        <v>34</v>
      </c>
      <c r="F327" t="s">
        <v>49</v>
      </c>
      <c r="G327" t="s">
        <v>38</v>
      </c>
      <c r="H327" t="s">
        <v>37</v>
      </c>
      <c r="I327" t="s">
        <v>38</v>
      </c>
      <c r="J327" t="s">
        <v>62</v>
      </c>
      <c r="K327">
        <v>3</v>
      </c>
      <c r="L327">
        <v>4</v>
      </c>
      <c r="M327" t="s">
        <v>48</v>
      </c>
      <c r="N327" t="s">
        <v>41</v>
      </c>
      <c r="O327" t="s">
        <v>42</v>
      </c>
      <c r="P327" t="s">
        <v>43</v>
      </c>
      <c r="Q327">
        <v>24</v>
      </c>
      <c r="R327">
        <v>8</v>
      </c>
      <c r="S327">
        <v>26</v>
      </c>
      <c r="T327">
        <v>0</v>
      </c>
      <c r="U327">
        <v>0</v>
      </c>
      <c r="V327">
        <v>7</v>
      </c>
      <c r="W327">
        <v>31</v>
      </c>
      <c r="X327">
        <v>1261</v>
      </c>
      <c r="Y327">
        <v>12066</v>
      </c>
      <c r="Z327">
        <v>10965</v>
      </c>
      <c r="AA327">
        <v>2</v>
      </c>
      <c r="AB327">
        <v>26943</v>
      </c>
      <c r="AC327" s="10">
        <v>43015</v>
      </c>
      <c r="AD327" s="10" t="s">
        <v>72</v>
      </c>
      <c r="AE327" t="s">
        <v>72</v>
      </c>
      <c r="AF327" t="s">
        <v>45</v>
      </c>
    </row>
    <row r="328" spans="1:32" x14ac:dyDescent="0.25">
      <c r="A328">
        <v>1622</v>
      </c>
      <c r="B328">
        <v>28</v>
      </c>
      <c r="C328" t="s">
        <v>43</v>
      </c>
      <c r="D328" t="s">
        <v>33</v>
      </c>
      <c r="E328" t="s">
        <v>34</v>
      </c>
      <c r="F328" t="s">
        <v>49</v>
      </c>
      <c r="G328" t="s">
        <v>38</v>
      </c>
      <c r="H328" t="s">
        <v>47</v>
      </c>
      <c r="I328" t="s">
        <v>36</v>
      </c>
      <c r="J328" t="s">
        <v>65</v>
      </c>
      <c r="K328">
        <v>1</v>
      </c>
      <c r="L328">
        <v>4</v>
      </c>
      <c r="M328" t="s">
        <v>60</v>
      </c>
      <c r="N328" t="s">
        <v>52</v>
      </c>
      <c r="O328" t="s">
        <v>36</v>
      </c>
      <c r="P328" t="s">
        <v>43</v>
      </c>
      <c r="Q328">
        <v>21</v>
      </c>
      <c r="R328">
        <v>0</v>
      </c>
      <c r="S328">
        <v>6</v>
      </c>
      <c r="T328">
        <v>0</v>
      </c>
      <c r="U328">
        <v>0</v>
      </c>
      <c r="V328">
        <v>27</v>
      </c>
      <c r="W328">
        <v>39</v>
      </c>
      <c r="X328">
        <v>580</v>
      </c>
      <c r="Y328">
        <v>20460</v>
      </c>
      <c r="Z328">
        <v>4877</v>
      </c>
      <c r="AA328">
        <v>5</v>
      </c>
      <c r="AB328">
        <v>34783</v>
      </c>
      <c r="AC328" s="10">
        <v>43087</v>
      </c>
      <c r="AD328" s="10" t="s">
        <v>72</v>
      </c>
      <c r="AE328" t="s">
        <v>72</v>
      </c>
      <c r="AF328" t="s">
        <v>45</v>
      </c>
    </row>
    <row r="329" spans="1:32" x14ac:dyDescent="0.25">
      <c r="A329">
        <v>1212</v>
      </c>
      <c r="B329">
        <v>40</v>
      </c>
      <c r="C329" t="s">
        <v>43</v>
      </c>
      <c r="D329" t="s">
        <v>46</v>
      </c>
      <c r="E329" t="s">
        <v>56</v>
      </c>
      <c r="F329" t="s">
        <v>35</v>
      </c>
      <c r="G329" t="s">
        <v>38</v>
      </c>
      <c r="H329" t="s">
        <v>37</v>
      </c>
      <c r="I329" t="s">
        <v>50</v>
      </c>
      <c r="J329" t="s">
        <v>57</v>
      </c>
      <c r="K329">
        <v>2</v>
      </c>
      <c r="L329">
        <v>3</v>
      </c>
      <c r="M329" t="s">
        <v>48</v>
      </c>
      <c r="N329" t="s">
        <v>61</v>
      </c>
      <c r="O329" t="s">
        <v>50</v>
      </c>
      <c r="P329" t="s">
        <v>43</v>
      </c>
      <c r="Q329">
        <v>12</v>
      </c>
      <c r="R329">
        <v>5</v>
      </c>
      <c r="S329">
        <v>5</v>
      </c>
      <c r="T329">
        <v>0</v>
      </c>
      <c r="U329">
        <v>0</v>
      </c>
      <c r="V329">
        <v>2</v>
      </c>
      <c r="W329">
        <v>62</v>
      </c>
      <c r="X329">
        <v>1184</v>
      </c>
      <c r="Y329">
        <v>25440</v>
      </c>
      <c r="Z329">
        <v>4327</v>
      </c>
      <c r="AA329">
        <v>2</v>
      </c>
      <c r="AB329">
        <v>30284</v>
      </c>
      <c r="AC329" s="10">
        <v>44227</v>
      </c>
      <c r="AD329" s="10" t="s">
        <v>72</v>
      </c>
      <c r="AE329" t="s">
        <v>72</v>
      </c>
      <c r="AF329" t="s">
        <v>45</v>
      </c>
    </row>
    <row r="330" spans="1:32" x14ac:dyDescent="0.25">
      <c r="A330">
        <v>467</v>
      </c>
      <c r="B330">
        <v>47</v>
      </c>
      <c r="C330" t="s">
        <v>43</v>
      </c>
      <c r="D330" t="s">
        <v>46</v>
      </c>
      <c r="E330" t="s">
        <v>56</v>
      </c>
      <c r="F330" t="s">
        <v>64</v>
      </c>
      <c r="G330" t="s">
        <v>38</v>
      </c>
      <c r="H330" t="s">
        <v>37</v>
      </c>
      <c r="I330" t="s">
        <v>50</v>
      </c>
      <c r="J330" t="s">
        <v>66</v>
      </c>
      <c r="K330">
        <v>3</v>
      </c>
      <c r="L330">
        <v>3</v>
      </c>
      <c r="M330" t="s">
        <v>48</v>
      </c>
      <c r="N330" t="s">
        <v>41</v>
      </c>
      <c r="O330" t="s">
        <v>42</v>
      </c>
      <c r="P330" t="s">
        <v>43</v>
      </c>
      <c r="Q330">
        <v>19</v>
      </c>
      <c r="R330">
        <v>3</v>
      </c>
      <c r="S330">
        <v>5</v>
      </c>
      <c r="T330">
        <v>0</v>
      </c>
      <c r="U330">
        <v>0</v>
      </c>
      <c r="V330">
        <v>4</v>
      </c>
      <c r="W330">
        <v>99</v>
      </c>
      <c r="X330">
        <v>1309</v>
      </c>
      <c r="Y330">
        <v>25751</v>
      </c>
      <c r="Z330">
        <v>2976</v>
      </c>
      <c r="AA330">
        <v>3</v>
      </c>
      <c r="AB330">
        <v>27831</v>
      </c>
      <c r="AC330" s="10">
        <v>44244</v>
      </c>
      <c r="AD330" s="10" t="s">
        <v>72</v>
      </c>
      <c r="AE330" t="s">
        <v>72</v>
      </c>
      <c r="AF330" t="s">
        <v>45</v>
      </c>
    </row>
    <row r="331" spans="1:32" x14ac:dyDescent="0.25">
      <c r="A331">
        <v>366</v>
      </c>
      <c r="B331">
        <v>29</v>
      </c>
      <c r="C331" t="s">
        <v>43</v>
      </c>
      <c r="D331" t="s">
        <v>33</v>
      </c>
      <c r="E331" t="s">
        <v>56</v>
      </c>
      <c r="F331" t="s">
        <v>49</v>
      </c>
      <c r="G331" t="s">
        <v>36</v>
      </c>
      <c r="H331" t="s">
        <v>37</v>
      </c>
      <c r="I331" t="s">
        <v>38</v>
      </c>
      <c r="J331" t="s">
        <v>57</v>
      </c>
      <c r="K331">
        <v>2</v>
      </c>
      <c r="L331">
        <v>3</v>
      </c>
      <c r="M331" t="s">
        <v>48</v>
      </c>
      <c r="N331" t="s">
        <v>61</v>
      </c>
      <c r="O331" t="s">
        <v>53</v>
      </c>
      <c r="P331" t="s">
        <v>43</v>
      </c>
      <c r="Q331">
        <v>19</v>
      </c>
      <c r="R331">
        <v>2</v>
      </c>
      <c r="S331">
        <v>10</v>
      </c>
      <c r="T331">
        <v>0</v>
      </c>
      <c r="U331">
        <v>0</v>
      </c>
      <c r="V331">
        <v>2</v>
      </c>
      <c r="W331">
        <v>78</v>
      </c>
      <c r="X331">
        <v>1210</v>
      </c>
      <c r="Y331">
        <v>3687</v>
      </c>
      <c r="Z331">
        <v>6644</v>
      </c>
      <c r="AA331">
        <v>2</v>
      </c>
      <c r="AB331">
        <v>34311</v>
      </c>
      <c r="AC331" s="10">
        <v>44248</v>
      </c>
      <c r="AD331" s="10" t="s">
        <v>72</v>
      </c>
      <c r="AE331" t="s">
        <v>72</v>
      </c>
      <c r="AF331" t="s">
        <v>45</v>
      </c>
    </row>
    <row r="332" spans="1:32" x14ac:dyDescent="0.25">
      <c r="A332">
        <v>618</v>
      </c>
      <c r="B332">
        <v>26</v>
      </c>
      <c r="C332" t="s">
        <v>43</v>
      </c>
      <c r="D332" t="s">
        <v>33</v>
      </c>
      <c r="E332" t="s">
        <v>56</v>
      </c>
      <c r="F332" t="s">
        <v>67</v>
      </c>
      <c r="G332" t="s">
        <v>36</v>
      </c>
      <c r="H332" t="s">
        <v>37</v>
      </c>
      <c r="I332" t="s">
        <v>50</v>
      </c>
      <c r="J332" t="s">
        <v>57</v>
      </c>
      <c r="K332">
        <v>3</v>
      </c>
      <c r="L332">
        <v>3</v>
      </c>
      <c r="M332" t="s">
        <v>48</v>
      </c>
      <c r="N332" t="s">
        <v>52</v>
      </c>
      <c r="O332" t="s">
        <v>53</v>
      </c>
      <c r="P332" t="s">
        <v>43</v>
      </c>
      <c r="Q332">
        <v>12</v>
      </c>
      <c r="R332">
        <v>5</v>
      </c>
      <c r="S332">
        <v>8</v>
      </c>
      <c r="T332">
        <v>0</v>
      </c>
      <c r="U332">
        <v>0</v>
      </c>
      <c r="V332">
        <v>29</v>
      </c>
      <c r="W332">
        <v>45</v>
      </c>
      <c r="X332">
        <v>775</v>
      </c>
      <c r="Y332">
        <v>4267</v>
      </c>
      <c r="Z332">
        <v>4306</v>
      </c>
      <c r="AA332">
        <v>5</v>
      </c>
      <c r="AB332">
        <v>35542</v>
      </c>
      <c r="AC332" s="10">
        <v>44257</v>
      </c>
      <c r="AD332" s="10" t="s">
        <v>72</v>
      </c>
      <c r="AE332" t="s">
        <v>72</v>
      </c>
      <c r="AF332" t="s">
        <v>45</v>
      </c>
    </row>
    <row r="333" spans="1:32" x14ac:dyDescent="0.25">
      <c r="A333">
        <v>1853</v>
      </c>
      <c r="B333">
        <v>32</v>
      </c>
      <c r="C333" t="s">
        <v>43</v>
      </c>
      <c r="D333" t="s">
        <v>46</v>
      </c>
      <c r="E333" t="s">
        <v>56</v>
      </c>
      <c r="F333" t="s">
        <v>35</v>
      </c>
      <c r="G333" t="s">
        <v>59</v>
      </c>
      <c r="H333" t="s">
        <v>37</v>
      </c>
      <c r="I333" t="s">
        <v>50</v>
      </c>
      <c r="J333" t="s">
        <v>57</v>
      </c>
      <c r="K333">
        <v>4</v>
      </c>
      <c r="L333">
        <v>3</v>
      </c>
      <c r="M333" t="s">
        <v>58</v>
      </c>
      <c r="N333" t="s">
        <v>41</v>
      </c>
      <c r="O333" t="s">
        <v>42</v>
      </c>
      <c r="P333" t="s">
        <v>43</v>
      </c>
      <c r="Q333">
        <v>13</v>
      </c>
      <c r="R333">
        <v>8</v>
      </c>
      <c r="S333">
        <v>4</v>
      </c>
      <c r="T333">
        <v>0</v>
      </c>
      <c r="U333">
        <v>0</v>
      </c>
      <c r="V333">
        <v>10</v>
      </c>
      <c r="W333">
        <v>79</v>
      </c>
      <c r="X333">
        <v>1318</v>
      </c>
      <c r="Y333">
        <v>26075</v>
      </c>
      <c r="Z333">
        <v>4648</v>
      </c>
      <c r="AA333">
        <v>2</v>
      </c>
      <c r="AB333">
        <v>33270</v>
      </c>
      <c r="AC333" s="10">
        <v>44258</v>
      </c>
      <c r="AD333" s="10" t="s">
        <v>72</v>
      </c>
      <c r="AE333" t="s">
        <v>72</v>
      </c>
      <c r="AF333" t="s">
        <v>45</v>
      </c>
    </row>
    <row r="334" spans="1:32" x14ac:dyDescent="0.25">
      <c r="A334">
        <v>72</v>
      </c>
      <c r="B334">
        <v>26</v>
      </c>
      <c r="C334" t="s">
        <v>43</v>
      </c>
      <c r="D334" t="s">
        <v>33</v>
      </c>
      <c r="E334" t="s">
        <v>56</v>
      </c>
      <c r="F334" t="s">
        <v>49</v>
      </c>
      <c r="G334" t="s">
        <v>50</v>
      </c>
      <c r="H334" t="s">
        <v>47</v>
      </c>
      <c r="I334" t="s">
        <v>38</v>
      </c>
      <c r="J334" t="s">
        <v>57</v>
      </c>
      <c r="K334">
        <v>4</v>
      </c>
      <c r="L334">
        <v>3</v>
      </c>
      <c r="M334" t="s">
        <v>60</v>
      </c>
      <c r="N334" t="s">
        <v>61</v>
      </c>
      <c r="O334" t="s">
        <v>36</v>
      </c>
      <c r="P334" t="s">
        <v>32</v>
      </c>
      <c r="Q334">
        <v>19</v>
      </c>
      <c r="R334">
        <v>7</v>
      </c>
      <c r="S334">
        <v>5</v>
      </c>
      <c r="T334">
        <v>0</v>
      </c>
      <c r="U334">
        <v>0</v>
      </c>
      <c r="V334">
        <v>23</v>
      </c>
      <c r="W334">
        <v>47</v>
      </c>
      <c r="X334">
        <v>1443</v>
      </c>
      <c r="Y334">
        <v>21436</v>
      </c>
      <c r="Z334">
        <v>4157</v>
      </c>
      <c r="AA334">
        <v>2</v>
      </c>
      <c r="AB334">
        <v>35290</v>
      </c>
      <c r="AC334" s="10">
        <v>44286</v>
      </c>
      <c r="AD334" s="10" t="s">
        <v>72</v>
      </c>
      <c r="AE334" t="s">
        <v>72</v>
      </c>
      <c r="AF334" t="s">
        <v>45</v>
      </c>
    </row>
    <row r="335" spans="1:32" x14ac:dyDescent="0.25">
      <c r="A335">
        <v>1935</v>
      </c>
      <c r="B335">
        <v>56</v>
      </c>
      <c r="C335" t="s">
        <v>43</v>
      </c>
      <c r="D335" t="s">
        <v>33</v>
      </c>
      <c r="E335" t="s">
        <v>56</v>
      </c>
      <c r="F335" t="s">
        <v>70</v>
      </c>
      <c r="G335" t="s">
        <v>59</v>
      </c>
      <c r="H335" t="s">
        <v>47</v>
      </c>
      <c r="I335" t="s">
        <v>38</v>
      </c>
      <c r="J335" t="s">
        <v>57</v>
      </c>
      <c r="K335">
        <v>1</v>
      </c>
      <c r="L335">
        <v>3</v>
      </c>
      <c r="M335" t="s">
        <v>48</v>
      </c>
      <c r="N335" t="s">
        <v>61</v>
      </c>
      <c r="O335" t="s">
        <v>36</v>
      </c>
      <c r="P335" t="s">
        <v>43</v>
      </c>
      <c r="Q335">
        <v>16</v>
      </c>
      <c r="R335">
        <v>4</v>
      </c>
      <c r="S335">
        <v>6</v>
      </c>
      <c r="T335">
        <v>0</v>
      </c>
      <c r="U335">
        <v>0</v>
      </c>
      <c r="V335">
        <v>11</v>
      </c>
      <c r="W335">
        <v>89</v>
      </c>
      <c r="X335">
        <v>1443</v>
      </c>
      <c r="Y335">
        <v>20328</v>
      </c>
      <c r="Z335">
        <v>5380</v>
      </c>
      <c r="AA335">
        <v>3</v>
      </c>
      <c r="AB335">
        <v>24364</v>
      </c>
      <c r="AC335" s="10">
        <v>44288</v>
      </c>
      <c r="AD335" s="10" t="s">
        <v>72</v>
      </c>
      <c r="AE335" t="s">
        <v>72</v>
      </c>
      <c r="AF335" t="s">
        <v>45</v>
      </c>
    </row>
    <row r="336" spans="1:32" x14ac:dyDescent="0.25">
      <c r="A336">
        <v>775</v>
      </c>
      <c r="B336">
        <v>34</v>
      </c>
      <c r="C336" t="s">
        <v>43</v>
      </c>
      <c r="D336" t="s">
        <v>33</v>
      </c>
      <c r="E336" t="s">
        <v>34</v>
      </c>
      <c r="F336" t="s">
        <v>70</v>
      </c>
      <c r="G336" t="s">
        <v>38</v>
      </c>
      <c r="H336" t="s">
        <v>47</v>
      </c>
      <c r="I336" t="s">
        <v>50</v>
      </c>
      <c r="J336" t="s">
        <v>65</v>
      </c>
      <c r="K336">
        <v>1</v>
      </c>
      <c r="L336">
        <v>3</v>
      </c>
      <c r="M336" t="s">
        <v>48</v>
      </c>
      <c r="N336" t="s">
        <v>52</v>
      </c>
      <c r="O336" t="s">
        <v>36</v>
      </c>
      <c r="P336" t="s">
        <v>43</v>
      </c>
      <c r="Q336">
        <v>14</v>
      </c>
      <c r="R336">
        <v>3</v>
      </c>
      <c r="S336">
        <v>7</v>
      </c>
      <c r="T336">
        <v>0</v>
      </c>
      <c r="U336">
        <v>0</v>
      </c>
      <c r="V336">
        <v>8</v>
      </c>
      <c r="W336">
        <v>32</v>
      </c>
      <c r="X336">
        <v>167</v>
      </c>
      <c r="Y336">
        <v>4187</v>
      </c>
      <c r="Z336">
        <v>5121</v>
      </c>
      <c r="AA336">
        <v>3</v>
      </c>
      <c r="AB336">
        <v>32643</v>
      </c>
      <c r="AC336" s="10">
        <v>44317</v>
      </c>
      <c r="AD336" s="10" t="s">
        <v>72</v>
      </c>
      <c r="AE336" t="s">
        <v>72</v>
      </c>
      <c r="AF336" t="s">
        <v>45</v>
      </c>
    </row>
    <row r="337" spans="1:32" x14ac:dyDescent="0.25">
      <c r="A337">
        <v>1306</v>
      </c>
      <c r="B337">
        <v>45</v>
      </c>
      <c r="C337" t="s">
        <v>43</v>
      </c>
      <c r="D337" t="s">
        <v>46</v>
      </c>
      <c r="E337" t="s">
        <v>34</v>
      </c>
      <c r="F337" t="s">
        <v>49</v>
      </c>
      <c r="G337" t="s">
        <v>38</v>
      </c>
      <c r="H337" t="s">
        <v>47</v>
      </c>
      <c r="I337" t="s">
        <v>50</v>
      </c>
      <c r="J337" t="s">
        <v>69</v>
      </c>
      <c r="K337">
        <v>2</v>
      </c>
      <c r="L337">
        <v>4</v>
      </c>
      <c r="M337" t="s">
        <v>48</v>
      </c>
      <c r="N337" t="s">
        <v>41</v>
      </c>
      <c r="O337" t="s">
        <v>42</v>
      </c>
      <c r="P337" t="s">
        <v>43</v>
      </c>
      <c r="Q337">
        <v>22</v>
      </c>
      <c r="R337">
        <v>3</v>
      </c>
      <c r="S337">
        <v>22</v>
      </c>
      <c r="T337">
        <v>0</v>
      </c>
      <c r="U337">
        <v>0</v>
      </c>
      <c r="V337">
        <v>25</v>
      </c>
      <c r="W337">
        <v>83</v>
      </c>
      <c r="X337">
        <v>364</v>
      </c>
      <c r="Y337">
        <v>13035</v>
      </c>
      <c r="Z337">
        <v>18061</v>
      </c>
      <c r="AA337">
        <v>4</v>
      </c>
      <c r="AB337">
        <v>28388</v>
      </c>
      <c r="AC337" s="10">
        <v>44318</v>
      </c>
      <c r="AD337" s="10" t="s">
        <v>72</v>
      </c>
      <c r="AE337" t="s">
        <v>72</v>
      </c>
      <c r="AF337" t="s">
        <v>45</v>
      </c>
    </row>
    <row r="338" spans="1:32" x14ac:dyDescent="0.25">
      <c r="A338">
        <v>1943</v>
      </c>
      <c r="B338">
        <v>42</v>
      </c>
      <c r="C338" t="s">
        <v>43</v>
      </c>
      <c r="D338" t="s">
        <v>33</v>
      </c>
      <c r="E338" t="s">
        <v>56</v>
      </c>
      <c r="F338" t="s">
        <v>35</v>
      </c>
      <c r="G338" t="s">
        <v>38</v>
      </c>
      <c r="H338" t="s">
        <v>37</v>
      </c>
      <c r="I338" t="s">
        <v>50</v>
      </c>
      <c r="J338" t="s">
        <v>57</v>
      </c>
      <c r="K338">
        <v>4</v>
      </c>
      <c r="L338">
        <v>3</v>
      </c>
      <c r="M338" t="s">
        <v>48</v>
      </c>
      <c r="N338" t="s">
        <v>52</v>
      </c>
      <c r="O338" t="s">
        <v>53</v>
      </c>
      <c r="P338" t="s">
        <v>32</v>
      </c>
      <c r="Q338">
        <v>12</v>
      </c>
      <c r="R338">
        <v>3</v>
      </c>
      <c r="S338">
        <v>14</v>
      </c>
      <c r="T338">
        <v>0</v>
      </c>
      <c r="U338">
        <v>0</v>
      </c>
      <c r="V338">
        <v>12</v>
      </c>
      <c r="W338">
        <v>77</v>
      </c>
      <c r="X338">
        <v>419</v>
      </c>
      <c r="Y338">
        <v>2900</v>
      </c>
      <c r="Z338">
        <v>5087</v>
      </c>
      <c r="AA338">
        <v>4</v>
      </c>
      <c r="AB338">
        <v>29794</v>
      </c>
      <c r="AC338" s="10">
        <v>44365</v>
      </c>
      <c r="AD338" s="10" t="s">
        <v>72</v>
      </c>
      <c r="AE338" t="s">
        <v>72</v>
      </c>
      <c r="AF338" t="s">
        <v>45</v>
      </c>
    </row>
    <row r="339" spans="1:32" x14ac:dyDescent="0.25">
      <c r="A339">
        <v>1036</v>
      </c>
      <c r="B339">
        <v>38</v>
      </c>
      <c r="C339" t="s">
        <v>43</v>
      </c>
      <c r="D339" t="s">
        <v>33</v>
      </c>
      <c r="E339" t="s">
        <v>56</v>
      </c>
      <c r="F339" t="s">
        <v>35</v>
      </c>
      <c r="G339" t="s">
        <v>38</v>
      </c>
      <c r="H339" t="s">
        <v>37</v>
      </c>
      <c r="I339" t="s">
        <v>50</v>
      </c>
      <c r="J339" t="s">
        <v>57</v>
      </c>
      <c r="K339">
        <v>4</v>
      </c>
      <c r="L339">
        <v>3</v>
      </c>
      <c r="M339" t="s">
        <v>48</v>
      </c>
      <c r="N339" t="s">
        <v>41</v>
      </c>
      <c r="O339" t="s">
        <v>42</v>
      </c>
      <c r="P339" t="s">
        <v>32</v>
      </c>
      <c r="Q339">
        <v>12</v>
      </c>
      <c r="R339">
        <v>8</v>
      </c>
      <c r="S339">
        <v>19</v>
      </c>
      <c r="T339">
        <v>0</v>
      </c>
      <c r="U339">
        <v>0</v>
      </c>
      <c r="V339">
        <v>3</v>
      </c>
      <c r="W339">
        <v>42</v>
      </c>
      <c r="X339">
        <v>1035</v>
      </c>
      <c r="Y339">
        <v>4981</v>
      </c>
      <c r="Z339">
        <v>6861</v>
      </c>
      <c r="AA339">
        <v>1</v>
      </c>
      <c r="AB339">
        <v>31093</v>
      </c>
      <c r="AC339" s="10">
        <v>44407</v>
      </c>
      <c r="AD339" s="10" t="s">
        <v>72</v>
      </c>
      <c r="AE339" t="s">
        <v>72</v>
      </c>
      <c r="AF339" t="s">
        <v>45</v>
      </c>
    </row>
    <row r="340" spans="1:32" x14ac:dyDescent="0.25">
      <c r="A340">
        <v>271</v>
      </c>
      <c r="B340">
        <v>38</v>
      </c>
      <c r="C340" t="s">
        <v>43</v>
      </c>
      <c r="D340" t="s">
        <v>33</v>
      </c>
      <c r="E340" t="s">
        <v>34</v>
      </c>
      <c r="F340" t="s">
        <v>35</v>
      </c>
      <c r="G340" t="s">
        <v>59</v>
      </c>
      <c r="H340" t="s">
        <v>37</v>
      </c>
      <c r="I340" t="s">
        <v>50</v>
      </c>
      <c r="J340" t="s">
        <v>65</v>
      </c>
      <c r="K340">
        <v>3</v>
      </c>
      <c r="L340">
        <v>3</v>
      </c>
      <c r="M340" t="s">
        <v>48</v>
      </c>
      <c r="N340" t="s">
        <v>61</v>
      </c>
      <c r="O340" t="s">
        <v>42</v>
      </c>
      <c r="P340" t="s">
        <v>43</v>
      </c>
      <c r="Q340">
        <v>14</v>
      </c>
      <c r="R340">
        <v>9</v>
      </c>
      <c r="S340">
        <v>14</v>
      </c>
      <c r="T340">
        <v>0</v>
      </c>
      <c r="U340">
        <v>0</v>
      </c>
      <c r="V340">
        <v>2</v>
      </c>
      <c r="W340">
        <v>88</v>
      </c>
      <c r="X340">
        <v>1261</v>
      </c>
      <c r="Y340">
        <v>7259</v>
      </c>
      <c r="Z340">
        <v>6553</v>
      </c>
      <c r="AA340">
        <v>3</v>
      </c>
      <c r="AB340">
        <v>31189</v>
      </c>
      <c r="AC340" s="10">
        <v>44411</v>
      </c>
      <c r="AD340" s="10" t="s">
        <v>72</v>
      </c>
      <c r="AE340" t="s">
        <v>72</v>
      </c>
      <c r="AF340" t="s">
        <v>45</v>
      </c>
    </row>
    <row r="341" spans="1:32" x14ac:dyDescent="0.25">
      <c r="A341">
        <v>1263</v>
      </c>
      <c r="B341">
        <v>48</v>
      </c>
      <c r="C341" t="s">
        <v>43</v>
      </c>
      <c r="D341" t="s">
        <v>33</v>
      </c>
      <c r="E341" t="s">
        <v>34</v>
      </c>
      <c r="F341" t="s">
        <v>49</v>
      </c>
      <c r="G341" t="s">
        <v>59</v>
      </c>
      <c r="H341" t="s">
        <v>37</v>
      </c>
      <c r="I341" t="s">
        <v>38</v>
      </c>
      <c r="J341" t="s">
        <v>71</v>
      </c>
      <c r="K341">
        <v>4</v>
      </c>
      <c r="L341">
        <v>3</v>
      </c>
      <c r="M341" t="s">
        <v>58</v>
      </c>
      <c r="N341" t="s">
        <v>41</v>
      </c>
      <c r="O341" t="s">
        <v>42</v>
      </c>
      <c r="P341" t="s">
        <v>43</v>
      </c>
      <c r="Q341">
        <v>12</v>
      </c>
      <c r="R341">
        <v>6</v>
      </c>
      <c r="S341">
        <v>25</v>
      </c>
      <c r="T341">
        <v>0</v>
      </c>
      <c r="U341">
        <v>0</v>
      </c>
      <c r="V341">
        <v>1</v>
      </c>
      <c r="W341">
        <v>76</v>
      </c>
      <c r="X341">
        <v>715</v>
      </c>
      <c r="Y341">
        <v>8733</v>
      </c>
      <c r="Z341">
        <v>18265</v>
      </c>
      <c r="AA341">
        <v>3</v>
      </c>
      <c r="AB341">
        <v>27533</v>
      </c>
      <c r="AC341" s="10">
        <v>44423</v>
      </c>
      <c r="AD341" s="10" t="s">
        <v>72</v>
      </c>
      <c r="AE341" t="s">
        <v>72</v>
      </c>
      <c r="AF341" t="s">
        <v>45</v>
      </c>
    </row>
    <row r="342" spans="1:32" x14ac:dyDescent="0.25">
      <c r="A342">
        <v>86</v>
      </c>
      <c r="B342">
        <v>45</v>
      </c>
      <c r="C342" t="s">
        <v>43</v>
      </c>
      <c r="D342" t="s">
        <v>33</v>
      </c>
      <c r="E342" t="s">
        <v>34</v>
      </c>
      <c r="F342" t="s">
        <v>49</v>
      </c>
      <c r="G342" t="s">
        <v>38</v>
      </c>
      <c r="H342" t="s">
        <v>37</v>
      </c>
      <c r="I342" t="s">
        <v>50</v>
      </c>
      <c r="J342" t="s">
        <v>39</v>
      </c>
      <c r="K342">
        <v>1</v>
      </c>
      <c r="L342">
        <v>3</v>
      </c>
      <c r="M342" t="s">
        <v>48</v>
      </c>
      <c r="N342" t="s">
        <v>52</v>
      </c>
      <c r="O342" t="s">
        <v>36</v>
      </c>
      <c r="P342" t="s">
        <v>43</v>
      </c>
      <c r="Q342">
        <v>17</v>
      </c>
      <c r="R342">
        <v>2</v>
      </c>
      <c r="S342">
        <v>25</v>
      </c>
      <c r="T342">
        <v>0</v>
      </c>
      <c r="U342">
        <v>0</v>
      </c>
      <c r="V342">
        <v>7</v>
      </c>
      <c r="W342">
        <v>59</v>
      </c>
      <c r="X342">
        <v>1339</v>
      </c>
      <c r="Y342">
        <v>18787</v>
      </c>
      <c r="Z342">
        <v>9724</v>
      </c>
      <c r="AA342">
        <v>2</v>
      </c>
      <c r="AB342">
        <v>28557</v>
      </c>
      <c r="AC342" s="10">
        <v>44424</v>
      </c>
      <c r="AD342" s="10" t="s">
        <v>72</v>
      </c>
      <c r="AE342" t="s">
        <v>72</v>
      </c>
      <c r="AF342" t="s">
        <v>45</v>
      </c>
    </row>
    <row r="343" spans="1:32" x14ac:dyDescent="0.25">
      <c r="A343">
        <v>521</v>
      </c>
      <c r="B343">
        <v>40</v>
      </c>
      <c r="C343" t="s">
        <v>43</v>
      </c>
      <c r="D343" t="s">
        <v>33</v>
      </c>
      <c r="E343" t="s">
        <v>34</v>
      </c>
      <c r="F343" t="s">
        <v>49</v>
      </c>
      <c r="G343" t="s">
        <v>38</v>
      </c>
      <c r="H343" t="s">
        <v>47</v>
      </c>
      <c r="I343" t="s">
        <v>38</v>
      </c>
      <c r="J343" t="s">
        <v>51</v>
      </c>
      <c r="K343">
        <v>3</v>
      </c>
      <c r="L343">
        <v>4</v>
      </c>
      <c r="M343" t="s">
        <v>48</v>
      </c>
      <c r="N343" t="s">
        <v>61</v>
      </c>
      <c r="O343" t="s">
        <v>36</v>
      </c>
      <c r="P343" t="s">
        <v>43</v>
      </c>
      <c r="Q343">
        <v>22</v>
      </c>
      <c r="R343">
        <v>6</v>
      </c>
      <c r="S343">
        <v>20</v>
      </c>
      <c r="T343">
        <v>0</v>
      </c>
      <c r="U343">
        <v>0</v>
      </c>
      <c r="V343">
        <v>2</v>
      </c>
      <c r="W343">
        <v>78</v>
      </c>
      <c r="X343">
        <v>555</v>
      </c>
      <c r="Y343">
        <v>13436</v>
      </c>
      <c r="Z343">
        <v>3448</v>
      </c>
      <c r="AA343">
        <v>3</v>
      </c>
      <c r="AB343">
        <v>30296</v>
      </c>
      <c r="AC343" s="10">
        <v>44424</v>
      </c>
      <c r="AD343" s="10" t="s">
        <v>72</v>
      </c>
      <c r="AE343" t="s">
        <v>72</v>
      </c>
      <c r="AF343" t="s">
        <v>45</v>
      </c>
    </row>
    <row r="344" spans="1:32" x14ac:dyDescent="0.25">
      <c r="A344">
        <v>1591</v>
      </c>
      <c r="B344">
        <v>50</v>
      </c>
      <c r="C344" t="s">
        <v>43</v>
      </c>
      <c r="D344" t="s">
        <v>33</v>
      </c>
      <c r="E344" t="s">
        <v>56</v>
      </c>
      <c r="F344" t="s">
        <v>49</v>
      </c>
      <c r="G344" t="s">
        <v>50</v>
      </c>
      <c r="H344" t="s">
        <v>37</v>
      </c>
      <c r="I344" t="s">
        <v>50</v>
      </c>
      <c r="J344" t="s">
        <v>69</v>
      </c>
      <c r="K344">
        <v>3</v>
      </c>
      <c r="L344">
        <v>3</v>
      </c>
      <c r="M344" t="s">
        <v>48</v>
      </c>
      <c r="N344" t="s">
        <v>61</v>
      </c>
      <c r="O344" t="s">
        <v>36</v>
      </c>
      <c r="P344" t="s">
        <v>32</v>
      </c>
      <c r="Q344">
        <v>16</v>
      </c>
      <c r="R344">
        <v>4</v>
      </c>
      <c r="S344">
        <v>27</v>
      </c>
      <c r="T344">
        <v>0</v>
      </c>
      <c r="U344">
        <v>0</v>
      </c>
      <c r="V344">
        <v>9</v>
      </c>
      <c r="W344">
        <v>59</v>
      </c>
      <c r="X344">
        <v>264</v>
      </c>
      <c r="Y344">
        <v>19519</v>
      </c>
      <c r="Z344">
        <v>19331</v>
      </c>
      <c r="AA344">
        <v>2</v>
      </c>
      <c r="AB344">
        <v>26552</v>
      </c>
      <c r="AC344" s="10">
        <v>44434</v>
      </c>
      <c r="AD344" s="10" t="s">
        <v>72</v>
      </c>
      <c r="AE344" t="s">
        <v>72</v>
      </c>
      <c r="AF344" t="s">
        <v>55</v>
      </c>
    </row>
    <row r="345" spans="1:32" x14ac:dyDescent="0.25">
      <c r="A345">
        <v>1242</v>
      </c>
      <c r="B345">
        <v>42</v>
      </c>
      <c r="C345" t="s">
        <v>43</v>
      </c>
      <c r="D345" t="s">
        <v>46</v>
      </c>
      <c r="E345" t="s">
        <v>34</v>
      </c>
      <c r="F345" t="s">
        <v>70</v>
      </c>
      <c r="G345" t="s">
        <v>36</v>
      </c>
      <c r="H345" t="s">
        <v>47</v>
      </c>
      <c r="I345" t="s">
        <v>50</v>
      </c>
      <c r="J345" t="s">
        <v>71</v>
      </c>
      <c r="K345">
        <v>1</v>
      </c>
      <c r="L345">
        <v>3</v>
      </c>
      <c r="M345" t="s">
        <v>48</v>
      </c>
      <c r="N345" t="s">
        <v>61</v>
      </c>
      <c r="O345" t="s">
        <v>42</v>
      </c>
      <c r="P345" t="s">
        <v>32</v>
      </c>
      <c r="Q345">
        <v>17</v>
      </c>
      <c r="R345">
        <v>3</v>
      </c>
      <c r="S345">
        <v>20</v>
      </c>
      <c r="T345">
        <v>0</v>
      </c>
      <c r="U345">
        <v>0</v>
      </c>
      <c r="V345">
        <v>26</v>
      </c>
      <c r="W345">
        <v>60</v>
      </c>
      <c r="X345">
        <v>458</v>
      </c>
      <c r="Y345">
        <v>23281</v>
      </c>
      <c r="Z345">
        <v>13191</v>
      </c>
      <c r="AA345">
        <v>6</v>
      </c>
      <c r="AB345">
        <v>29715</v>
      </c>
      <c r="AC345" s="10">
        <v>44438</v>
      </c>
      <c r="AD345" s="10" t="s">
        <v>72</v>
      </c>
      <c r="AE345" t="s">
        <v>72</v>
      </c>
      <c r="AF345" t="s">
        <v>45</v>
      </c>
    </row>
    <row r="346" spans="1:32" x14ac:dyDescent="0.25">
      <c r="A346">
        <v>139</v>
      </c>
      <c r="B346">
        <v>37</v>
      </c>
      <c r="C346" t="s">
        <v>43</v>
      </c>
      <c r="D346" t="s">
        <v>63</v>
      </c>
      <c r="E346" t="s">
        <v>34</v>
      </c>
      <c r="F346" t="s">
        <v>67</v>
      </c>
      <c r="G346" t="s">
        <v>50</v>
      </c>
      <c r="H346" t="s">
        <v>37</v>
      </c>
      <c r="I346" t="s">
        <v>38</v>
      </c>
      <c r="J346" t="s">
        <v>62</v>
      </c>
      <c r="K346">
        <v>4</v>
      </c>
      <c r="L346">
        <v>3</v>
      </c>
      <c r="M346" t="s">
        <v>58</v>
      </c>
      <c r="N346" t="s">
        <v>52</v>
      </c>
      <c r="O346" t="s">
        <v>36</v>
      </c>
      <c r="P346" t="s">
        <v>43</v>
      </c>
      <c r="Q346">
        <v>14</v>
      </c>
      <c r="R346">
        <v>5</v>
      </c>
      <c r="S346">
        <v>17</v>
      </c>
      <c r="T346">
        <v>0</v>
      </c>
      <c r="U346">
        <v>0</v>
      </c>
      <c r="V346">
        <v>2</v>
      </c>
      <c r="W346">
        <v>100</v>
      </c>
      <c r="X346">
        <v>1040</v>
      </c>
      <c r="Y346">
        <v>15850</v>
      </c>
      <c r="Z346">
        <v>5163</v>
      </c>
      <c r="AA346">
        <v>2</v>
      </c>
      <c r="AB346">
        <v>31515</v>
      </c>
      <c r="AC346" s="10">
        <v>44448</v>
      </c>
      <c r="AD346" s="10" t="s">
        <v>72</v>
      </c>
      <c r="AE346" t="s">
        <v>72</v>
      </c>
      <c r="AF346" t="s">
        <v>45</v>
      </c>
    </row>
    <row r="347" spans="1:32" x14ac:dyDescent="0.25">
      <c r="A347">
        <v>1966</v>
      </c>
      <c r="B347">
        <v>32</v>
      </c>
      <c r="C347" t="s">
        <v>43</v>
      </c>
      <c r="D347" t="s">
        <v>33</v>
      </c>
      <c r="E347" t="s">
        <v>34</v>
      </c>
      <c r="F347" t="s">
        <v>35</v>
      </c>
      <c r="G347" t="s">
        <v>59</v>
      </c>
      <c r="H347" t="s">
        <v>37</v>
      </c>
      <c r="I347" t="s">
        <v>38</v>
      </c>
      <c r="J347" t="s">
        <v>65</v>
      </c>
      <c r="K347">
        <v>4</v>
      </c>
      <c r="L347">
        <v>4</v>
      </c>
      <c r="M347" t="s">
        <v>48</v>
      </c>
      <c r="N347" t="s">
        <v>41</v>
      </c>
      <c r="O347" t="s">
        <v>42</v>
      </c>
      <c r="P347" t="s">
        <v>43</v>
      </c>
      <c r="Q347">
        <v>24</v>
      </c>
      <c r="R347">
        <v>8</v>
      </c>
      <c r="S347">
        <v>8</v>
      </c>
      <c r="T347">
        <v>0</v>
      </c>
      <c r="U347">
        <v>0</v>
      </c>
      <c r="V347">
        <v>5</v>
      </c>
      <c r="W347">
        <v>56</v>
      </c>
      <c r="X347">
        <v>1373</v>
      </c>
      <c r="Y347">
        <v>10138</v>
      </c>
      <c r="Z347">
        <v>9679</v>
      </c>
      <c r="AA347">
        <v>1</v>
      </c>
      <c r="AB347">
        <v>33276</v>
      </c>
      <c r="AC347" s="10">
        <v>44472</v>
      </c>
      <c r="AD347" s="10" t="s">
        <v>72</v>
      </c>
      <c r="AE347" t="s">
        <v>72</v>
      </c>
      <c r="AF347" t="s">
        <v>45</v>
      </c>
    </row>
    <row r="348" spans="1:32" x14ac:dyDescent="0.25">
      <c r="A348">
        <v>477</v>
      </c>
      <c r="B348">
        <v>42</v>
      </c>
      <c r="C348" t="s">
        <v>43</v>
      </c>
      <c r="D348" t="s">
        <v>33</v>
      </c>
      <c r="E348" t="s">
        <v>34</v>
      </c>
      <c r="F348" t="s">
        <v>35</v>
      </c>
      <c r="G348" t="s">
        <v>36</v>
      </c>
      <c r="H348" t="s">
        <v>37</v>
      </c>
      <c r="I348" t="s">
        <v>38</v>
      </c>
      <c r="J348" t="s">
        <v>62</v>
      </c>
      <c r="K348">
        <v>4</v>
      </c>
      <c r="L348">
        <v>4</v>
      </c>
      <c r="M348" t="s">
        <v>48</v>
      </c>
      <c r="N348" t="s">
        <v>41</v>
      </c>
      <c r="O348" t="s">
        <v>42</v>
      </c>
      <c r="P348" t="s">
        <v>43</v>
      </c>
      <c r="Q348">
        <v>23</v>
      </c>
      <c r="R348">
        <v>3</v>
      </c>
      <c r="S348">
        <v>14</v>
      </c>
      <c r="T348">
        <v>0</v>
      </c>
      <c r="U348">
        <v>0</v>
      </c>
      <c r="V348">
        <v>2</v>
      </c>
      <c r="W348">
        <v>98</v>
      </c>
      <c r="X348">
        <v>1332</v>
      </c>
      <c r="Y348">
        <v>17078</v>
      </c>
      <c r="Z348">
        <v>6781</v>
      </c>
      <c r="AA348">
        <v>6</v>
      </c>
      <c r="AB348">
        <v>29736</v>
      </c>
      <c r="AC348" s="10">
        <v>44481</v>
      </c>
      <c r="AD348" s="10" t="s">
        <v>72</v>
      </c>
      <c r="AE348" t="s">
        <v>72</v>
      </c>
      <c r="AF348" t="s">
        <v>45</v>
      </c>
    </row>
    <row r="349" spans="1:32" x14ac:dyDescent="0.25">
      <c r="A349">
        <v>298</v>
      </c>
      <c r="B349">
        <v>41</v>
      </c>
      <c r="C349" t="s">
        <v>43</v>
      </c>
      <c r="D349" t="s">
        <v>33</v>
      </c>
      <c r="E349" t="s">
        <v>56</v>
      </c>
      <c r="F349" t="s">
        <v>49</v>
      </c>
      <c r="G349" t="s">
        <v>59</v>
      </c>
      <c r="H349" t="s">
        <v>47</v>
      </c>
      <c r="I349" t="s">
        <v>50</v>
      </c>
      <c r="J349" t="s">
        <v>69</v>
      </c>
      <c r="K349">
        <v>4</v>
      </c>
      <c r="L349">
        <v>3</v>
      </c>
      <c r="M349" t="s">
        <v>48</v>
      </c>
      <c r="N349" t="s">
        <v>41</v>
      </c>
      <c r="O349" t="s">
        <v>42</v>
      </c>
      <c r="P349" t="s">
        <v>32</v>
      </c>
      <c r="Q349">
        <v>18</v>
      </c>
      <c r="R349">
        <v>3</v>
      </c>
      <c r="S349">
        <v>16</v>
      </c>
      <c r="T349">
        <v>0</v>
      </c>
      <c r="U349">
        <v>0</v>
      </c>
      <c r="V349">
        <v>6</v>
      </c>
      <c r="W349">
        <v>75</v>
      </c>
      <c r="X349">
        <v>896</v>
      </c>
      <c r="Y349">
        <v>14674</v>
      </c>
      <c r="Z349">
        <v>13591</v>
      </c>
      <c r="AA349">
        <v>3</v>
      </c>
      <c r="AB349">
        <v>30091</v>
      </c>
      <c r="AC349" s="10">
        <v>44486</v>
      </c>
      <c r="AD349" s="10" t="s">
        <v>72</v>
      </c>
      <c r="AE349" t="s">
        <v>72</v>
      </c>
      <c r="AF349" t="s">
        <v>45</v>
      </c>
    </row>
    <row r="350" spans="1:32" x14ac:dyDescent="0.25">
      <c r="A350">
        <v>634</v>
      </c>
      <c r="B350">
        <v>38</v>
      </c>
      <c r="C350" t="s">
        <v>43</v>
      </c>
      <c r="D350" t="s">
        <v>33</v>
      </c>
      <c r="E350" t="s">
        <v>34</v>
      </c>
      <c r="F350" t="s">
        <v>49</v>
      </c>
      <c r="G350" t="s">
        <v>50</v>
      </c>
      <c r="H350" t="s">
        <v>47</v>
      </c>
      <c r="I350" t="s">
        <v>50</v>
      </c>
      <c r="J350" t="s">
        <v>62</v>
      </c>
      <c r="K350">
        <v>3</v>
      </c>
      <c r="L350">
        <v>3</v>
      </c>
      <c r="M350" t="s">
        <v>48</v>
      </c>
      <c r="N350" t="s">
        <v>61</v>
      </c>
      <c r="O350" t="s">
        <v>36</v>
      </c>
      <c r="P350" t="s">
        <v>43</v>
      </c>
      <c r="Q350">
        <v>19</v>
      </c>
      <c r="R350">
        <v>3</v>
      </c>
      <c r="S350">
        <v>18</v>
      </c>
      <c r="T350">
        <v>0</v>
      </c>
      <c r="U350">
        <v>0</v>
      </c>
      <c r="V350">
        <v>10</v>
      </c>
      <c r="W350">
        <v>76</v>
      </c>
      <c r="X350">
        <v>1495</v>
      </c>
      <c r="Y350">
        <v>22174</v>
      </c>
      <c r="Z350">
        <v>9824</v>
      </c>
      <c r="AA350">
        <v>4</v>
      </c>
      <c r="AB350">
        <v>31110</v>
      </c>
      <c r="AC350" s="10">
        <v>44497</v>
      </c>
      <c r="AD350" s="10" t="s">
        <v>72</v>
      </c>
      <c r="AE350" t="s">
        <v>72</v>
      </c>
      <c r="AF350" t="s">
        <v>55</v>
      </c>
    </row>
    <row r="351" spans="1:32" x14ac:dyDescent="0.25">
      <c r="A351">
        <v>151</v>
      </c>
      <c r="B351">
        <v>34</v>
      </c>
      <c r="C351" t="s">
        <v>43</v>
      </c>
      <c r="D351" t="s">
        <v>33</v>
      </c>
      <c r="E351" t="s">
        <v>34</v>
      </c>
      <c r="F351" t="s">
        <v>35</v>
      </c>
      <c r="G351" t="s">
        <v>50</v>
      </c>
      <c r="H351" t="s">
        <v>47</v>
      </c>
      <c r="I351" t="s">
        <v>38</v>
      </c>
      <c r="J351" t="s">
        <v>39</v>
      </c>
      <c r="K351">
        <v>2</v>
      </c>
      <c r="L351">
        <v>3</v>
      </c>
      <c r="M351" t="s">
        <v>48</v>
      </c>
      <c r="N351" t="s">
        <v>52</v>
      </c>
      <c r="O351" t="s">
        <v>36</v>
      </c>
      <c r="P351" t="s">
        <v>43</v>
      </c>
      <c r="Q351">
        <v>15</v>
      </c>
      <c r="R351">
        <v>6</v>
      </c>
      <c r="S351">
        <v>12</v>
      </c>
      <c r="T351">
        <v>0</v>
      </c>
      <c r="U351">
        <v>0</v>
      </c>
      <c r="V351">
        <v>6</v>
      </c>
      <c r="W351">
        <v>45</v>
      </c>
      <c r="X351">
        <v>1031</v>
      </c>
      <c r="Y351">
        <v>15000</v>
      </c>
      <c r="Z351">
        <v>4505</v>
      </c>
      <c r="AA351">
        <v>3</v>
      </c>
      <c r="AB351">
        <v>32626</v>
      </c>
      <c r="AC351" s="10">
        <v>44501</v>
      </c>
      <c r="AD351" s="10" t="s">
        <v>72</v>
      </c>
      <c r="AE351" t="s">
        <v>72</v>
      </c>
      <c r="AF351" t="s">
        <v>45</v>
      </c>
    </row>
    <row r="352" spans="1:32" x14ac:dyDescent="0.25">
      <c r="A352">
        <v>487</v>
      </c>
      <c r="B352">
        <v>46</v>
      </c>
      <c r="C352" t="s">
        <v>43</v>
      </c>
      <c r="D352" t="s">
        <v>63</v>
      </c>
      <c r="E352" t="s">
        <v>34</v>
      </c>
      <c r="F352" t="s">
        <v>35</v>
      </c>
      <c r="G352" t="s">
        <v>50</v>
      </c>
      <c r="H352" t="s">
        <v>47</v>
      </c>
      <c r="I352" t="s">
        <v>50</v>
      </c>
      <c r="J352" t="s">
        <v>65</v>
      </c>
      <c r="K352">
        <v>3</v>
      </c>
      <c r="L352">
        <v>3</v>
      </c>
      <c r="M352" t="s">
        <v>58</v>
      </c>
      <c r="N352" t="s">
        <v>61</v>
      </c>
      <c r="O352" t="s">
        <v>42</v>
      </c>
      <c r="P352" t="s">
        <v>43</v>
      </c>
      <c r="Q352">
        <v>14</v>
      </c>
      <c r="R352">
        <v>2</v>
      </c>
      <c r="S352">
        <v>7</v>
      </c>
      <c r="T352">
        <v>0</v>
      </c>
      <c r="U352">
        <v>0</v>
      </c>
      <c r="V352">
        <v>7</v>
      </c>
      <c r="W352">
        <v>30</v>
      </c>
      <c r="X352">
        <v>1144</v>
      </c>
      <c r="Y352">
        <v>16044</v>
      </c>
      <c r="Z352">
        <v>5258</v>
      </c>
      <c r="AA352">
        <v>2</v>
      </c>
      <c r="AB352">
        <v>28268</v>
      </c>
      <c r="AC352" s="10">
        <v>44507</v>
      </c>
      <c r="AD352" s="10" t="s">
        <v>72</v>
      </c>
      <c r="AE352" t="s">
        <v>72</v>
      </c>
      <c r="AF352" t="s">
        <v>45</v>
      </c>
    </row>
    <row r="353" spans="1:32" x14ac:dyDescent="0.25">
      <c r="A353">
        <v>1847</v>
      </c>
      <c r="B353">
        <v>36</v>
      </c>
      <c r="C353" t="s">
        <v>43</v>
      </c>
      <c r="D353" t="s">
        <v>33</v>
      </c>
      <c r="E353" t="s">
        <v>34</v>
      </c>
      <c r="F353" t="s">
        <v>35</v>
      </c>
      <c r="G353" t="s">
        <v>59</v>
      </c>
      <c r="H353" t="s">
        <v>47</v>
      </c>
      <c r="I353" t="s">
        <v>50</v>
      </c>
      <c r="J353" t="s">
        <v>39</v>
      </c>
      <c r="K353">
        <v>2</v>
      </c>
      <c r="L353">
        <v>4</v>
      </c>
      <c r="M353" t="s">
        <v>48</v>
      </c>
      <c r="N353" t="s">
        <v>61</v>
      </c>
      <c r="O353" t="s">
        <v>36</v>
      </c>
      <c r="P353" t="s">
        <v>32</v>
      </c>
      <c r="Q353">
        <v>22</v>
      </c>
      <c r="R353">
        <v>4</v>
      </c>
      <c r="S353">
        <v>15</v>
      </c>
      <c r="T353">
        <v>0</v>
      </c>
      <c r="U353">
        <v>0</v>
      </c>
      <c r="V353">
        <v>2</v>
      </c>
      <c r="W353">
        <v>73</v>
      </c>
      <c r="X353">
        <v>430</v>
      </c>
      <c r="Y353">
        <v>19573</v>
      </c>
      <c r="Z353">
        <v>6962</v>
      </c>
      <c r="AA353">
        <v>2</v>
      </c>
      <c r="AB353">
        <v>31720</v>
      </c>
      <c r="AC353" s="10">
        <v>44507</v>
      </c>
      <c r="AD353" s="10" t="s">
        <v>72</v>
      </c>
      <c r="AE353" t="s">
        <v>72</v>
      </c>
      <c r="AF353" t="s">
        <v>45</v>
      </c>
    </row>
    <row r="354" spans="1:32" x14ac:dyDescent="0.25">
      <c r="A354">
        <v>868</v>
      </c>
      <c r="B354">
        <v>37</v>
      </c>
      <c r="C354" t="s">
        <v>43</v>
      </c>
      <c r="D354" t="s">
        <v>33</v>
      </c>
      <c r="E354" t="s">
        <v>56</v>
      </c>
      <c r="F354" t="s">
        <v>35</v>
      </c>
      <c r="G354" t="s">
        <v>59</v>
      </c>
      <c r="H354" t="s">
        <v>37</v>
      </c>
      <c r="I354" t="s">
        <v>38</v>
      </c>
      <c r="J354" t="s">
        <v>57</v>
      </c>
      <c r="K354">
        <v>3</v>
      </c>
      <c r="L354">
        <v>3</v>
      </c>
      <c r="M354" t="s">
        <v>48</v>
      </c>
      <c r="N354" t="s">
        <v>52</v>
      </c>
      <c r="O354" t="s">
        <v>53</v>
      </c>
      <c r="P354" t="s">
        <v>43</v>
      </c>
      <c r="Q354">
        <v>19</v>
      </c>
      <c r="R354">
        <v>4</v>
      </c>
      <c r="S354">
        <v>9</v>
      </c>
      <c r="T354">
        <v>0</v>
      </c>
      <c r="U354">
        <v>0</v>
      </c>
      <c r="V354">
        <v>16</v>
      </c>
      <c r="W354">
        <v>66</v>
      </c>
      <c r="X354">
        <v>342</v>
      </c>
      <c r="Y354">
        <v>24558</v>
      </c>
      <c r="Z354">
        <v>6334</v>
      </c>
      <c r="AA354">
        <v>2</v>
      </c>
      <c r="AB354">
        <v>31602</v>
      </c>
      <c r="AC354" s="10">
        <v>44510</v>
      </c>
      <c r="AD354" s="10" t="s">
        <v>72</v>
      </c>
      <c r="AE354" t="s">
        <v>72</v>
      </c>
      <c r="AF354" t="s">
        <v>45</v>
      </c>
    </row>
    <row r="355" spans="1:32" x14ac:dyDescent="0.25">
      <c r="A355">
        <v>1256</v>
      </c>
      <c r="B355">
        <v>49</v>
      </c>
      <c r="C355" t="s">
        <v>43</v>
      </c>
      <c r="D355" t="s">
        <v>33</v>
      </c>
      <c r="E355" t="s">
        <v>34</v>
      </c>
      <c r="F355" t="s">
        <v>67</v>
      </c>
      <c r="G355" t="s">
        <v>36</v>
      </c>
      <c r="H355" t="s">
        <v>37</v>
      </c>
      <c r="I355" t="s">
        <v>38</v>
      </c>
      <c r="J355" t="s">
        <v>69</v>
      </c>
      <c r="K355">
        <v>3</v>
      </c>
      <c r="L355">
        <v>2</v>
      </c>
      <c r="M355" t="s">
        <v>58</v>
      </c>
      <c r="N355" t="s">
        <v>61</v>
      </c>
      <c r="O355" t="s">
        <v>36</v>
      </c>
      <c r="P355" t="s">
        <v>43</v>
      </c>
      <c r="Q355">
        <v>13</v>
      </c>
      <c r="R355">
        <v>2</v>
      </c>
      <c r="S355">
        <v>23</v>
      </c>
      <c r="T355">
        <v>0</v>
      </c>
      <c r="U355">
        <v>0</v>
      </c>
      <c r="V355">
        <v>4</v>
      </c>
      <c r="W355">
        <v>85</v>
      </c>
      <c r="X355">
        <v>1098</v>
      </c>
      <c r="Y355">
        <v>12124</v>
      </c>
      <c r="Z355">
        <v>18711</v>
      </c>
      <c r="AA355">
        <v>2</v>
      </c>
      <c r="AB355">
        <v>27222</v>
      </c>
      <c r="AC355" s="10">
        <v>44528</v>
      </c>
      <c r="AD355" s="10" t="s">
        <v>72</v>
      </c>
      <c r="AE355" t="s">
        <v>72</v>
      </c>
      <c r="AF355" t="s">
        <v>45</v>
      </c>
    </row>
    <row r="356" spans="1:32" x14ac:dyDescent="0.25">
      <c r="A356">
        <v>920</v>
      </c>
      <c r="B356">
        <v>43</v>
      </c>
      <c r="C356" t="s">
        <v>43</v>
      </c>
      <c r="D356" t="s">
        <v>33</v>
      </c>
      <c r="E356" t="s">
        <v>34</v>
      </c>
      <c r="F356" t="s">
        <v>49</v>
      </c>
      <c r="G356" t="s">
        <v>36</v>
      </c>
      <c r="H356" t="s">
        <v>47</v>
      </c>
      <c r="I356" t="s">
        <v>50</v>
      </c>
      <c r="J356" t="s">
        <v>65</v>
      </c>
      <c r="K356">
        <v>2</v>
      </c>
      <c r="L356">
        <v>4</v>
      </c>
      <c r="M356" t="s">
        <v>58</v>
      </c>
      <c r="N356" t="s">
        <v>52</v>
      </c>
      <c r="O356" t="s">
        <v>36</v>
      </c>
      <c r="P356" t="s">
        <v>43</v>
      </c>
      <c r="Q356">
        <v>21</v>
      </c>
      <c r="R356">
        <v>4</v>
      </c>
      <c r="S356">
        <v>4</v>
      </c>
      <c r="T356">
        <v>0</v>
      </c>
      <c r="U356">
        <v>0</v>
      </c>
      <c r="V356">
        <v>8</v>
      </c>
      <c r="W356">
        <v>55</v>
      </c>
      <c r="X356">
        <v>177</v>
      </c>
      <c r="Y356">
        <v>23814</v>
      </c>
      <c r="Z356">
        <v>4765</v>
      </c>
      <c r="AA356">
        <v>2</v>
      </c>
      <c r="AB356">
        <v>29244</v>
      </c>
      <c r="AC356" s="10">
        <v>44540</v>
      </c>
      <c r="AD356" s="10" t="s">
        <v>72</v>
      </c>
      <c r="AE356" t="s">
        <v>72</v>
      </c>
      <c r="AF356" t="s">
        <v>45</v>
      </c>
    </row>
    <row r="357" spans="1:32" x14ac:dyDescent="0.25">
      <c r="A357">
        <v>1076</v>
      </c>
      <c r="B357">
        <v>43</v>
      </c>
      <c r="C357" t="s">
        <v>43</v>
      </c>
      <c r="D357" t="s">
        <v>33</v>
      </c>
      <c r="E357" t="s">
        <v>56</v>
      </c>
      <c r="F357" t="s">
        <v>49</v>
      </c>
      <c r="G357" t="s">
        <v>50</v>
      </c>
      <c r="H357" t="s">
        <v>37</v>
      </c>
      <c r="I357" t="s">
        <v>38</v>
      </c>
      <c r="J357" t="s">
        <v>57</v>
      </c>
      <c r="K357">
        <v>4</v>
      </c>
      <c r="L357">
        <v>3</v>
      </c>
      <c r="M357" t="s">
        <v>48</v>
      </c>
      <c r="N357" t="s">
        <v>52</v>
      </c>
      <c r="O357" t="s">
        <v>36</v>
      </c>
      <c r="P357" t="s">
        <v>43</v>
      </c>
      <c r="Q357">
        <v>13</v>
      </c>
      <c r="R357">
        <v>5</v>
      </c>
      <c r="S357">
        <v>18</v>
      </c>
      <c r="T357">
        <v>0</v>
      </c>
      <c r="U357">
        <v>0</v>
      </c>
      <c r="V357">
        <v>25</v>
      </c>
      <c r="W357">
        <v>79</v>
      </c>
      <c r="X357">
        <v>415</v>
      </c>
      <c r="Y357">
        <v>5268</v>
      </c>
      <c r="Z357">
        <v>10798</v>
      </c>
      <c r="AA357">
        <v>5</v>
      </c>
      <c r="AB357">
        <v>29318</v>
      </c>
      <c r="AC357" s="10">
        <v>44545</v>
      </c>
      <c r="AD357" s="10" t="s">
        <v>72</v>
      </c>
      <c r="AE357" t="s">
        <v>72</v>
      </c>
      <c r="AF357" t="s">
        <v>45</v>
      </c>
    </row>
    <row r="358" spans="1:32" x14ac:dyDescent="0.25">
      <c r="A358">
        <v>211</v>
      </c>
      <c r="B358">
        <v>51</v>
      </c>
      <c r="C358" t="s">
        <v>43</v>
      </c>
      <c r="D358" t="s">
        <v>33</v>
      </c>
      <c r="E358" t="s">
        <v>34</v>
      </c>
      <c r="F358" t="s">
        <v>35</v>
      </c>
      <c r="G358" t="s">
        <v>38</v>
      </c>
      <c r="H358" t="s">
        <v>37</v>
      </c>
      <c r="I358" t="s">
        <v>38</v>
      </c>
      <c r="J358" t="s">
        <v>65</v>
      </c>
      <c r="K358">
        <v>3</v>
      </c>
      <c r="L358">
        <v>3</v>
      </c>
      <c r="M358" t="s">
        <v>48</v>
      </c>
      <c r="N358" t="s">
        <v>61</v>
      </c>
      <c r="O358" t="s">
        <v>42</v>
      </c>
      <c r="P358" t="s">
        <v>43</v>
      </c>
      <c r="Q358">
        <v>17</v>
      </c>
      <c r="R358">
        <v>2</v>
      </c>
      <c r="S358">
        <v>10</v>
      </c>
      <c r="T358">
        <v>0</v>
      </c>
      <c r="U358">
        <v>0</v>
      </c>
      <c r="V358">
        <v>7</v>
      </c>
      <c r="W358">
        <v>34</v>
      </c>
      <c r="X358">
        <v>1169</v>
      </c>
      <c r="Y358">
        <v>13983</v>
      </c>
      <c r="Z358">
        <v>6132</v>
      </c>
      <c r="AA358">
        <v>2</v>
      </c>
      <c r="AB358">
        <v>26461</v>
      </c>
      <c r="AC358" s="10">
        <v>44548</v>
      </c>
      <c r="AD358" s="10" t="s">
        <v>72</v>
      </c>
      <c r="AE358" t="s">
        <v>72</v>
      </c>
      <c r="AF358" t="s">
        <v>45</v>
      </c>
    </row>
    <row r="359" spans="1:32" x14ac:dyDescent="0.25">
      <c r="A359">
        <v>1105</v>
      </c>
      <c r="B359">
        <v>37</v>
      </c>
      <c r="C359" t="s">
        <v>43</v>
      </c>
      <c r="D359" t="s">
        <v>33</v>
      </c>
      <c r="E359" t="s">
        <v>56</v>
      </c>
      <c r="F359" t="s">
        <v>35</v>
      </c>
      <c r="G359" t="s">
        <v>59</v>
      </c>
      <c r="H359" t="s">
        <v>47</v>
      </c>
      <c r="I359" t="s">
        <v>38</v>
      </c>
      <c r="J359" t="s">
        <v>57</v>
      </c>
      <c r="K359">
        <v>4</v>
      </c>
      <c r="L359">
        <v>3</v>
      </c>
      <c r="M359" t="s">
        <v>48</v>
      </c>
      <c r="N359" t="s">
        <v>52</v>
      </c>
      <c r="O359" t="s">
        <v>50</v>
      </c>
      <c r="P359" t="s">
        <v>32</v>
      </c>
      <c r="Q359">
        <v>14</v>
      </c>
      <c r="R359">
        <v>2</v>
      </c>
      <c r="S359">
        <v>8</v>
      </c>
      <c r="T359">
        <v>0</v>
      </c>
      <c r="U359">
        <v>0</v>
      </c>
      <c r="V359">
        <v>10</v>
      </c>
      <c r="W359">
        <v>88</v>
      </c>
      <c r="X359">
        <v>309</v>
      </c>
      <c r="Y359">
        <v>24223</v>
      </c>
      <c r="Z359">
        <v>6694</v>
      </c>
      <c r="AA359">
        <v>5</v>
      </c>
      <c r="AB359">
        <v>31564</v>
      </c>
      <c r="AC359" s="10">
        <v>44553</v>
      </c>
      <c r="AD359" s="10" t="s">
        <v>72</v>
      </c>
      <c r="AE359" t="s">
        <v>72</v>
      </c>
      <c r="AF359" t="s">
        <v>45</v>
      </c>
    </row>
    <row r="360" spans="1:32" x14ac:dyDescent="0.25">
      <c r="A360">
        <v>1938</v>
      </c>
      <c r="B360">
        <v>58</v>
      </c>
      <c r="C360" t="s">
        <v>43</v>
      </c>
      <c r="D360" t="s">
        <v>33</v>
      </c>
      <c r="E360" t="s">
        <v>56</v>
      </c>
      <c r="F360" t="s">
        <v>49</v>
      </c>
      <c r="G360" t="s">
        <v>59</v>
      </c>
      <c r="H360" t="s">
        <v>47</v>
      </c>
      <c r="I360" t="s">
        <v>50</v>
      </c>
      <c r="J360" t="s">
        <v>69</v>
      </c>
      <c r="K360">
        <v>4</v>
      </c>
      <c r="L360">
        <v>3</v>
      </c>
      <c r="M360" t="s">
        <v>60</v>
      </c>
      <c r="N360" t="s">
        <v>61</v>
      </c>
      <c r="O360" t="s">
        <v>36</v>
      </c>
      <c r="P360" t="s">
        <v>32</v>
      </c>
      <c r="Q360">
        <v>13</v>
      </c>
      <c r="R360">
        <v>4</v>
      </c>
      <c r="S360">
        <v>29</v>
      </c>
      <c r="T360">
        <v>0</v>
      </c>
      <c r="U360">
        <v>0</v>
      </c>
      <c r="V360">
        <v>21</v>
      </c>
      <c r="W360">
        <v>72</v>
      </c>
      <c r="X360">
        <v>605</v>
      </c>
      <c r="Y360">
        <v>11761</v>
      </c>
      <c r="Z360">
        <v>17875</v>
      </c>
      <c r="AA360">
        <v>2</v>
      </c>
      <c r="AB360">
        <v>23629</v>
      </c>
      <c r="AC360" s="10">
        <v>44554</v>
      </c>
      <c r="AD360" s="10" t="s">
        <v>72</v>
      </c>
      <c r="AE360" t="s">
        <v>72</v>
      </c>
      <c r="AF360" t="s">
        <v>45</v>
      </c>
    </row>
    <row r="361" spans="1:32" x14ac:dyDescent="0.25">
      <c r="A361">
        <v>1029</v>
      </c>
      <c r="B361">
        <v>42</v>
      </c>
      <c r="C361" t="s">
        <v>43</v>
      </c>
      <c r="D361" t="s">
        <v>33</v>
      </c>
      <c r="E361" t="s">
        <v>56</v>
      </c>
      <c r="F361" t="s">
        <v>67</v>
      </c>
      <c r="G361" t="s">
        <v>59</v>
      </c>
      <c r="H361" t="s">
        <v>37</v>
      </c>
      <c r="I361" t="s">
        <v>50</v>
      </c>
      <c r="J361" t="s">
        <v>69</v>
      </c>
      <c r="K361">
        <v>3</v>
      </c>
      <c r="L361">
        <v>3</v>
      </c>
      <c r="M361" t="s">
        <v>58</v>
      </c>
      <c r="N361" t="s">
        <v>61</v>
      </c>
      <c r="O361" t="s">
        <v>42</v>
      </c>
      <c r="P361" t="s">
        <v>43</v>
      </c>
      <c r="Q361">
        <v>13</v>
      </c>
      <c r="R361">
        <v>6</v>
      </c>
      <c r="S361">
        <v>21</v>
      </c>
      <c r="T361">
        <v>0</v>
      </c>
      <c r="U361">
        <v>0</v>
      </c>
      <c r="V361">
        <v>5</v>
      </c>
      <c r="W361">
        <v>90</v>
      </c>
      <c r="X361">
        <v>265</v>
      </c>
      <c r="Y361">
        <v>7770</v>
      </c>
      <c r="Z361">
        <v>18303</v>
      </c>
      <c r="AA361">
        <v>3</v>
      </c>
      <c r="AB361">
        <v>29711</v>
      </c>
      <c r="AC361" s="10">
        <v>44559</v>
      </c>
      <c r="AD361" s="10" t="s">
        <v>72</v>
      </c>
      <c r="AE361" t="s">
        <v>72</v>
      </c>
      <c r="AF361" t="s">
        <v>45</v>
      </c>
    </row>
    <row r="362" spans="1:32" x14ac:dyDescent="0.25">
      <c r="A362">
        <v>1180</v>
      </c>
      <c r="B362">
        <v>40</v>
      </c>
      <c r="C362" t="s">
        <v>43</v>
      </c>
      <c r="D362" t="s">
        <v>46</v>
      </c>
      <c r="E362" t="s">
        <v>34</v>
      </c>
      <c r="F362" t="s">
        <v>67</v>
      </c>
      <c r="G362" t="s">
        <v>50</v>
      </c>
      <c r="H362" t="s">
        <v>47</v>
      </c>
      <c r="I362" t="s">
        <v>38</v>
      </c>
      <c r="J362" t="s">
        <v>39</v>
      </c>
      <c r="K362">
        <v>4</v>
      </c>
      <c r="L362">
        <v>3</v>
      </c>
      <c r="M362" t="s">
        <v>40</v>
      </c>
      <c r="N362" t="s">
        <v>61</v>
      </c>
      <c r="O362" t="s">
        <v>36</v>
      </c>
      <c r="P362" t="s">
        <v>32</v>
      </c>
      <c r="Q362">
        <v>13</v>
      </c>
      <c r="R362">
        <v>3</v>
      </c>
      <c r="S362">
        <v>16</v>
      </c>
      <c r="T362">
        <v>0</v>
      </c>
      <c r="U362">
        <v>0</v>
      </c>
      <c r="V362">
        <v>26</v>
      </c>
      <c r="W362">
        <v>92</v>
      </c>
      <c r="X362">
        <v>902</v>
      </c>
      <c r="Y362">
        <v>21203</v>
      </c>
      <c r="Z362">
        <v>4422</v>
      </c>
      <c r="AA362">
        <v>3</v>
      </c>
      <c r="AB362">
        <v>30309</v>
      </c>
      <c r="AC362" s="10">
        <v>44564</v>
      </c>
      <c r="AD362" s="10" t="s">
        <v>72</v>
      </c>
      <c r="AE362" t="s">
        <v>72</v>
      </c>
      <c r="AF362" t="s">
        <v>55</v>
      </c>
    </row>
    <row r="363" spans="1:32" x14ac:dyDescent="0.25">
      <c r="A363">
        <v>1803</v>
      </c>
      <c r="B363">
        <v>42</v>
      </c>
      <c r="C363" t="s">
        <v>43</v>
      </c>
      <c r="D363" t="s">
        <v>33</v>
      </c>
      <c r="E363" t="s">
        <v>34</v>
      </c>
      <c r="F363" t="s">
        <v>49</v>
      </c>
      <c r="G363" t="s">
        <v>38</v>
      </c>
      <c r="H363" t="s">
        <v>37</v>
      </c>
      <c r="I363" t="s">
        <v>59</v>
      </c>
      <c r="J363" t="s">
        <v>62</v>
      </c>
      <c r="K363">
        <v>1</v>
      </c>
      <c r="L363">
        <v>2</v>
      </c>
      <c r="M363" t="s">
        <v>60</v>
      </c>
      <c r="N363" t="s">
        <v>61</v>
      </c>
      <c r="O363" t="s">
        <v>53</v>
      </c>
      <c r="P363" t="s">
        <v>43</v>
      </c>
      <c r="Q363">
        <v>18</v>
      </c>
      <c r="R363">
        <v>5</v>
      </c>
      <c r="S363">
        <v>10</v>
      </c>
      <c r="T363">
        <v>0</v>
      </c>
      <c r="U363">
        <v>0</v>
      </c>
      <c r="V363">
        <v>13</v>
      </c>
      <c r="W363">
        <v>95</v>
      </c>
      <c r="X363">
        <v>1128</v>
      </c>
      <c r="Y363">
        <v>5696</v>
      </c>
      <c r="Z363">
        <v>5538</v>
      </c>
      <c r="AA363">
        <v>2</v>
      </c>
      <c r="AB363">
        <v>29550</v>
      </c>
      <c r="AC363" s="10">
        <v>44567</v>
      </c>
      <c r="AD363" s="10" t="s">
        <v>72</v>
      </c>
      <c r="AE363" t="s">
        <v>72</v>
      </c>
      <c r="AF363" t="s">
        <v>45</v>
      </c>
    </row>
    <row r="364" spans="1:32" x14ac:dyDescent="0.25">
      <c r="A364">
        <v>743</v>
      </c>
      <c r="B364">
        <v>38</v>
      </c>
      <c r="C364" t="s">
        <v>43</v>
      </c>
      <c r="D364" t="s">
        <v>33</v>
      </c>
      <c r="E364" t="s">
        <v>34</v>
      </c>
      <c r="F364" t="s">
        <v>49</v>
      </c>
      <c r="G364" t="s">
        <v>50</v>
      </c>
      <c r="H364" t="s">
        <v>47</v>
      </c>
      <c r="I364" t="s">
        <v>50</v>
      </c>
      <c r="J364" t="s">
        <v>65</v>
      </c>
      <c r="K364">
        <v>3</v>
      </c>
      <c r="L364">
        <v>3</v>
      </c>
      <c r="M364" t="s">
        <v>58</v>
      </c>
      <c r="N364" t="s">
        <v>41</v>
      </c>
      <c r="O364" t="s">
        <v>42</v>
      </c>
      <c r="P364" t="s">
        <v>32</v>
      </c>
      <c r="Q364">
        <v>14</v>
      </c>
      <c r="R364">
        <v>4</v>
      </c>
      <c r="S364">
        <v>10</v>
      </c>
      <c r="T364">
        <v>0</v>
      </c>
      <c r="U364">
        <v>0</v>
      </c>
      <c r="V364">
        <v>1</v>
      </c>
      <c r="W364">
        <v>81</v>
      </c>
      <c r="X364">
        <v>168</v>
      </c>
      <c r="Y364">
        <v>15397</v>
      </c>
      <c r="Z364">
        <v>7861</v>
      </c>
      <c r="AA364">
        <v>4</v>
      </c>
      <c r="AB364">
        <v>30910</v>
      </c>
      <c r="AC364" s="10">
        <v>44573</v>
      </c>
      <c r="AD364" s="10" t="s">
        <v>72</v>
      </c>
      <c r="AE364" t="s">
        <v>72</v>
      </c>
      <c r="AF364" t="s">
        <v>55</v>
      </c>
    </row>
    <row r="365" spans="1:32" x14ac:dyDescent="0.25">
      <c r="A365">
        <v>833</v>
      </c>
      <c r="B365">
        <v>30</v>
      </c>
      <c r="C365" t="s">
        <v>43</v>
      </c>
      <c r="D365" t="s">
        <v>33</v>
      </c>
      <c r="E365" t="s">
        <v>34</v>
      </c>
      <c r="F365" t="s">
        <v>49</v>
      </c>
      <c r="G365" t="s">
        <v>50</v>
      </c>
      <c r="H365" t="s">
        <v>47</v>
      </c>
      <c r="I365" t="s">
        <v>38</v>
      </c>
      <c r="J365" t="s">
        <v>65</v>
      </c>
      <c r="K365">
        <v>4</v>
      </c>
      <c r="L365">
        <v>4</v>
      </c>
      <c r="M365" t="s">
        <v>60</v>
      </c>
      <c r="N365" t="s">
        <v>41</v>
      </c>
      <c r="O365" t="s">
        <v>42</v>
      </c>
      <c r="P365" t="s">
        <v>32</v>
      </c>
      <c r="Q365">
        <v>24</v>
      </c>
      <c r="R365">
        <v>5</v>
      </c>
      <c r="S365">
        <v>12</v>
      </c>
      <c r="T365">
        <v>0</v>
      </c>
      <c r="U365">
        <v>0</v>
      </c>
      <c r="V365">
        <v>2</v>
      </c>
      <c r="W365">
        <v>52</v>
      </c>
      <c r="X365">
        <v>946</v>
      </c>
      <c r="Y365">
        <v>20234</v>
      </c>
      <c r="Z365">
        <v>6877</v>
      </c>
      <c r="AA365">
        <v>4</v>
      </c>
      <c r="AB365">
        <v>34050</v>
      </c>
      <c r="AC365" s="10">
        <v>44574</v>
      </c>
      <c r="AD365" s="10" t="s">
        <v>72</v>
      </c>
      <c r="AE365" t="s">
        <v>72</v>
      </c>
      <c r="AF365" t="s">
        <v>45</v>
      </c>
    </row>
    <row r="366" spans="1:32" x14ac:dyDescent="0.25">
      <c r="A366">
        <v>771</v>
      </c>
      <c r="B366">
        <v>35</v>
      </c>
      <c r="C366" t="s">
        <v>43</v>
      </c>
      <c r="D366" t="s">
        <v>63</v>
      </c>
      <c r="E366" t="s">
        <v>34</v>
      </c>
      <c r="F366" t="s">
        <v>35</v>
      </c>
      <c r="G366" t="s">
        <v>59</v>
      </c>
      <c r="H366" t="s">
        <v>47</v>
      </c>
      <c r="I366" t="s">
        <v>50</v>
      </c>
      <c r="J366" t="s">
        <v>62</v>
      </c>
      <c r="K366">
        <v>1</v>
      </c>
      <c r="L366">
        <v>3</v>
      </c>
      <c r="M366" t="s">
        <v>58</v>
      </c>
      <c r="N366" t="s">
        <v>52</v>
      </c>
      <c r="O366" t="s">
        <v>36</v>
      </c>
      <c r="P366" t="s">
        <v>43</v>
      </c>
      <c r="Q366">
        <v>11</v>
      </c>
      <c r="R366">
        <v>2</v>
      </c>
      <c r="S366">
        <v>16</v>
      </c>
      <c r="T366">
        <v>0</v>
      </c>
      <c r="U366">
        <v>0</v>
      </c>
      <c r="V366">
        <v>2</v>
      </c>
      <c r="W366">
        <v>61</v>
      </c>
      <c r="X366">
        <v>1225</v>
      </c>
      <c r="Y366">
        <v>4761</v>
      </c>
      <c r="Z366">
        <v>5093</v>
      </c>
      <c r="AA366">
        <v>2</v>
      </c>
      <c r="AB366">
        <v>32177</v>
      </c>
      <c r="AC366" s="10">
        <v>44581</v>
      </c>
      <c r="AD366" s="10" t="s">
        <v>72</v>
      </c>
      <c r="AE366" t="s">
        <v>72</v>
      </c>
      <c r="AF366" t="s">
        <v>45</v>
      </c>
    </row>
    <row r="367" spans="1:32" x14ac:dyDescent="0.25">
      <c r="A367">
        <v>1724</v>
      </c>
      <c r="B367">
        <v>40</v>
      </c>
      <c r="C367" t="s">
        <v>43</v>
      </c>
      <c r="D367" t="s">
        <v>33</v>
      </c>
      <c r="E367" t="s">
        <v>34</v>
      </c>
      <c r="F367" t="s">
        <v>67</v>
      </c>
      <c r="G367" t="s">
        <v>38</v>
      </c>
      <c r="H367" t="s">
        <v>47</v>
      </c>
      <c r="I367" t="s">
        <v>50</v>
      </c>
      <c r="J367" t="s">
        <v>65</v>
      </c>
      <c r="K367">
        <v>1</v>
      </c>
      <c r="L367">
        <v>3</v>
      </c>
      <c r="M367" t="s">
        <v>48</v>
      </c>
      <c r="N367" t="s">
        <v>61</v>
      </c>
      <c r="O367" t="s">
        <v>36</v>
      </c>
      <c r="P367" t="s">
        <v>32</v>
      </c>
      <c r="Q367">
        <v>16</v>
      </c>
      <c r="R367">
        <v>2</v>
      </c>
      <c r="S367">
        <v>18</v>
      </c>
      <c r="T367">
        <v>0</v>
      </c>
      <c r="U367">
        <v>0</v>
      </c>
      <c r="V367">
        <v>8</v>
      </c>
      <c r="W367">
        <v>92</v>
      </c>
      <c r="X367">
        <v>369</v>
      </c>
      <c r="Y367">
        <v>5041</v>
      </c>
      <c r="Z367">
        <v>6516</v>
      </c>
      <c r="AA367">
        <v>3</v>
      </c>
      <c r="AB367">
        <v>30215</v>
      </c>
      <c r="AC367" s="10">
        <v>44583</v>
      </c>
      <c r="AD367" s="10" t="s">
        <v>72</v>
      </c>
      <c r="AE367" t="s">
        <v>72</v>
      </c>
      <c r="AF367" t="s">
        <v>45</v>
      </c>
    </row>
    <row r="368" spans="1:32" x14ac:dyDescent="0.25">
      <c r="A368">
        <v>661</v>
      </c>
      <c r="B368">
        <v>43</v>
      </c>
      <c r="C368" t="s">
        <v>43</v>
      </c>
      <c r="D368" t="s">
        <v>33</v>
      </c>
      <c r="E368" t="s">
        <v>34</v>
      </c>
      <c r="F368" t="s">
        <v>35</v>
      </c>
      <c r="G368" t="s">
        <v>38</v>
      </c>
      <c r="H368" t="s">
        <v>37</v>
      </c>
      <c r="I368" t="s">
        <v>38</v>
      </c>
      <c r="J368" t="s">
        <v>71</v>
      </c>
      <c r="K368">
        <v>4</v>
      </c>
      <c r="L368">
        <v>3</v>
      </c>
      <c r="M368" t="s">
        <v>60</v>
      </c>
      <c r="N368" t="s">
        <v>52</v>
      </c>
      <c r="O368" t="s">
        <v>36</v>
      </c>
      <c r="P368" t="s">
        <v>32</v>
      </c>
      <c r="Q368">
        <v>14</v>
      </c>
      <c r="R368">
        <v>4</v>
      </c>
      <c r="S368">
        <v>21</v>
      </c>
      <c r="T368">
        <v>0</v>
      </c>
      <c r="U368">
        <v>0</v>
      </c>
      <c r="V368">
        <v>6</v>
      </c>
      <c r="W368">
        <v>50</v>
      </c>
      <c r="X368">
        <v>782</v>
      </c>
      <c r="Y368">
        <v>2671</v>
      </c>
      <c r="Z368">
        <v>16627</v>
      </c>
      <c r="AA368">
        <v>3</v>
      </c>
      <c r="AB368">
        <v>29110</v>
      </c>
      <c r="AC368" s="10">
        <v>44584</v>
      </c>
      <c r="AD368" s="10" t="s">
        <v>72</v>
      </c>
      <c r="AE368" t="s">
        <v>72</v>
      </c>
      <c r="AF368" t="s">
        <v>45</v>
      </c>
    </row>
    <row r="369" spans="1:32" x14ac:dyDescent="0.25">
      <c r="A369">
        <v>1125</v>
      </c>
      <c r="B369">
        <v>38</v>
      </c>
      <c r="C369" t="s">
        <v>43</v>
      </c>
      <c r="D369" t="s">
        <v>33</v>
      </c>
      <c r="E369" t="s">
        <v>56</v>
      </c>
      <c r="F369" t="s">
        <v>67</v>
      </c>
      <c r="G369" t="s">
        <v>59</v>
      </c>
      <c r="H369" t="s">
        <v>37</v>
      </c>
      <c r="I369" t="s">
        <v>50</v>
      </c>
      <c r="J369" t="s">
        <v>57</v>
      </c>
      <c r="K369">
        <v>2</v>
      </c>
      <c r="L369">
        <v>3</v>
      </c>
      <c r="M369" t="s">
        <v>48</v>
      </c>
      <c r="N369" t="s">
        <v>41</v>
      </c>
      <c r="O369" t="s">
        <v>42</v>
      </c>
      <c r="P369" t="s">
        <v>43</v>
      </c>
      <c r="Q369">
        <v>16</v>
      </c>
      <c r="R369">
        <v>7</v>
      </c>
      <c r="S369">
        <v>10</v>
      </c>
      <c r="T369">
        <v>0</v>
      </c>
      <c r="U369">
        <v>0</v>
      </c>
      <c r="V369">
        <v>2</v>
      </c>
      <c r="W369">
        <v>32</v>
      </c>
      <c r="X369">
        <v>130</v>
      </c>
      <c r="Y369">
        <v>20619</v>
      </c>
      <c r="Z369">
        <v>7351</v>
      </c>
      <c r="AA369">
        <v>2</v>
      </c>
      <c r="AB369">
        <v>30916</v>
      </c>
      <c r="AC369" s="10">
        <v>44591</v>
      </c>
      <c r="AD369" s="10" t="s">
        <v>72</v>
      </c>
      <c r="AE369" t="s">
        <v>72</v>
      </c>
      <c r="AF369" t="s">
        <v>45</v>
      </c>
    </row>
    <row r="370" spans="1:32" x14ac:dyDescent="0.25">
      <c r="A370">
        <v>334</v>
      </c>
      <c r="B370">
        <v>41</v>
      </c>
      <c r="C370" t="s">
        <v>43</v>
      </c>
      <c r="D370" t="s">
        <v>33</v>
      </c>
      <c r="E370" t="s">
        <v>34</v>
      </c>
      <c r="F370" t="s">
        <v>67</v>
      </c>
      <c r="G370" t="s">
        <v>50</v>
      </c>
      <c r="H370" t="s">
        <v>37</v>
      </c>
      <c r="I370" t="s">
        <v>50</v>
      </c>
      <c r="J370" t="s">
        <v>39</v>
      </c>
      <c r="K370">
        <v>1</v>
      </c>
      <c r="L370">
        <v>3</v>
      </c>
      <c r="M370" t="s">
        <v>60</v>
      </c>
      <c r="N370" t="s">
        <v>52</v>
      </c>
      <c r="O370" t="s">
        <v>53</v>
      </c>
      <c r="P370" t="s">
        <v>43</v>
      </c>
      <c r="Q370">
        <v>16</v>
      </c>
      <c r="R370">
        <v>2</v>
      </c>
      <c r="S370">
        <v>17</v>
      </c>
      <c r="T370">
        <v>0</v>
      </c>
      <c r="U370">
        <v>0</v>
      </c>
      <c r="V370">
        <v>19</v>
      </c>
      <c r="W370">
        <v>36</v>
      </c>
      <c r="X370">
        <v>1411</v>
      </c>
      <c r="Y370">
        <v>19877</v>
      </c>
      <c r="Z370">
        <v>3072</v>
      </c>
      <c r="AA370">
        <v>2</v>
      </c>
      <c r="AB370">
        <v>29800</v>
      </c>
      <c r="AC370" s="10">
        <v>44605</v>
      </c>
      <c r="AD370" s="10" t="s">
        <v>72</v>
      </c>
      <c r="AE370" t="s">
        <v>72</v>
      </c>
      <c r="AF370" t="s">
        <v>55</v>
      </c>
    </row>
    <row r="371" spans="1:32" x14ac:dyDescent="0.25">
      <c r="A371">
        <v>568</v>
      </c>
      <c r="B371">
        <v>57</v>
      </c>
      <c r="C371" t="s">
        <v>43</v>
      </c>
      <c r="D371" t="s">
        <v>33</v>
      </c>
      <c r="E371" t="s">
        <v>56</v>
      </c>
      <c r="F371" t="s">
        <v>49</v>
      </c>
      <c r="G371" t="s">
        <v>36</v>
      </c>
      <c r="H371" t="s">
        <v>37</v>
      </c>
      <c r="I371" t="s">
        <v>38</v>
      </c>
      <c r="J371" t="s">
        <v>69</v>
      </c>
      <c r="K371">
        <v>4</v>
      </c>
      <c r="L371">
        <v>3</v>
      </c>
      <c r="M371" t="s">
        <v>60</v>
      </c>
      <c r="N371" t="s">
        <v>52</v>
      </c>
      <c r="O371" t="s">
        <v>36</v>
      </c>
      <c r="P371" t="s">
        <v>43</v>
      </c>
      <c r="Q371">
        <v>12</v>
      </c>
      <c r="R371">
        <v>3</v>
      </c>
      <c r="S371">
        <v>32</v>
      </c>
      <c r="T371">
        <v>0</v>
      </c>
      <c r="U371">
        <v>0</v>
      </c>
      <c r="V371">
        <v>29</v>
      </c>
      <c r="W371">
        <v>56</v>
      </c>
      <c r="X371">
        <v>210</v>
      </c>
      <c r="Y371">
        <v>22102</v>
      </c>
      <c r="Z371">
        <v>14118</v>
      </c>
      <c r="AA371">
        <v>3</v>
      </c>
      <c r="AB371">
        <v>24318</v>
      </c>
      <c r="AC371" s="10">
        <v>44607</v>
      </c>
      <c r="AD371" s="10" t="s">
        <v>72</v>
      </c>
      <c r="AE371" t="s">
        <v>72</v>
      </c>
      <c r="AF371" t="s">
        <v>45</v>
      </c>
    </row>
    <row r="372" spans="1:32" x14ac:dyDescent="0.25">
      <c r="A372">
        <v>1292</v>
      </c>
      <c r="B372">
        <v>42</v>
      </c>
      <c r="C372" t="s">
        <v>43</v>
      </c>
      <c r="D372" t="s">
        <v>33</v>
      </c>
      <c r="E372" t="s">
        <v>34</v>
      </c>
      <c r="F372" t="s">
        <v>35</v>
      </c>
      <c r="G372" t="s">
        <v>38</v>
      </c>
      <c r="H372" t="s">
        <v>47</v>
      </c>
      <c r="I372" t="s">
        <v>59</v>
      </c>
      <c r="J372" t="s">
        <v>39</v>
      </c>
      <c r="K372">
        <v>2</v>
      </c>
      <c r="L372">
        <v>3</v>
      </c>
      <c r="M372" t="s">
        <v>48</v>
      </c>
      <c r="N372" t="s">
        <v>61</v>
      </c>
      <c r="O372" t="s">
        <v>42</v>
      </c>
      <c r="P372" t="s">
        <v>32</v>
      </c>
      <c r="Q372">
        <v>16</v>
      </c>
      <c r="R372">
        <v>6</v>
      </c>
      <c r="S372">
        <v>18</v>
      </c>
      <c r="T372">
        <v>0</v>
      </c>
      <c r="U372">
        <v>0</v>
      </c>
      <c r="V372">
        <v>7</v>
      </c>
      <c r="W372">
        <v>78</v>
      </c>
      <c r="X372">
        <v>603</v>
      </c>
      <c r="Y372">
        <v>5628</v>
      </c>
      <c r="Z372">
        <v>2372</v>
      </c>
      <c r="AA372">
        <v>2</v>
      </c>
      <c r="AB372">
        <v>29617</v>
      </c>
      <c r="AC372" s="10">
        <v>44620</v>
      </c>
      <c r="AD372" s="10" t="s">
        <v>72</v>
      </c>
      <c r="AE372" t="s">
        <v>72</v>
      </c>
      <c r="AF372" t="s">
        <v>45</v>
      </c>
    </row>
    <row r="373" spans="1:32" x14ac:dyDescent="0.25">
      <c r="A373">
        <v>101</v>
      </c>
      <c r="B373">
        <v>45</v>
      </c>
      <c r="C373" t="s">
        <v>43</v>
      </c>
      <c r="D373" t="s">
        <v>33</v>
      </c>
      <c r="E373" t="s">
        <v>34</v>
      </c>
      <c r="F373" t="s">
        <v>35</v>
      </c>
      <c r="G373" t="s">
        <v>59</v>
      </c>
      <c r="H373" t="s">
        <v>37</v>
      </c>
      <c r="I373" t="s">
        <v>50</v>
      </c>
      <c r="J373" t="s">
        <v>71</v>
      </c>
      <c r="K373">
        <v>1</v>
      </c>
      <c r="L373">
        <v>2</v>
      </c>
      <c r="M373" t="s">
        <v>58</v>
      </c>
      <c r="N373" t="s">
        <v>61</v>
      </c>
      <c r="O373" t="s">
        <v>42</v>
      </c>
      <c r="P373" t="s">
        <v>32</v>
      </c>
      <c r="Q373">
        <v>14</v>
      </c>
      <c r="R373">
        <v>4</v>
      </c>
      <c r="S373">
        <v>17</v>
      </c>
      <c r="T373">
        <v>0</v>
      </c>
      <c r="U373">
        <v>0</v>
      </c>
      <c r="V373">
        <v>6</v>
      </c>
      <c r="W373">
        <v>52</v>
      </c>
      <c r="X373">
        <v>193</v>
      </c>
      <c r="Y373">
        <v>15067</v>
      </c>
      <c r="Z373">
        <v>13245</v>
      </c>
      <c r="AA373">
        <v>3</v>
      </c>
      <c r="AB373">
        <v>28536</v>
      </c>
      <c r="AC373" s="10">
        <v>44644</v>
      </c>
      <c r="AD373" s="10" t="s">
        <v>72</v>
      </c>
      <c r="AE373" t="s">
        <v>72</v>
      </c>
      <c r="AF373" t="s">
        <v>55</v>
      </c>
    </row>
    <row r="374" spans="1:32" x14ac:dyDescent="0.25">
      <c r="A374">
        <v>479</v>
      </c>
      <c r="B374">
        <v>36</v>
      </c>
      <c r="C374" t="s">
        <v>43</v>
      </c>
      <c r="D374" t="s">
        <v>63</v>
      </c>
      <c r="E374" t="s">
        <v>56</v>
      </c>
      <c r="F374" t="s">
        <v>70</v>
      </c>
      <c r="G374" t="s">
        <v>59</v>
      </c>
      <c r="H374" t="s">
        <v>47</v>
      </c>
      <c r="I374" t="s">
        <v>50</v>
      </c>
      <c r="J374" t="s">
        <v>57</v>
      </c>
      <c r="K374">
        <v>4</v>
      </c>
      <c r="L374">
        <v>3</v>
      </c>
      <c r="M374" t="s">
        <v>48</v>
      </c>
      <c r="N374" t="s">
        <v>41</v>
      </c>
      <c r="O374" t="s">
        <v>42</v>
      </c>
      <c r="P374" t="s">
        <v>43</v>
      </c>
      <c r="Q374">
        <v>15</v>
      </c>
      <c r="R374">
        <v>4</v>
      </c>
      <c r="S374">
        <v>7</v>
      </c>
      <c r="T374">
        <v>0</v>
      </c>
      <c r="U374">
        <v>0</v>
      </c>
      <c r="V374">
        <v>1</v>
      </c>
      <c r="W374">
        <v>45</v>
      </c>
      <c r="X374">
        <v>845</v>
      </c>
      <c r="Y374">
        <v>15276</v>
      </c>
      <c r="Z374">
        <v>6653</v>
      </c>
      <c r="AA374">
        <v>6</v>
      </c>
      <c r="AB374">
        <v>31662</v>
      </c>
      <c r="AC374" s="10">
        <v>44649</v>
      </c>
      <c r="AD374" s="10" t="s">
        <v>72</v>
      </c>
      <c r="AE374" t="s">
        <v>72</v>
      </c>
      <c r="AF374" t="s">
        <v>45</v>
      </c>
    </row>
    <row r="375" spans="1:32" x14ac:dyDescent="0.25">
      <c r="A375">
        <v>1595</v>
      </c>
      <c r="B375">
        <v>42</v>
      </c>
      <c r="C375" t="s">
        <v>43</v>
      </c>
      <c r="D375" t="s">
        <v>33</v>
      </c>
      <c r="E375" t="s">
        <v>34</v>
      </c>
      <c r="F375" t="s">
        <v>67</v>
      </c>
      <c r="G375" t="s">
        <v>59</v>
      </c>
      <c r="H375" t="s">
        <v>37</v>
      </c>
      <c r="I375" t="s">
        <v>38</v>
      </c>
      <c r="J375" t="s">
        <v>69</v>
      </c>
      <c r="K375">
        <v>4</v>
      </c>
      <c r="L375">
        <v>4</v>
      </c>
      <c r="M375" t="s">
        <v>48</v>
      </c>
      <c r="N375" t="s">
        <v>41</v>
      </c>
      <c r="O375" t="s">
        <v>42</v>
      </c>
      <c r="P375" t="s">
        <v>43</v>
      </c>
      <c r="Q375">
        <v>22</v>
      </c>
      <c r="R375">
        <v>8</v>
      </c>
      <c r="S375">
        <v>24</v>
      </c>
      <c r="T375">
        <v>0</v>
      </c>
      <c r="U375">
        <v>0</v>
      </c>
      <c r="V375">
        <v>9</v>
      </c>
      <c r="W375">
        <v>93</v>
      </c>
      <c r="X375">
        <v>1059</v>
      </c>
      <c r="Y375">
        <v>26362</v>
      </c>
      <c r="Z375">
        <v>19613</v>
      </c>
      <c r="AA375">
        <v>2</v>
      </c>
      <c r="AB375">
        <v>29666</v>
      </c>
      <c r="AC375" s="10">
        <v>44652</v>
      </c>
      <c r="AD375" s="10" t="s">
        <v>72</v>
      </c>
      <c r="AE375" t="s">
        <v>72</v>
      </c>
      <c r="AF375" t="s">
        <v>45</v>
      </c>
    </row>
    <row r="376" spans="1:32" x14ac:dyDescent="0.25">
      <c r="A376">
        <v>468</v>
      </c>
      <c r="B376">
        <v>42</v>
      </c>
      <c r="C376" t="s">
        <v>43</v>
      </c>
      <c r="D376" t="s">
        <v>33</v>
      </c>
      <c r="E376" t="s">
        <v>34</v>
      </c>
      <c r="F376" t="s">
        <v>70</v>
      </c>
      <c r="G376" t="s">
        <v>36</v>
      </c>
      <c r="H376" t="s">
        <v>47</v>
      </c>
      <c r="I376" t="s">
        <v>50</v>
      </c>
      <c r="J376" t="s">
        <v>71</v>
      </c>
      <c r="K376">
        <v>4</v>
      </c>
      <c r="L376">
        <v>3</v>
      </c>
      <c r="M376" t="s">
        <v>48</v>
      </c>
      <c r="N376" t="s">
        <v>41</v>
      </c>
      <c r="O376" t="s">
        <v>42</v>
      </c>
      <c r="P376" t="s">
        <v>43</v>
      </c>
      <c r="Q376">
        <v>14</v>
      </c>
      <c r="R376">
        <v>2</v>
      </c>
      <c r="S376">
        <v>16</v>
      </c>
      <c r="T376">
        <v>0</v>
      </c>
      <c r="U376">
        <v>0</v>
      </c>
      <c r="V376">
        <v>23</v>
      </c>
      <c r="W376">
        <v>44</v>
      </c>
      <c r="X376">
        <v>810</v>
      </c>
      <c r="Y376">
        <v>15901</v>
      </c>
      <c r="Z376">
        <v>15992</v>
      </c>
      <c r="AA376">
        <v>2</v>
      </c>
      <c r="AB376">
        <v>29613</v>
      </c>
      <c r="AC376" s="10">
        <v>44659</v>
      </c>
      <c r="AD376" s="10" t="s">
        <v>72</v>
      </c>
      <c r="AE376" t="s">
        <v>72</v>
      </c>
      <c r="AF376" t="s">
        <v>45</v>
      </c>
    </row>
    <row r="377" spans="1:32" x14ac:dyDescent="0.25">
      <c r="A377">
        <v>1481</v>
      </c>
      <c r="B377">
        <v>44</v>
      </c>
      <c r="C377" t="s">
        <v>43</v>
      </c>
      <c r="D377" t="s">
        <v>46</v>
      </c>
      <c r="E377" t="s">
        <v>56</v>
      </c>
      <c r="F377" t="s">
        <v>70</v>
      </c>
      <c r="G377" t="s">
        <v>36</v>
      </c>
      <c r="H377" t="s">
        <v>47</v>
      </c>
      <c r="I377" t="s">
        <v>50</v>
      </c>
      <c r="J377" t="s">
        <v>57</v>
      </c>
      <c r="K377">
        <v>3</v>
      </c>
      <c r="L377">
        <v>2</v>
      </c>
      <c r="M377" t="s">
        <v>60</v>
      </c>
      <c r="N377" t="s">
        <v>61</v>
      </c>
      <c r="O377" t="s">
        <v>36</v>
      </c>
      <c r="P377" t="s">
        <v>43</v>
      </c>
      <c r="Q377">
        <v>12</v>
      </c>
      <c r="R377">
        <v>7</v>
      </c>
      <c r="S377">
        <v>11</v>
      </c>
      <c r="T377">
        <v>0</v>
      </c>
      <c r="U377">
        <v>0</v>
      </c>
      <c r="V377">
        <v>1</v>
      </c>
      <c r="W377">
        <v>79</v>
      </c>
      <c r="X377">
        <v>383</v>
      </c>
      <c r="Y377">
        <v>9282</v>
      </c>
      <c r="Z377">
        <v>4768</v>
      </c>
      <c r="AA377">
        <v>4</v>
      </c>
      <c r="AB377">
        <v>28864</v>
      </c>
      <c r="AC377" s="10">
        <v>44661</v>
      </c>
      <c r="AD377" s="10" t="s">
        <v>72</v>
      </c>
      <c r="AE377" t="s">
        <v>72</v>
      </c>
      <c r="AF377" t="s">
        <v>45</v>
      </c>
    </row>
    <row r="378" spans="1:32" x14ac:dyDescent="0.25">
      <c r="A378">
        <v>1770</v>
      </c>
      <c r="B378">
        <v>55</v>
      </c>
      <c r="C378" t="s">
        <v>43</v>
      </c>
      <c r="D378" t="s">
        <v>33</v>
      </c>
      <c r="E378" t="s">
        <v>34</v>
      </c>
      <c r="F378" t="s">
        <v>49</v>
      </c>
      <c r="G378" t="s">
        <v>50</v>
      </c>
      <c r="H378" t="s">
        <v>37</v>
      </c>
      <c r="I378" t="s">
        <v>38</v>
      </c>
      <c r="J378" t="s">
        <v>71</v>
      </c>
      <c r="K378">
        <v>1</v>
      </c>
      <c r="L378">
        <v>3</v>
      </c>
      <c r="M378" t="s">
        <v>48</v>
      </c>
      <c r="N378" t="s">
        <v>61</v>
      </c>
      <c r="O378" t="s">
        <v>50</v>
      </c>
      <c r="P378" t="s">
        <v>43</v>
      </c>
      <c r="Q378">
        <v>12</v>
      </c>
      <c r="R378">
        <v>8</v>
      </c>
      <c r="S378">
        <v>34</v>
      </c>
      <c r="T378">
        <v>0</v>
      </c>
      <c r="U378">
        <v>0</v>
      </c>
      <c r="V378">
        <v>2</v>
      </c>
      <c r="W378">
        <v>60</v>
      </c>
      <c r="X378">
        <v>478</v>
      </c>
      <c r="Y378">
        <v>19805</v>
      </c>
      <c r="Z378">
        <v>19038</v>
      </c>
      <c r="AA378">
        <v>2</v>
      </c>
      <c r="AB378">
        <v>24709</v>
      </c>
      <c r="AC378" s="10">
        <v>44671</v>
      </c>
      <c r="AD378" s="10" t="s">
        <v>72</v>
      </c>
      <c r="AE378" t="s">
        <v>72</v>
      </c>
      <c r="AF378" t="s">
        <v>55</v>
      </c>
    </row>
    <row r="379" spans="1:32" x14ac:dyDescent="0.25">
      <c r="A379">
        <v>1515</v>
      </c>
      <c r="B379">
        <v>33</v>
      </c>
      <c r="C379" t="s">
        <v>43</v>
      </c>
      <c r="D379" t="s">
        <v>33</v>
      </c>
      <c r="E379" t="s">
        <v>34</v>
      </c>
      <c r="F379" t="s">
        <v>70</v>
      </c>
      <c r="G379" t="s">
        <v>59</v>
      </c>
      <c r="H379" t="s">
        <v>37</v>
      </c>
      <c r="I379" t="s">
        <v>50</v>
      </c>
      <c r="J379" t="s">
        <v>62</v>
      </c>
      <c r="K379">
        <v>3</v>
      </c>
      <c r="L379">
        <v>3</v>
      </c>
      <c r="M379" t="s">
        <v>48</v>
      </c>
      <c r="N379" t="s">
        <v>41</v>
      </c>
      <c r="O379" t="s">
        <v>42</v>
      </c>
      <c r="P379" t="s">
        <v>32</v>
      </c>
      <c r="Q379">
        <v>17</v>
      </c>
      <c r="R379">
        <v>2</v>
      </c>
      <c r="S379">
        <v>14</v>
      </c>
      <c r="T379">
        <v>0</v>
      </c>
      <c r="U379">
        <v>0</v>
      </c>
      <c r="V379">
        <v>8</v>
      </c>
      <c r="W379">
        <v>69</v>
      </c>
      <c r="X379">
        <v>516</v>
      </c>
      <c r="Y379">
        <v>22049</v>
      </c>
      <c r="Z379">
        <v>6388</v>
      </c>
      <c r="AA379">
        <v>6</v>
      </c>
      <c r="AB379">
        <v>32764</v>
      </c>
      <c r="AC379" s="10">
        <v>44675</v>
      </c>
      <c r="AD379" s="10" t="s">
        <v>72</v>
      </c>
      <c r="AE379" t="s">
        <v>72</v>
      </c>
      <c r="AF379" t="s">
        <v>45</v>
      </c>
    </row>
    <row r="380" spans="1:32" x14ac:dyDescent="0.25">
      <c r="A380">
        <v>1731</v>
      </c>
      <c r="B380">
        <v>47</v>
      </c>
      <c r="C380" t="s">
        <v>43</v>
      </c>
      <c r="D380" t="s">
        <v>63</v>
      </c>
      <c r="E380" t="s">
        <v>56</v>
      </c>
      <c r="F380" t="s">
        <v>35</v>
      </c>
      <c r="G380" t="s">
        <v>50</v>
      </c>
      <c r="H380" t="s">
        <v>37</v>
      </c>
      <c r="I380" t="s">
        <v>50</v>
      </c>
      <c r="J380" t="s">
        <v>57</v>
      </c>
      <c r="K380">
        <v>2</v>
      </c>
      <c r="L380">
        <v>3</v>
      </c>
      <c r="M380" t="s">
        <v>40</v>
      </c>
      <c r="N380" t="s">
        <v>61</v>
      </c>
      <c r="O380" t="s">
        <v>36</v>
      </c>
      <c r="P380" t="s">
        <v>43</v>
      </c>
      <c r="Q380">
        <v>11</v>
      </c>
      <c r="R380">
        <v>7</v>
      </c>
      <c r="S380">
        <v>4</v>
      </c>
      <c r="T380">
        <v>0</v>
      </c>
      <c r="U380">
        <v>0</v>
      </c>
      <c r="V380">
        <v>2</v>
      </c>
      <c r="W380">
        <v>87</v>
      </c>
      <c r="X380">
        <v>543</v>
      </c>
      <c r="Y380">
        <v>3536</v>
      </c>
      <c r="Z380">
        <v>4978</v>
      </c>
      <c r="AA380">
        <v>3</v>
      </c>
      <c r="AB380">
        <v>27765</v>
      </c>
      <c r="AC380" s="10">
        <v>44679</v>
      </c>
      <c r="AD380" s="10" t="s">
        <v>72</v>
      </c>
      <c r="AE380" t="s">
        <v>72</v>
      </c>
      <c r="AF380" t="s">
        <v>45</v>
      </c>
    </row>
    <row r="381" spans="1:32" x14ac:dyDescent="0.25">
      <c r="A381">
        <v>954</v>
      </c>
      <c r="B381">
        <v>40</v>
      </c>
      <c r="C381" t="s">
        <v>43</v>
      </c>
      <c r="D381" t="s">
        <v>33</v>
      </c>
      <c r="E381" t="s">
        <v>56</v>
      </c>
      <c r="F381" t="s">
        <v>35</v>
      </c>
      <c r="G381" t="s">
        <v>36</v>
      </c>
      <c r="H381" t="s">
        <v>37</v>
      </c>
      <c r="I381" t="s">
        <v>38</v>
      </c>
      <c r="J381" t="s">
        <v>57</v>
      </c>
      <c r="K381">
        <v>2</v>
      </c>
      <c r="L381">
        <v>3</v>
      </c>
      <c r="M381" t="s">
        <v>60</v>
      </c>
      <c r="N381" t="s">
        <v>52</v>
      </c>
      <c r="O381" t="s">
        <v>36</v>
      </c>
      <c r="P381" t="s">
        <v>43</v>
      </c>
      <c r="Q381">
        <v>12</v>
      </c>
      <c r="R381">
        <v>2</v>
      </c>
      <c r="S381">
        <v>11</v>
      </c>
      <c r="T381">
        <v>0</v>
      </c>
      <c r="U381">
        <v>0</v>
      </c>
      <c r="V381">
        <v>10</v>
      </c>
      <c r="W381">
        <v>67</v>
      </c>
      <c r="X381">
        <v>658</v>
      </c>
      <c r="Y381">
        <v>20652</v>
      </c>
      <c r="Z381">
        <v>9705</v>
      </c>
      <c r="AA381">
        <v>2</v>
      </c>
      <c r="AB381">
        <v>30226</v>
      </c>
      <c r="AC381" s="10">
        <v>44687</v>
      </c>
      <c r="AD381" s="10" t="s">
        <v>72</v>
      </c>
      <c r="AE381" t="s">
        <v>72</v>
      </c>
      <c r="AF381" t="s">
        <v>45</v>
      </c>
    </row>
    <row r="382" spans="1:32" x14ac:dyDescent="0.25">
      <c r="A382">
        <v>518</v>
      </c>
      <c r="B382">
        <v>37</v>
      </c>
      <c r="C382" t="s">
        <v>43</v>
      </c>
      <c r="D382" t="s">
        <v>33</v>
      </c>
      <c r="E382" t="s">
        <v>34</v>
      </c>
      <c r="F382" t="s">
        <v>35</v>
      </c>
      <c r="G382" t="s">
        <v>50</v>
      </c>
      <c r="H382" t="s">
        <v>37</v>
      </c>
      <c r="I382" t="s">
        <v>50</v>
      </c>
      <c r="J382" t="s">
        <v>65</v>
      </c>
      <c r="K382">
        <v>2</v>
      </c>
      <c r="L382">
        <v>3</v>
      </c>
      <c r="M382" t="s">
        <v>60</v>
      </c>
      <c r="N382" t="s">
        <v>41</v>
      </c>
      <c r="O382" t="s">
        <v>42</v>
      </c>
      <c r="P382" t="s">
        <v>32</v>
      </c>
      <c r="Q382">
        <v>12</v>
      </c>
      <c r="R382">
        <v>2</v>
      </c>
      <c r="S382">
        <v>18</v>
      </c>
      <c r="T382">
        <v>0</v>
      </c>
      <c r="U382">
        <v>0</v>
      </c>
      <c r="V382">
        <v>10</v>
      </c>
      <c r="W382">
        <v>49</v>
      </c>
      <c r="X382">
        <v>1305</v>
      </c>
      <c r="Y382">
        <v>21123</v>
      </c>
      <c r="Z382">
        <v>4197</v>
      </c>
      <c r="AA382">
        <v>2</v>
      </c>
      <c r="AB382">
        <v>31538</v>
      </c>
      <c r="AC382" s="10">
        <v>44695</v>
      </c>
      <c r="AD382" s="10" t="s">
        <v>72</v>
      </c>
      <c r="AE382" t="s">
        <v>72</v>
      </c>
      <c r="AF382" t="s">
        <v>45</v>
      </c>
    </row>
    <row r="383" spans="1:32" x14ac:dyDescent="0.25">
      <c r="A383">
        <v>473</v>
      </c>
      <c r="B383">
        <v>48</v>
      </c>
      <c r="C383" t="s">
        <v>43</v>
      </c>
      <c r="D383" t="s">
        <v>33</v>
      </c>
      <c r="E383" t="s">
        <v>56</v>
      </c>
      <c r="F383" t="s">
        <v>64</v>
      </c>
      <c r="G383" t="s">
        <v>36</v>
      </c>
      <c r="H383" t="s">
        <v>47</v>
      </c>
      <c r="I383" t="s">
        <v>50</v>
      </c>
      <c r="J383" t="s">
        <v>69</v>
      </c>
      <c r="K383">
        <v>3</v>
      </c>
      <c r="L383">
        <v>4</v>
      </c>
      <c r="M383" t="s">
        <v>40</v>
      </c>
      <c r="N383" t="s">
        <v>61</v>
      </c>
      <c r="O383" t="s">
        <v>36</v>
      </c>
      <c r="P383" t="s">
        <v>43</v>
      </c>
      <c r="Q383">
        <v>21</v>
      </c>
      <c r="R383">
        <v>3</v>
      </c>
      <c r="S383">
        <v>15</v>
      </c>
      <c r="T383">
        <v>0</v>
      </c>
      <c r="U383">
        <v>0</v>
      </c>
      <c r="V383">
        <v>29</v>
      </c>
      <c r="W383">
        <v>91</v>
      </c>
      <c r="X383">
        <v>530</v>
      </c>
      <c r="Y383">
        <v>23978</v>
      </c>
      <c r="Z383">
        <v>12504</v>
      </c>
      <c r="AA383">
        <v>3</v>
      </c>
      <c r="AB383">
        <v>27558</v>
      </c>
      <c r="AC383" s="10">
        <v>44698</v>
      </c>
      <c r="AD383" s="10" t="s">
        <v>72</v>
      </c>
      <c r="AE383" t="s">
        <v>72</v>
      </c>
      <c r="AF383" t="s">
        <v>55</v>
      </c>
    </row>
    <row r="384" spans="1:32" x14ac:dyDescent="0.25">
      <c r="A384">
        <v>496</v>
      </c>
      <c r="B384">
        <v>35</v>
      </c>
      <c r="C384" t="s">
        <v>43</v>
      </c>
      <c r="D384" t="s">
        <v>33</v>
      </c>
      <c r="E384" t="s">
        <v>34</v>
      </c>
      <c r="F384" t="s">
        <v>35</v>
      </c>
      <c r="G384" t="s">
        <v>50</v>
      </c>
      <c r="H384" t="s">
        <v>37</v>
      </c>
      <c r="I384" t="s">
        <v>38</v>
      </c>
      <c r="J384" t="s">
        <v>62</v>
      </c>
      <c r="K384">
        <v>2</v>
      </c>
      <c r="L384">
        <v>3</v>
      </c>
      <c r="M384" t="s">
        <v>48</v>
      </c>
      <c r="N384" t="s">
        <v>41</v>
      </c>
      <c r="O384" t="s">
        <v>42</v>
      </c>
      <c r="P384" t="s">
        <v>43</v>
      </c>
      <c r="Q384">
        <v>19</v>
      </c>
      <c r="R384">
        <v>9</v>
      </c>
      <c r="S384">
        <v>10</v>
      </c>
      <c r="T384">
        <v>0</v>
      </c>
      <c r="U384">
        <v>0</v>
      </c>
      <c r="V384">
        <v>9</v>
      </c>
      <c r="W384">
        <v>97</v>
      </c>
      <c r="X384">
        <v>755</v>
      </c>
      <c r="Y384">
        <v>19394</v>
      </c>
      <c r="Z384">
        <v>6540</v>
      </c>
      <c r="AA384">
        <v>5</v>
      </c>
      <c r="AB384">
        <v>32257</v>
      </c>
      <c r="AC384" s="10">
        <v>44703</v>
      </c>
      <c r="AD384" s="10" t="s">
        <v>72</v>
      </c>
      <c r="AE384" t="s">
        <v>72</v>
      </c>
      <c r="AF384" t="s">
        <v>45</v>
      </c>
    </row>
    <row r="385" spans="1:32" x14ac:dyDescent="0.25">
      <c r="A385">
        <v>1697</v>
      </c>
      <c r="B385">
        <v>60</v>
      </c>
      <c r="C385" t="s">
        <v>43</v>
      </c>
      <c r="D385" t="s">
        <v>33</v>
      </c>
      <c r="E385" t="s">
        <v>34</v>
      </c>
      <c r="F385" t="s">
        <v>35</v>
      </c>
      <c r="G385" t="s">
        <v>50</v>
      </c>
      <c r="H385" t="s">
        <v>37</v>
      </c>
      <c r="I385" t="s">
        <v>36</v>
      </c>
      <c r="J385" t="s">
        <v>62</v>
      </c>
      <c r="K385">
        <v>4</v>
      </c>
      <c r="L385">
        <v>4</v>
      </c>
      <c r="M385" t="s">
        <v>58</v>
      </c>
      <c r="N385" t="s">
        <v>52</v>
      </c>
      <c r="O385" t="s">
        <v>36</v>
      </c>
      <c r="P385" t="s">
        <v>43</v>
      </c>
      <c r="Q385">
        <v>20</v>
      </c>
      <c r="R385">
        <v>3</v>
      </c>
      <c r="S385">
        <v>19</v>
      </c>
      <c r="T385">
        <v>0</v>
      </c>
      <c r="U385">
        <v>0</v>
      </c>
      <c r="V385">
        <v>1</v>
      </c>
      <c r="W385">
        <v>92</v>
      </c>
      <c r="X385">
        <v>370</v>
      </c>
      <c r="Y385">
        <v>20467</v>
      </c>
      <c r="Z385">
        <v>10883</v>
      </c>
      <c r="AA385">
        <v>2</v>
      </c>
      <c r="AB385">
        <v>22948</v>
      </c>
      <c r="AC385" s="10">
        <v>44714</v>
      </c>
      <c r="AD385" s="10" t="s">
        <v>72</v>
      </c>
      <c r="AE385" t="s">
        <v>72</v>
      </c>
      <c r="AF385" t="s">
        <v>45</v>
      </c>
    </row>
    <row r="386" spans="1:32" x14ac:dyDescent="0.25">
      <c r="A386">
        <v>1585</v>
      </c>
      <c r="B386">
        <v>36</v>
      </c>
      <c r="C386" t="s">
        <v>43</v>
      </c>
      <c r="D386" t="s">
        <v>33</v>
      </c>
      <c r="E386" t="s">
        <v>56</v>
      </c>
      <c r="F386" t="s">
        <v>35</v>
      </c>
      <c r="G386" t="s">
        <v>38</v>
      </c>
      <c r="H386" t="s">
        <v>47</v>
      </c>
      <c r="I386" t="s">
        <v>50</v>
      </c>
      <c r="J386" t="s">
        <v>57</v>
      </c>
      <c r="K386">
        <v>3</v>
      </c>
      <c r="L386">
        <v>3</v>
      </c>
      <c r="M386" t="s">
        <v>48</v>
      </c>
      <c r="N386" t="s">
        <v>41</v>
      </c>
      <c r="O386" t="s">
        <v>42</v>
      </c>
      <c r="P386" t="s">
        <v>43</v>
      </c>
      <c r="Q386">
        <v>13</v>
      </c>
      <c r="R386">
        <v>6</v>
      </c>
      <c r="S386">
        <v>15</v>
      </c>
      <c r="T386">
        <v>0</v>
      </c>
      <c r="U386">
        <v>0</v>
      </c>
      <c r="V386">
        <v>1</v>
      </c>
      <c r="W386">
        <v>73</v>
      </c>
      <c r="X386">
        <v>884</v>
      </c>
      <c r="Y386">
        <v>21447</v>
      </c>
      <c r="Z386">
        <v>6815</v>
      </c>
      <c r="AA386">
        <v>5</v>
      </c>
      <c r="AB386">
        <v>31630</v>
      </c>
      <c r="AC386" s="10">
        <v>44715</v>
      </c>
      <c r="AD386" s="10" t="s">
        <v>72</v>
      </c>
      <c r="AE386" t="s">
        <v>72</v>
      </c>
      <c r="AF386" t="s">
        <v>45</v>
      </c>
    </row>
    <row r="387" spans="1:32" x14ac:dyDescent="0.25">
      <c r="A387">
        <v>832</v>
      </c>
      <c r="B387">
        <v>40</v>
      </c>
      <c r="C387" t="s">
        <v>43</v>
      </c>
      <c r="D387" t="s">
        <v>46</v>
      </c>
      <c r="E387" t="s">
        <v>34</v>
      </c>
      <c r="F387" t="s">
        <v>35</v>
      </c>
      <c r="G387" t="s">
        <v>36</v>
      </c>
      <c r="H387" t="s">
        <v>37</v>
      </c>
      <c r="I387" t="s">
        <v>38</v>
      </c>
      <c r="J387" t="s">
        <v>51</v>
      </c>
      <c r="K387">
        <v>3</v>
      </c>
      <c r="L387">
        <v>2</v>
      </c>
      <c r="M387" t="s">
        <v>48</v>
      </c>
      <c r="N387" t="s">
        <v>41</v>
      </c>
      <c r="O387" t="s">
        <v>42</v>
      </c>
      <c r="P387" t="s">
        <v>43</v>
      </c>
      <c r="Q387">
        <v>14</v>
      </c>
      <c r="R387">
        <v>6</v>
      </c>
      <c r="S387">
        <v>10</v>
      </c>
      <c r="T387">
        <v>0</v>
      </c>
      <c r="U387">
        <v>0</v>
      </c>
      <c r="V387">
        <v>16</v>
      </c>
      <c r="W387">
        <v>51</v>
      </c>
      <c r="X387">
        <v>720</v>
      </c>
      <c r="Y387">
        <v>11983</v>
      </c>
      <c r="Z387">
        <v>5094</v>
      </c>
      <c r="AA387">
        <v>6</v>
      </c>
      <c r="AB387">
        <v>30528</v>
      </c>
      <c r="AC387" s="10">
        <v>44717</v>
      </c>
      <c r="AD387" s="10" t="s">
        <v>72</v>
      </c>
      <c r="AE387" t="s">
        <v>72</v>
      </c>
      <c r="AF387" t="s">
        <v>45</v>
      </c>
    </row>
    <row r="388" spans="1:32" x14ac:dyDescent="0.25">
      <c r="A388">
        <v>1148</v>
      </c>
      <c r="B388">
        <v>42</v>
      </c>
      <c r="C388" t="s">
        <v>43</v>
      </c>
      <c r="D388" t="s">
        <v>33</v>
      </c>
      <c r="E388" t="s">
        <v>34</v>
      </c>
      <c r="F388" t="s">
        <v>49</v>
      </c>
      <c r="G388" t="s">
        <v>38</v>
      </c>
      <c r="H388" t="s">
        <v>37</v>
      </c>
      <c r="I388" t="s">
        <v>36</v>
      </c>
      <c r="J388" t="s">
        <v>51</v>
      </c>
      <c r="K388">
        <v>4</v>
      </c>
      <c r="L388">
        <v>3</v>
      </c>
      <c r="M388" t="s">
        <v>48</v>
      </c>
      <c r="N388" t="s">
        <v>41</v>
      </c>
      <c r="O388" t="s">
        <v>42</v>
      </c>
      <c r="P388" t="s">
        <v>43</v>
      </c>
      <c r="Q388">
        <v>19</v>
      </c>
      <c r="R388">
        <v>4</v>
      </c>
      <c r="S388">
        <v>16</v>
      </c>
      <c r="T388">
        <v>0</v>
      </c>
      <c r="U388">
        <v>0</v>
      </c>
      <c r="V388">
        <v>29</v>
      </c>
      <c r="W388">
        <v>56</v>
      </c>
      <c r="X388">
        <v>188</v>
      </c>
      <c r="Y388">
        <v>9558</v>
      </c>
      <c r="Z388">
        <v>4272</v>
      </c>
      <c r="AA388">
        <v>3</v>
      </c>
      <c r="AB388">
        <v>29449</v>
      </c>
      <c r="AC388" s="10">
        <v>44725</v>
      </c>
      <c r="AD388" s="10" t="s">
        <v>72</v>
      </c>
      <c r="AE388" t="s">
        <v>72</v>
      </c>
      <c r="AF388" t="s">
        <v>45</v>
      </c>
    </row>
    <row r="389" spans="1:32" x14ac:dyDescent="0.25">
      <c r="A389">
        <v>451</v>
      </c>
      <c r="B389">
        <v>43</v>
      </c>
      <c r="C389" t="s">
        <v>43</v>
      </c>
      <c r="D389" t="s">
        <v>33</v>
      </c>
      <c r="E389" t="s">
        <v>34</v>
      </c>
      <c r="F389" t="s">
        <v>49</v>
      </c>
      <c r="G389" t="s">
        <v>50</v>
      </c>
      <c r="H389" t="s">
        <v>47</v>
      </c>
      <c r="I389" t="s">
        <v>50</v>
      </c>
      <c r="J389" t="s">
        <v>62</v>
      </c>
      <c r="K389">
        <v>1</v>
      </c>
      <c r="L389">
        <v>3</v>
      </c>
      <c r="M389" t="s">
        <v>60</v>
      </c>
      <c r="N389" t="s">
        <v>61</v>
      </c>
      <c r="O389" t="s">
        <v>36</v>
      </c>
      <c r="P389" t="s">
        <v>43</v>
      </c>
      <c r="Q389">
        <v>16</v>
      </c>
      <c r="R389">
        <v>8</v>
      </c>
      <c r="S389">
        <v>10</v>
      </c>
      <c r="T389">
        <v>0</v>
      </c>
      <c r="U389">
        <v>0</v>
      </c>
      <c r="V389">
        <v>7</v>
      </c>
      <c r="W389">
        <v>43</v>
      </c>
      <c r="X389">
        <v>1001</v>
      </c>
      <c r="Y389">
        <v>9262</v>
      </c>
      <c r="Z389">
        <v>9985</v>
      </c>
      <c r="AA389">
        <v>1</v>
      </c>
      <c r="AB389">
        <v>29293</v>
      </c>
      <c r="AC389" s="10">
        <v>44734</v>
      </c>
      <c r="AD389" s="10" t="s">
        <v>72</v>
      </c>
      <c r="AE389" t="s">
        <v>72</v>
      </c>
      <c r="AF389" t="s">
        <v>45</v>
      </c>
    </row>
    <row r="390" spans="1:32" x14ac:dyDescent="0.25">
      <c r="A390">
        <v>578</v>
      </c>
      <c r="B390">
        <v>54</v>
      </c>
      <c r="C390" t="s">
        <v>43</v>
      </c>
      <c r="D390" t="s">
        <v>33</v>
      </c>
      <c r="E390" t="s">
        <v>34</v>
      </c>
      <c r="F390" t="s">
        <v>35</v>
      </c>
      <c r="G390" t="s">
        <v>50</v>
      </c>
      <c r="H390" t="s">
        <v>47</v>
      </c>
      <c r="I390" t="s">
        <v>50</v>
      </c>
      <c r="J390" t="s">
        <v>51</v>
      </c>
      <c r="K390">
        <v>3</v>
      </c>
      <c r="L390">
        <v>3</v>
      </c>
      <c r="M390" t="s">
        <v>48</v>
      </c>
      <c r="N390" t="s">
        <v>41</v>
      </c>
      <c r="O390" t="s">
        <v>42</v>
      </c>
      <c r="P390" t="s">
        <v>43</v>
      </c>
      <c r="Q390">
        <v>11</v>
      </c>
      <c r="R390">
        <v>7</v>
      </c>
      <c r="S390">
        <v>19</v>
      </c>
      <c r="T390">
        <v>0</v>
      </c>
      <c r="U390">
        <v>0</v>
      </c>
      <c r="V390">
        <v>8</v>
      </c>
      <c r="W390">
        <v>42</v>
      </c>
      <c r="X390">
        <v>548</v>
      </c>
      <c r="Y390">
        <v>23428</v>
      </c>
      <c r="Z390">
        <v>3780</v>
      </c>
      <c r="AA390">
        <v>3</v>
      </c>
      <c r="AB390">
        <v>25321</v>
      </c>
      <c r="AC390" s="10">
        <v>44739</v>
      </c>
      <c r="AD390" s="10" t="s">
        <v>72</v>
      </c>
      <c r="AE390" t="s">
        <v>72</v>
      </c>
      <c r="AF390" t="s">
        <v>55</v>
      </c>
    </row>
    <row r="391" spans="1:32" x14ac:dyDescent="0.25">
      <c r="A391">
        <v>1040</v>
      </c>
      <c r="B391">
        <v>50</v>
      </c>
      <c r="C391" t="s">
        <v>43</v>
      </c>
      <c r="D391" t="s">
        <v>63</v>
      </c>
      <c r="E391" t="s">
        <v>56</v>
      </c>
      <c r="F391" t="s">
        <v>49</v>
      </c>
      <c r="G391" t="s">
        <v>59</v>
      </c>
      <c r="H391" t="s">
        <v>47</v>
      </c>
      <c r="I391" t="s">
        <v>50</v>
      </c>
      <c r="J391" t="s">
        <v>57</v>
      </c>
      <c r="K391">
        <v>3</v>
      </c>
      <c r="L391">
        <v>1</v>
      </c>
      <c r="M391" t="s">
        <v>48</v>
      </c>
      <c r="N391" t="s">
        <v>61</v>
      </c>
      <c r="O391" t="s">
        <v>36</v>
      </c>
      <c r="P391" t="s">
        <v>43</v>
      </c>
      <c r="Q391">
        <v>12</v>
      </c>
      <c r="R391">
        <v>0</v>
      </c>
      <c r="S391">
        <v>19</v>
      </c>
      <c r="T391">
        <v>0</v>
      </c>
      <c r="U391">
        <v>13</v>
      </c>
      <c r="V391">
        <v>1</v>
      </c>
      <c r="W391">
        <v>95</v>
      </c>
      <c r="X391">
        <v>145</v>
      </c>
      <c r="Y391">
        <v>24920</v>
      </c>
      <c r="Z391">
        <v>6347</v>
      </c>
      <c r="AA391">
        <v>3</v>
      </c>
      <c r="AB391">
        <v>26520</v>
      </c>
      <c r="AC391" s="10">
        <v>38557</v>
      </c>
      <c r="AD391" s="10" t="s">
        <v>72</v>
      </c>
      <c r="AE391" t="s">
        <v>72</v>
      </c>
      <c r="AF391" t="s">
        <v>45</v>
      </c>
    </row>
    <row r="392" spans="1:32" x14ac:dyDescent="0.25">
      <c r="A392">
        <v>1133</v>
      </c>
      <c r="B392">
        <v>36</v>
      </c>
      <c r="C392" t="s">
        <v>43</v>
      </c>
      <c r="D392" t="s">
        <v>63</v>
      </c>
      <c r="E392" t="s">
        <v>34</v>
      </c>
      <c r="F392" t="s">
        <v>35</v>
      </c>
      <c r="G392" t="s">
        <v>36</v>
      </c>
      <c r="H392" t="s">
        <v>37</v>
      </c>
      <c r="I392" t="s">
        <v>50</v>
      </c>
      <c r="J392" t="s">
        <v>65</v>
      </c>
      <c r="K392">
        <v>4</v>
      </c>
      <c r="L392">
        <v>4</v>
      </c>
      <c r="M392" t="s">
        <v>48</v>
      </c>
      <c r="N392" t="s">
        <v>41</v>
      </c>
      <c r="O392" t="s">
        <v>42</v>
      </c>
      <c r="P392" t="s">
        <v>43</v>
      </c>
      <c r="Q392">
        <v>20</v>
      </c>
      <c r="R392">
        <v>2</v>
      </c>
      <c r="S392">
        <v>18</v>
      </c>
      <c r="T392">
        <v>0</v>
      </c>
      <c r="U392">
        <v>9</v>
      </c>
      <c r="V392">
        <v>18</v>
      </c>
      <c r="W392">
        <v>78</v>
      </c>
      <c r="X392">
        <v>217</v>
      </c>
      <c r="Y392">
        <v>23238</v>
      </c>
      <c r="Z392">
        <v>7779</v>
      </c>
      <c r="AA392">
        <v>0</v>
      </c>
      <c r="AB392">
        <v>31982</v>
      </c>
      <c r="AC392" s="10">
        <v>41088</v>
      </c>
      <c r="AD392" s="10" t="s">
        <v>72</v>
      </c>
      <c r="AE392" t="s">
        <v>72</v>
      </c>
      <c r="AF392" t="s">
        <v>45</v>
      </c>
    </row>
    <row r="393" spans="1:32" x14ac:dyDescent="0.25">
      <c r="A393">
        <v>1890</v>
      </c>
      <c r="B393">
        <v>36</v>
      </c>
      <c r="C393" t="s">
        <v>43</v>
      </c>
      <c r="D393" t="s">
        <v>46</v>
      </c>
      <c r="E393" t="s">
        <v>68</v>
      </c>
      <c r="F393" t="s">
        <v>64</v>
      </c>
      <c r="G393" t="s">
        <v>38</v>
      </c>
      <c r="H393" t="s">
        <v>37</v>
      </c>
      <c r="I393" t="s">
        <v>38</v>
      </c>
      <c r="J393" t="s">
        <v>68</v>
      </c>
      <c r="K393">
        <v>4</v>
      </c>
      <c r="L393">
        <v>4</v>
      </c>
      <c r="M393" t="s">
        <v>60</v>
      </c>
      <c r="N393" t="s">
        <v>41</v>
      </c>
      <c r="O393" t="s">
        <v>42</v>
      </c>
      <c r="P393" t="s">
        <v>43</v>
      </c>
      <c r="Q393">
        <v>21</v>
      </c>
      <c r="R393">
        <v>1</v>
      </c>
      <c r="S393">
        <v>10</v>
      </c>
      <c r="T393">
        <v>0</v>
      </c>
      <c r="U393">
        <v>8</v>
      </c>
      <c r="V393">
        <v>2</v>
      </c>
      <c r="W393">
        <v>94</v>
      </c>
      <c r="X393">
        <v>1213</v>
      </c>
      <c r="Y393">
        <v>4223</v>
      </c>
      <c r="Z393">
        <v>3886</v>
      </c>
      <c r="AA393">
        <v>2</v>
      </c>
      <c r="AB393">
        <v>31785</v>
      </c>
      <c r="AC393" s="10">
        <v>41292</v>
      </c>
      <c r="AD393" s="10" t="s">
        <v>72</v>
      </c>
      <c r="AE393" t="s">
        <v>72</v>
      </c>
      <c r="AF393" t="s">
        <v>45</v>
      </c>
    </row>
    <row r="394" spans="1:32" x14ac:dyDescent="0.25">
      <c r="A394">
        <v>208</v>
      </c>
      <c r="B394">
        <v>29</v>
      </c>
      <c r="C394" t="s">
        <v>43</v>
      </c>
      <c r="D394" t="s">
        <v>63</v>
      </c>
      <c r="E394" t="s">
        <v>34</v>
      </c>
      <c r="F394" t="s">
        <v>64</v>
      </c>
      <c r="G394" t="s">
        <v>59</v>
      </c>
      <c r="H394" t="s">
        <v>37</v>
      </c>
      <c r="I394" t="s">
        <v>50</v>
      </c>
      <c r="J394" t="s">
        <v>65</v>
      </c>
      <c r="K394">
        <v>3</v>
      </c>
      <c r="L394">
        <v>1</v>
      </c>
      <c r="M394" t="s">
        <v>48</v>
      </c>
      <c r="N394" t="s">
        <v>61</v>
      </c>
      <c r="O394" t="s">
        <v>36</v>
      </c>
      <c r="P394" t="s">
        <v>43</v>
      </c>
      <c r="Q394">
        <v>13</v>
      </c>
      <c r="R394">
        <v>1</v>
      </c>
      <c r="S394">
        <v>10</v>
      </c>
      <c r="T394">
        <v>0</v>
      </c>
      <c r="U394">
        <v>9</v>
      </c>
      <c r="V394">
        <v>1</v>
      </c>
      <c r="W394">
        <v>41</v>
      </c>
      <c r="X394">
        <v>1496</v>
      </c>
      <c r="Y394">
        <v>26283</v>
      </c>
      <c r="Z394">
        <v>4319</v>
      </c>
      <c r="AA394">
        <v>1</v>
      </c>
      <c r="AB394">
        <v>34471</v>
      </c>
      <c r="AC394" s="10">
        <v>41434</v>
      </c>
      <c r="AD394" s="10" t="s">
        <v>72</v>
      </c>
      <c r="AE394" t="s">
        <v>72</v>
      </c>
      <c r="AF394" t="s">
        <v>45</v>
      </c>
    </row>
    <row r="395" spans="1:32" x14ac:dyDescent="0.25">
      <c r="A395">
        <v>159</v>
      </c>
      <c r="B395">
        <v>30</v>
      </c>
      <c r="C395" t="s">
        <v>43</v>
      </c>
      <c r="D395" t="s">
        <v>46</v>
      </c>
      <c r="E395" t="s">
        <v>34</v>
      </c>
      <c r="F395" t="s">
        <v>49</v>
      </c>
      <c r="G395" t="s">
        <v>36</v>
      </c>
      <c r="H395" t="s">
        <v>37</v>
      </c>
      <c r="I395" t="s">
        <v>36</v>
      </c>
      <c r="J395" t="s">
        <v>39</v>
      </c>
      <c r="K395">
        <v>3</v>
      </c>
      <c r="L395">
        <v>4</v>
      </c>
      <c r="M395" t="s">
        <v>60</v>
      </c>
      <c r="N395" t="s">
        <v>52</v>
      </c>
      <c r="O395" t="s">
        <v>50</v>
      </c>
      <c r="P395" t="s">
        <v>43</v>
      </c>
      <c r="Q395">
        <v>25</v>
      </c>
      <c r="R395">
        <v>1</v>
      </c>
      <c r="S395">
        <v>10</v>
      </c>
      <c r="T395">
        <v>0</v>
      </c>
      <c r="U395">
        <v>9</v>
      </c>
      <c r="V395">
        <v>23</v>
      </c>
      <c r="W395">
        <v>96</v>
      </c>
      <c r="X395">
        <v>1312</v>
      </c>
      <c r="Y395">
        <v>22310</v>
      </c>
      <c r="Z395">
        <v>2613</v>
      </c>
      <c r="AA395">
        <v>2</v>
      </c>
      <c r="AB395">
        <v>34130</v>
      </c>
      <c r="AC395" s="10">
        <v>41452</v>
      </c>
      <c r="AD395" s="10" t="s">
        <v>72</v>
      </c>
      <c r="AE395" t="s">
        <v>72</v>
      </c>
      <c r="AF395" t="s">
        <v>45</v>
      </c>
    </row>
    <row r="396" spans="1:32" x14ac:dyDescent="0.25">
      <c r="A396">
        <v>62</v>
      </c>
      <c r="B396">
        <v>46</v>
      </c>
      <c r="C396" t="s">
        <v>43</v>
      </c>
      <c r="D396" t="s">
        <v>46</v>
      </c>
      <c r="E396" t="s">
        <v>56</v>
      </c>
      <c r="F396" t="s">
        <v>35</v>
      </c>
      <c r="G396" t="s">
        <v>36</v>
      </c>
      <c r="H396" t="s">
        <v>37</v>
      </c>
      <c r="I396" t="s">
        <v>50</v>
      </c>
      <c r="J396" t="s">
        <v>57</v>
      </c>
      <c r="K396">
        <v>4</v>
      </c>
      <c r="L396">
        <v>4</v>
      </c>
      <c r="M396" t="s">
        <v>48</v>
      </c>
      <c r="N396" t="s">
        <v>41</v>
      </c>
      <c r="O396" t="s">
        <v>42</v>
      </c>
      <c r="P396" t="s">
        <v>32</v>
      </c>
      <c r="Q396">
        <v>21</v>
      </c>
      <c r="R396">
        <v>4</v>
      </c>
      <c r="S396">
        <v>14</v>
      </c>
      <c r="T396">
        <v>0</v>
      </c>
      <c r="U396">
        <v>8</v>
      </c>
      <c r="V396">
        <v>5</v>
      </c>
      <c r="W396">
        <v>98</v>
      </c>
      <c r="X396">
        <v>1211</v>
      </c>
      <c r="Y396">
        <v>20445</v>
      </c>
      <c r="Z396">
        <v>5772</v>
      </c>
      <c r="AA396">
        <v>4</v>
      </c>
      <c r="AB396">
        <v>28243</v>
      </c>
      <c r="AC396" s="10">
        <v>41577</v>
      </c>
      <c r="AD396" s="10" t="s">
        <v>72</v>
      </c>
      <c r="AE396" t="s">
        <v>72</v>
      </c>
      <c r="AF396" t="s">
        <v>45</v>
      </c>
    </row>
    <row r="397" spans="1:32" x14ac:dyDescent="0.25">
      <c r="A397">
        <v>742</v>
      </c>
      <c r="B397">
        <v>36</v>
      </c>
      <c r="C397" t="s">
        <v>43</v>
      </c>
      <c r="D397" t="s">
        <v>63</v>
      </c>
      <c r="E397" t="s">
        <v>34</v>
      </c>
      <c r="F397" t="s">
        <v>49</v>
      </c>
      <c r="G397" t="s">
        <v>36</v>
      </c>
      <c r="H397" t="s">
        <v>47</v>
      </c>
      <c r="I397" t="s">
        <v>59</v>
      </c>
      <c r="J397" t="s">
        <v>71</v>
      </c>
      <c r="K397">
        <v>1</v>
      </c>
      <c r="L397">
        <v>2</v>
      </c>
      <c r="M397" t="s">
        <v>48</v>
      </c>
      <c r="N397" t="s">
        <v>61</v>
      </c>
      <c r="O397" t="s">
        <v>36</v>
      </c>
      <c r="P397" t="s">
        <v>43</v>
      </c>
      <c r="Q397">
        <v>14</v>
      </c>
      <c r="R397">
        <v>9</v>
      </c>
      <c r="S397">
        <v>10</v>
      </c>
      <c r="T397">
        <v>0</v>
      </c>
      <c r="U397">
        <v>5</v>
      </c>
      <c r="V397">
        <v>8</v>
      </c>
      <c r="W397">
        <v>63</v>
      </c>
      <c r="X397">
        <v>427</v>
      </c>
      <c r="Y397">
        <v>20335</v>
      </c>
      <c r="Z397">
        <v>11713</v>
      </c>
      <c r="AA397">
        <v>2</v>
      </c>
      <c r="AB397">
        <v>31655</v>
      </c>
      <c r="AC397" s="10">
        <v>41938</v>
      </c>
      <c r="AD397" s="10" t="s">
        <v>72</v>
      </c>
      <c r="AE397" t="s">
        <v>72</v>
      </c>
      <c r="AF397" t="s">
        <v>45</v>
      </c>
    </row>
    <row r="398" spans="1:32" x14ac:dyDescent="0.25">
      <c r="A398">
        <v>1103</v>
      </c>
      <c r="B398">
        <v>34</v>
      </c>
      <c r="C398" t="s">
        <v>43</v>
      </c>
      <c r="D398" t="s">
        <v>46</v>
      </c>
      <c r="E398" t="s">
        <v>34</v>
      </c>
      <c r="F398" t="s">
        <v>64</v>
      </c>
      <c r="G398" t="s">
        <v>36</v>
      </c>
      <c r="H398" t="s">
        <v>37</v>
      </c>
      <c r="I398" t="s">
        <v>50</v>
      </c>
      <c r="J398" t="s">
        <v>62</v>
      </c>
      <c r="K398">
        <v>4</v>
      </c>
      <c r="L398">
        <v>2</v>
      </c>
      <c r="M398" t="s">
        <v>60</v>
      </c>
      <c r="N398" t="s">
        <v>41</v>
      </c>
      <c r="O398" t="s">
        <v>42</v>
      </c>
      <c r="P398" t="s">
        <v>43</v>
      </c>
      <c r="Q398">
        <v>17</v>
      </c>
      <c r="R398">
        <v>0</v>
      </c>
      <c r="S398">
        <v>7</v>
      </c>
      <c r="T398">
        <v>0</v>
      </c>
      <c r="U398">
        <v>4</v>
      </c>
      <c r="V398">
        <v>3</v>
      </c>
      <c r="W398">
        <v>45</v>
      </c>
      <c r="X398">
        <v>618</v>
      </c>
      <c r="Y398">
        <v>22266</v>
      </c>
      <c r="Z398">
        <v>7756</v>
      </c>
      <c r="AA398">
        <v>1</v>
      </c>
      <c r="AB398">
        <v>32483</v>
      </c>
      <c r="AC398" s="10">
        <v>42683</v>
      </c>
      <c r="AD398" s="10" t="s">
        <v>72</v>
      </c>
      <c r="AE398" t="s">
        <v>72</v>
      </c>
      <c r="AF398" t="s">
        <v>55</v>
      </c>
    </row>
    <row r="399" spans="1:32" x14ac:dyDescent="0.25">
      <c r="A399">
        <v>714</v>
      </c>
      <c r="B399">
        <v>27</v>
      </c>
      <c r="C399" t="s">
        <v>43</v>
      </c>
      <c r="D399" t="s">
        <v>46</v>
      </c>
      <c r="E399" t="s">
        <v>56</v>
      </c>
      <c r="F399" t="s">
        <v>64</v>
      </c>
      <c r="G399" t="s">
        <v>59</v>
      </c>
      <c r="H399" t="s">
        <v>47</v>
      </c>
      <c r="I399" t="s">
        <v>59</v>
      </c>
      <c r="J399" t="s">
        <v>57</v>
      </c>
      <c r="K399">
        <v>4</v>
      </c>
      <c r="L399">
        <v>4</v>
      </c>
      <c r="M399" t="s">
        <v>48</v>
      </c>
      <c r="N399" t="s">
        <v>52</v>
      </c>
      <c r="O399" t="s">
        <v>53</v>
      </c>
      <c r="P399" t="s">
        <v>32</v>
      </c>
      <c r="Q399">
        <v>20</v>
      </c>
      <c r="R399">
        <v>1</v>
      </c>
      <c r="S399">
        <v>6</v>
      </c>
      <c r="T399">
        <v>0</v>
      </c>
      <c r="U399">
        <v>4</v>
      </c>
      <c r="V399">
        <v>3</v>
      </c>
      <c r="W399">
        <v>71</v>
      </c>
      <c r="X399">
        <v>1410</v>
      </c>
      <c r="Y399">
        <v>16673</v>
      </c>
      <c r="Z399">
        <v>4647</v>
      </c>
      <c r="AA399">
        <v>3</v>
      </c>
      <c r="AB399">
        <v>35130</v>
      </c>
      <c r="AC399" s="10">
        <v>42703</v>
      </c>
      <c r="AD399" s="10" t="s">
        <v>72</v>
      </c>
      <c r="AE399" t="s">
        <v>72</v>
      </c>
      <c r="AF399" t="s">
        <v>45</v>
      </c>
    </row>
    <row r="400" spans="1:32" x14ac:dyDescent="0.25">
      <c r="A400">
        <v>1397</v>
      </c>
      <c r="B400">
        <v>39</v>
      </c>
      <c r="C400" t="s">
        <v>43</v>
      </c>
      <c r="D400" t="s">
        <v>63</v>
      </c>
      <c r="E400" t="s">
        <v>34</v>
      </c>
      <c r="F400" t="s">
        <v>67</v>
      </c>
      <c r="G400" t="s">
        <v>50</v>
      </c>
      <c r="H400" t="s">
        <v>37</v>
      </c>
      <c r="I400" t="s">
        <v>50</v>
      </c>
      <c r="J400" t="s">
        <v>62</v>
      </c>
      <c r="K400">
        <v>3</v>
      </c>
      <c r="L400">
        <v>4</v>
      </c>
      <c r="M400" t="s">
        <v>48</v>
      </c>
      <c r="N400" t="s">
        <v>61</v>
      </c>
      <c r="O400" t="s">
        <v>36</v>
      </c>
      <c r="P400" t="s">
        <v>43</v>
      </c>
      <c r="Q400">
        <v>21</v>
      </c>
      <c r="R400">
        <v>3</v>
      </c>
      <c r="S400">
        <v>13</v>
      </c>
      <c r="T400">
        <v>0</v>
      </c>
      <c r="U400">
        <v>5</v>
      </c>
      <c r="V400">
        <v>25</v>
      </c>
      <c r="W400">
        <v>71</v>
      </c>
      <c r="X400">
        <v>1485</v>
      </c>
      <c r="Y400">
        <v>3449</v>
      </c>
      <c r="Z400">
        <v>10920</v>
      </c>
      <c r="AA400">
        <v>2</v>
      </c>
      <c r="AB400">
        <v>30712</v>
      </c>
      <c r="AC400" s="10">
        <v>42906</v>
      </c>
      <c r="AD400" s="10" t="s">
        <v>72</v>
      </c>
      <c r="AE400" t="s">
        <v>72</v>
      </c>
      <c r="AF400" t="s">
        <v>45</v>
      </c>
    </row>
    <row r="401" spans="1:32" x14ac:dyDescent="0.25">
      <c r="A401">
        <v>1401</v>
      </c>
      <c r="B401">
        <v>52</v>
      </c>
      <c r="C401" t="s">
        <v>43</v>
      </c>
      <c r="D401" t="s">
        <v>46</v>
      </c>
      <c r="E401" t="s">
        <v>34</v>
      </c>
      <c r="F401" t="s">
        <v>67</v>
      </c>
      <c r="G401" t="s">
        <v>59</v>
      </c>
      <c r="H401" t="s">
        <v>47</v>
      </c>
      <c r="I401" t="s">
        <v>59</v>
      </c>
      <c r="J401" t="s">
        <v>65</v>
      </c>
      <c r="K401">
        <v>3</v>
      </c>
      <c r="L401">
        <v>1</v>
      </c>
      <c r="M401" t="s">
        <v>60</v>
      </c>
      <c r="N401" t="s">
        <v>61</v>
      </c>
      <c r="O401" t="s">
        <v>36</v>
      </c>
      <c r="P401" t="s">
        <v>32</v>
      </c>
      <c r="Q401">
        <v>11</v>
      </c>
      <c r="R401">
        <v>2</v>
      </c>
      <c r="S401">
        <v>24</v>
      </c>
      <c r="T401">
        <v>0</v>
      </c>
      <c r="U401">
        <v>2</v>
      </c>
      <c r="V401">
        <v>28</v>
      </c>
      <c r="W401">
        <v>59</v>
      </c>
      <c r="X401">
        <v>322</v>
      </c>
      <c r="Y401">
        <v>9731</v>
      </c>
      <c r="Z401">
        <v>13247</v>
      </c>
      <c r="AA401">
        <v>3</v>
      </c>
      <c r="AB401">
        <v>26022</v>
      </c>
      <c r="AC401" s="10">
        <v>43092</v>
      </c>
      <c r="AD401" s="10" t="s">
        <v>72</v>
      </c>
      <c r="AE401" t="s">
        <v>72</v>
      </c>
      <c r="AF401" t="s">
        <v>45</v>
      </c>
    </row>
    <row r="402" spans="1:32" x14ac:dyDescent="0.25">
      <c r="A402">
        <v>1471</v>
      </c>
      <c r="B402">
        <v>44</v>
      </c>
      <c r="C402" t="s">
        <v>43</v>
      </c>
      <c r="D402" t="s">
        <v>63</v>
      </c>
      <c r="E402" t="s">
        <v>34</v>
      </c>
      <c r="F402" t="s">
        <v>49</v>
      </c>
      <c r="G402" t="s">
        <v>50</v>
      </c>
      <c r="H402" t="s">
        <v>37</v>
      </c>
      <c r="I402" t="s">
        <v>38</v>
      </c>
      <c r="J402" t="s">
        <v>51</v>
      </c>
      <c r="K402">
        <v>3</v>
      </c>
      <c r="L402">
        <v>2</v>
      </c>
      <c r="M402" t="s">
        <v>48</v>
      </c>
      <c r="N402" t="s">
        <v>41</v>
      </c>
      <c r="O402" t="s">
        <v>42</v>
      </c>
      <c r="P402" t="s">
        <v>43</v>
      </c>
      <c r="Q402">
        <v>14</v>
      </c>
      <c r="R402">
        <v>3</v>
      </c>
      <c r="S402">
        <v>7</v>
      </c>
      <c r="T402">
        <v>0</v>
      </c>
      <c r="U402">
        <v>3</v>
      </c>
      <c r="V402">
        <v>5</v>
      </c>
      <c r="W402">
        <v>90</v>
      </c>
      <c r="X402">
        <v>981</v>
      </c>
      <c r="Y402">
        <v>7973</v>
      </c>
      <c r="Z402">
        <v>3162</v>
      </c>
      <c r="AA402">
        <v>5</v>
      </c>
      <c r="AB402">
        <v>28758</v>
      </c>
      <c r="AC402" s="10">
        <v>43132</v>
      </c>
      <c r="AD402" s="10" t="s">
        <v>72</v>
      </c>
      <c r="AE402" t="s">
        <v>72</v>
      </c>
      <c r="AF402" t="s">
        <v>45</v>
      </c>
    </row>
    <row r="403" spans="1:32" x14ac:dyDescent="0.25">
      <c r="A403">
        <v>359</v>
      </c>
      <c r="B403">
        <v>32</v>
      </c>
      <c r="C403" t="s">
        <v>43</v>
      </c>
      <c r="D403" t="s">
        <v>46</v>
      </c>
      <c r="E403" t="s">
        <v>34</v>
      </c>
      <c r="F403" t="s">
        <v>49</v>
      </c>
      <c r="G403" t="s">
        <v>38</v>
      </c>
      <c r="H403" t="s">
        <v>37</v>
      </c>
      <c r="I403" t="s">
        <v>59</v>
      </c>
      <c r="J403" t="s">
        <v>51</v>
      </c>
      <c r="K403">
        <v>2</v>
      </c>
      <c r="L403">
        <v>4</v>
      </c>
      <c r="M403" t="s">
        <v>40</v>
      </c>
      <c r="N403" t="s">
        <v>61</v>
      </c>
      <c r="O403" t="s">
        <v>42</v>
      </c>
      <c r="P403" t="s">
        <v>43</v>
      </c>
      <c r="Q403">
        <v>20</v>
      </c>
      <c r="R403">
        <v>1</v>
      </c>
      <c r="S403">
        <v>5</v>
      </c>
      <c r="T403">
        <v>0</v>
      </c>
      <c r="U403">
        <v>3</v>
      </c>
      <c r="V403">
        <v>7</v>
      </c>
      <c r="W403">
        <v>100</v>
      </c>
      <c r="X403">
        <v>1311</v>
      </c>
      <c r="Y403">
        <v>26062</v>
      </c>
      <c r="Z403">
        <v>2794</v>
      </c>
      <c r="AA403">
        <v>3</v>
      </c>
      <c r="AB403">
        <v>33131</v>
      </c>
      <c r="AC403" s="10">
        <v>43292</v>
      </c>
      <c r="AD403" s="10" t="s">
        <v>72</v>
      </c>
      <c r="AE403" t="s">
        <v>72</v>
      </c>
      <c r="AF403" t="s">
        <v>45</v>
      </c>
    </row>
    <row r="404" spans="1:32" x14ac:dyDescent="0.25">
      <c r="A404">
        <v>1949</v>
      </c>
      <c r="B404">
        <v>36</v>
      </c>
      <c r="C404" t="s">
        <v>43</v>
      </c>
      <c r="D404" t="s">
        <v>63</v>
      </c>
      <c r="E404" t="s">
        <v>34</v>
      </c>
      <c r="F404" t="s">
        <v>35</v>
      </c>
      <c r="G404" t="s">
        <v>36</v>
      </c>
      <c r="H404" t="s">
        <v>37</v>
      </c>
      <c r="I404" t="s">
        <v>59</v>
      </c>
      <c r="J404" t="s">
        <v>51</v>
      </c>
      <c r="K404">
        <v>2</v>
      </c>
      <c r="L404">
        <v>4</v>
      </c>
      <c r="M404" t="s">
        <v>48</v>
      </c>
      <c r="N404" t="s">
        <v>61</v>
      </c>
      <c r="O404" t="s">
        <v>42</v>
      </c>
      <c r="P404" t="s">
        <v>43</v>
      </c>
      <c r="Q404">
        <v>22</v>
      </c>
      <c r="R404">
        <v>1</v>
      </c>
      <c r="S404">
        <v>5</v>
      </c>
      <c r="T404">
        <v>0</v>
      </c>
      <c r="U404">
        <v>2</v>
      </c>
      <c r="V404">
        <v>9</v>
      </c>
      <c r="W404">
        <v>66</v>
      </c>
      <c r="X404">
        <v>1351</v>
      </c>
      <c r="Y404">
        <v>9238</v>
      </c>
      <c r="Z404">
        <v>2810</v>
      </c>
      <c r="AA404">
        <v>3</v>
      </c>
      <c r="AB404">
        <v>31840</v>
      </c>
      <c r="AC404" s="10">
        <v>43295</v>
      </c>
      <c r="AD404" s="10" t="s">
        <v>72</v>
      </c>
      <c r="AE404" t="s">
        <v>72</v>
      </c>
      <c r="AF404" t="s">
        <v>45</v>
      </c>
    </row>
    <row r="405" spans="1:32" x14ac:dyDescent="0.25">
      <c r="A405">
        <v>1775</v>
      </c>
      <c r="B405">
        <v>53</v>
      </c>
      <c r="C405" t="s">
        <v>43</v>
      </c>
      <c r="D405" t="s">
        <v>63</v>
      </c>
      <c r="E405" t="s">
        <v>34</v>
      </c>
      <c r="F405" t="s">
        <v>35</v>
      </c>
      <c r="G405" t="s">
        <v>36</v>
      </c>
      <c r="H405" t="s">
        <v>47</v>
      </c>
      <c r="I405" t="s">
        <v>38</v>
      </c>
      <c r="J405" t="s">
        <v>65</v>
      </c>
      <c r="K405">
        <v>3</v>
      </c>
      <c r="L405">
        <v>4</v>
      </c>
      <c r="M405" t="s">
        <v>60</v>
      </c>
      <c r="N405" t="s">
        <v>61</v>
      </c>
      <c r="O405" t="s">
        <v>50</v>
      </c>
      <c r="P405" t="s">
        <v>32</v>
      </c>
      <c r="Q405">
        <v>20</v>
      </c>
      <c r="R405">
        <v>4</v>
      </c>
      <c r="S405">
        <v>27</v>
      </c>
      <c r="T405">
        <v>0</v>
      </c>
      <c r="U405">
        <v>2</v>
      </c>
      <c r="V405">
        <v>1</v>
      </c>
      <c r="W405">
        <v>60</v>
      </c>
      <c r="X405">
        <v>661</v>
      </c>
      <c r="Y405">
        <v>22308</v>
      </c>
      <c r="Z405">
        <v>12965</v>
      </c>
      <c r="AA405">
        <v>2</v>
      </c>
      <c r="AB405">
        <v>25488</v>
      </c>
      <c r="AC405" s="10">
        <v>44004</v>
      </c>
      <c r="AD405" s="10" t="s">
        <v>72</v>
      </c>
      <c r="AE405" t="s">
        <v>72</v>
      </c>
      <c r="AF405" t="s">
        <v>55</v>
      </c>
    </row>
    <row r="406" spans="1:32" x14ac:dyDescent="0.25">
      <c r="A406">
        <v>951</v>
      </c>
      <c r="B406">
        <v>32</v>
      </c>
      <c r="C406" t="s">
        <v>43</v>
      </c>
      <c r="D406" t="s">
        <v>63</v>
      </c>
      <c r="E406" t="s">
        <v>34</v>
      </c>
      <c r="F406" t="s">
        <v>49</v>
      </c>
      <c r="G406" t="s">
        <v>50</v>
      </c>
      <c r="H406" t="s">
        <v>47</v>
      </c>
      <c r="I406" t="s">
        <v>38</v>
      </c>
      <c r="J406" t="s">
        <v>51</v>
      </c>
      <c r="K406">
        <v>2</v>
      </c>
      <c r="L406">
        <v>4</v>
      </c>
      <c r="M406" t="s">
        <v>48</v>
      </c>
      <c r="N406" t="s">
        <v>61</v>
      </c>
      <c r="O406" t="s">
        <v>42</v>
      </c>
      <c r="P406" t="s">
        <v>43</v>
      </c>
      <c r="Q406">
        <v>20</v>
      </c>
      <c r="R406">
        <v>6</v>
      </c>
      <c r="S406">
        <v>5</v>
      </c>
      <c r="T406">
        <v>0</v>
      </c>
      <c r="U406">
        <v>2</v>
      </c>
      <c r="V406">
        <v>1</v>
      </c>
      <c r="W406">
        <v>70</v>
      </c>
      <c r="X406">
        <v>1184</v>
      </c>
      <c r="Y406">
        <v>3974</v>
      </c>
      <c r="Z406">
        <v>2332</v>
      </c>
      <c r="AA406">
        <v>3</v>
      </c>
      <c r="AB406">
        <v>33110</v>
      </c>
      <c r="AC406" s="10">
        <v>44010</v>
      </c>
      <c r="AD406" s="10" t="s">
        <v>72</v>
      </c>
      <c r="AE406" t="s">
        <v>72</v>
      </c>
      <c r="AF406" t="s">
        <v>45</v>
      </c>
    </row>
    <row r="407" spans="1:32" x14ac:dyDescent="0.25">
      <c r="A407">
        <v>1753</v>
      </c>
      <c r="B407">
        <v>29</v>
      </c>
      <c r="C407" t="s">
        <v>43</v>
      </c>
      <c r="D407" t="s">
        <v>46</v>
      </c>
      <c r="E407" t="s">
        <v>34</v>
      </c>
      <c r="F407" t="s">
        <v>49</v>
      </c>
      <c r="G407" t="s">
        <v>59</v>
      </c>
      <c r="H407" t="s">
        <v>37</v>
      </c>
      <c r="I407" t="s">
        <v>59</v>
      </c>
      <c r="J407" t="s">
        <v>62</v>
      </c>
      <c r="K407">
        <v>3</v>
      </c>
      <c r="L407">
        <v>2</v>
      </c>
      <c r="M407" t="s">
        <v>58</v>
      </c>
      <c r="N407" t="s">
        <v>41</v>
      </c>
      <c r="O407" t="s">
        <v>42</v>
      </c>
      <c r="P407" t="s">
        <v>32</v>
      </c>
      <c r="Q407">
        <v>12</v>
      </c>
      <c r="R407">
        <v>8</v>
      </c>
      <c r="S407">
        <v>10</v>
      </c>
      <c r="T407">
        <v>0</v>
      </c>
      <c r="U407">
        <v>2</v>
      </c>
      <c r="V407">
        <v>1</v>
      </c>
      <c r="W407">
        <v>70</v>
      </c>
      <c r="X407">
        <v>461</v>
      </c>
      <c r="Y407">
        <v>23060</v>
      </c>
      <c r="Z407">
        <v>6294</v>
      </c>
      <c r="AA407">
        <v>5</v>
      </c>
      <c r="AB407">
        <v>34435</v>
      </c>
      <c r="AC407" s="10">
        <v>44061</v>
      </c>
      <c r="AD407" s="10" t="s">
        <v>72</v>
      </c>
      <c r="AE407" t="s">
        <v>72</v>
      </c>
      <c r="AF407" t="s">
        <v>45</v>
      </c>
    </row>
    <row r="408" spans="1:32" x14ac:dyDescent="0.25">
      <c r="A408">
        <v>1937</v>
      </c>
      <c r="B408">
        <v>38</v>
      </c>
      <c r="C408" t="s">
        <v>43</v>
      </c>
      <c r="D408" t="s">
        <v>46</v>
      </c>
      <c r="E408" t="s">
        <v>34</v>
      </c>
      <c r="F408" t="s">
        <v>49</v>
      </c>
      <c r="G408" t="s">
        <v>59</v>
      </c>
      <c r="H408" t="s">
        <v>47</v>
      </c>
      <c r="I408" t="s">
        <v>38</v>
      </c>
      <c r="J408" t="s">
        <v>39</v>
      </c>
      <c r="K408">
        <v>2</v>
      </c>
      <c r="L408">
        <v>3</v>
      </c>
      <c r="M408" t="s">
        <v>48</v>
      </c>
      <c r="N408" t="s">
        <v>52</v>
      </c>
      <c r="O408" t="s">
        <v>36</v>
      </c>
      <c r="P408" t="s">
        <v>32</v>
      </c>
      <c r="Q408">
        <v>16</v>
      </c>
      <c r="R408">
        <v>1</v>
      </c>
      <c r="S408">
        <v>20</v>
      </c>
      <c r="T408">
        <v>0</v>
      </c>
      <c r="U408">
        <v>7</v>
      </c>
      <c r="V408">
        <v>8</v>
      </c>
      <c r="W408">
        <v>58</v>
      </c>
      <c r="X408">
        <v>1394</v>
      </c>
      <c r="Y408">
        <v>18115</v>
      </c>
      <c r="Z408">
        <v>2133</v>
      </c>
      <c r="AA408">
        <v>3</v>
      </c>
      <c r="AB408">
        <v>31174</v>
      </c>
      <c r="AC408" s="10">
        <v>37784</v>
      </c>
      <c r="AD408" s="10" t="s">
        <v>72</v>
      </c>
      <c r="AE408" t="s">
        <v>72</v>
      </c>
      <c r="AF408" t="s">
        <v>45</v>
      </c>
    </row>
    <row r="409" spans="1:32" x14ac:dyDescent="0.25">
      <c r="A409">
        <v>999</v>
      </c>
      <c r="B409">
        <v>41</v>
      </c>
      <c r="C409" t="s">
        <v>43</v>
      </c>
      <c r="D409" t="s">
        <v>46</v>
      </c>
      <c r="E409" t="s">
        <v>34</v>
      </c>
      <c r="F409" t="s">
        <v>49</v>
      </c>
      <c r="G409" t="s">
        <v>36</v>
      </c>
      <c r="H409" t="s">
        <v>37</v>
      </c>
      <c r="I409" t="s">
        <v>50</v>
      </c>
      <c r="J409" t="s">
        <v>71</v>
      </c>
      <c r="K409">
        <v>3</v>
      </c>
      <c r="L409">
        <v>3</v>
      </c>
      <c r="M409" t="s">
        <v>58</v>
      </c>
      <c r="N409" t="s">
        <v>52</v>
      </c>
      <c r="O409" t="s">
        <v>36</v>
      </c>
      <c r="P409" t="s">
        <v>43</v>
      </c>
      <c r="Q409">
        <v>17</v>
      </c>
      <c r="R409">
        <v>2</v>
      </c>
      <c r="S409">
        <v>21</v>
      </c>
      <c r="T409">
        <v>0</v>
      </c>
      <c r="U409">
        <v>11</v>
      </c>
      <c r="V409">
        <v>9</v>
      </c>
      <c r="W409">
        <v>64</v>
      </c>
      <c r="X409">
        <v>840</v>
      </c>
      <c r="Y409">
        <v>3735</v>
      </c>
      <c r="Z409">
        <v>19419</v>
      </c>
      <c r="AA409">
        <v>2</v>
      </c>
      <c r="AB409">
        <v>30157</v>
      </c>
      <c r="AC409" s="10">
        <v>38541</v>
      </c>
      <c r="AD409" s="10" t="s">
        <v>72</v>
      </c>
      <c r="AE409" t="s">
        <v>72</v>
      </c>
      <c r="AF409" t="s">
        <v>45</v>
      </c>
    </row>
    <row r="410" spans="1:32" x14ac:dyDescent="0.25">
      <c r="A410">
        <v>1774</v>
      </c>
      <c r="B410">
        <v>34</v>
      </c>
      <c r="C410" t="s">
        <v>43</v>
      </c>
      <c r="D410" t="s">
        <v>63</v>
      </c>
      <c r="E410" t="s">
        <v>56</v>
      </c>
      <c r="F410" t="s">
        <v>49</v>
      </c>
      <c r="G410" t="s">
        <v>59</v>
      </c>
      <c r="H410" t="s">
        <v>37</v>
      </c>
      <c r="I410" t="s">
        <v>50</v>
      </c>
      <c r="J410" t="s">
        <v>57</v>
      </c>
      <c r="K410">
        <v>3</v>
      </c>
      <c r="L410">
        <v>3</v>
      </c>
      <c r="M410" t="s">
        <v>48</v>
      </c>
      <c r="N410" t="s">
        <v>52</v>
      </c>
      <c r="O410" t="s">
        <v>36</v>
      </c>
      <c r="P410" t="s">
        <v>32</v>
      </c>
      <c r="Q410">
        <v>14</v>
      </c>
      <c r="R410">
        <v>1</v>
      </c>
      <c r="S410">
        <v>15</v>
      </c>
      <c r="T410">
        <v>0</v>
      </c>
      <c r="U410">
        <v>7</v>
      </c>
      <c r="V410">
        <v>10</v>
      </c>
      <c r="W410">
        <v>87</v>
      </c>
      <c r="X410">
        <v>1375</v>
      </c>
      <c r="Y410">
        <v>12313</v>
      </c>
      <c r="Z410">
        <v>4001</v>
      </c>
      <c r="AA410">
        <v>3</v>
      </c>
      <c r="AB410">
        <v>32574</v>
      </c>
      <c r="AC410" s="10">
        <v>39308</v>
      </c>
      <c r="AD410" s="10" t="s">
        <v>72</v>
      </c>
      <c r="AE410" t="s">
        <v>72</v>
      </c>
      <c r="AF410" t="s">
        <v>45</v>
      </c>
    </row>
    <row r="411" spans="1:32" x14ac:dyDescent="0.25">
      <c r="A411">
        <v>1257</v>
      </c>
      <c r="B411">
        <v>36</v>
      </c>
      <c r="C411" t="s">
        <v>43</v>
      </c>
      <c r="D411" t="s">
        <v>46</v>
      </c>
      <c r="E411" t="s">
        <v>34</v>
      </c>
      <c r="F411" t="s">
        <v>49</v>
      </c>
      <c r="G411" t="s">
        <v>50</v>
      </c>
      <c r="H411" t="s">
        <v>37</v>
      </c>
      <c r="I411" t="s">
        <v>50</v>
      </c>
      <c r="J411" t="s">
        <v>39</v>
      </c>
      <c r="K411">
        <v>2</v>
      </c>
      <c r="L411">
        <v>3</v>
      </c>
      <c r="M411" t="s">
        <v>60</v>
      </c>
      <c r="N411" t="s">
        <v>61</v>
      </c>
      <c r="O411" t="s">
        <v>42</v>
      </c>
      <c r="P411" t="s">
        <v>43</v>
      </c>
      <c r="Q411">
        <v>12</v>
      </c>
      <c r="R411">
        <v>1</v>
      </c>
      <c r="S411">
        <v>12</v>
      </c>
      <c r="T411">
        <v>0</v>
      </c>
      <c r="U411">
        <v>7</v>
      </c>
      <c r="V411">
        <v>3</v>
      </c>
      <c r="W411">
        <v>46</v>
      </c>
      <c r="X411">
        <v>469</v>
      </c>
      <c r="Y411">
        <v>9256</v>
      </c>
      <c r="Z411">
        <v>3692</v>
      </c>
      <c r="AA411">
        <v>2</v>
      </c>
      <c r="AB411">
        <v>31766</v>
      </c>
      <c r="AC411" s="10">
        <v>41102</v>
      </c>
      <c r="AD411" s="10" t="s">
        <v>72</v>
      </c>
      <c r="AE411" t="s">
        <v>72</v>
      </c>
      <c r="AF411" t="s">
        <v>45</v>
      </c>
    </row>
    <row r="412" spans="1:32" x14ac:dyDescent="0.25">
      <c r="A412">
        <v>1642</v>
      </c>
      <c r="B412">
        <v>44</v>
      </c>
      <c r="C412" t="s">
        <v>43</v>
      </c>
      <c r="D412" t="s">
        <v>46</v>
      </c>
      <c r="E412" t="s">
        <v>68</v>
      </c>
      <c r="F412" t="s">
        <v>70</v>
      </c>
      <c r="G412" t="s">
        <v>36</v>
      </c>
      <c r="H412" t="s">
        <v>37</v>
      </c>
      <c r="I412" t="s">
        <v>50</v>
      </c>
      <c r="J412" t="s">
        <v>68</v>
      </c>
      <c r="K412">
        <v>4</v>
      </c>
      <c r="L412">
        <v>3</v>
      </c>
      <c r="M412" t="s">
        <v>48</v>
      </c>
      <c r="N412" t="s">
        <v>61</v>
      </c>
      <c r="O412" t="s">
        <v>42</v>
      </c>
      <c r="P412" t="s">
        <v>32</v>
      </c>
      <c r="Q412">
        <v>11</v>
      </c>
      <c r="R412">
        <v>4</v>
      </c>
      <c r="S412">
        <v>14</v>
      </c>
      <c r="T412">
        <v>0</v>
      </c>
      <c r="U412">
        <v>2</v>
      </c>
      <c r="V412">
        <v>1</v>
      </c>
      <c r="W412">
        <v>37</v>
      </c>
      <c r="X412">
        <v>602</v>
      </c>
      <c r="Y412">
        <v>10503</v>
      </c>
      <c r="Z412">
        <v>5743</v>
      </c>
      <c r="AA412">
        <v>3</v>
      </c>
      <c r="AB412">
        <v>28774</v>
      </c>
      <c r="AC412" s="10">
        <v>41150</v>
      </c>
      <c r="AD412" s="10" t="s">
        <v>72</v>
      </c>
      <c r="AE412" t="s">
        <v>72</v>
      </c>
      <c r="AF412" t="s">
        <v>45</v>
      </c>
    </row>
    <row r="413" spans="1:32" x14ac:dyDescent="0.25">
      <c r="A413">
        <v>2049</v>
      </c>
      <c r="B413">
        <v>35</v>
      </c>
      <c r="C413" t="s">
        <v>43</v>
      </c>
      <c r="D413" t="s">
        <v>46</v>
      </c>
      <c r="E413" t="s">
        <v>34</v>
      </c>
      <c r="F413" t="s">
        <v>35</v>
      </c>
      <c r="G413" t="s">
        <v>50</v>
      </c>
      <c r="H413" t="s">
        <v>37</v>
      </c>
      <c r="I413" t="s">
        <v>50</v>
      </c>
      <c r="J413" t="s">
        <v>62</v>
      </c>
      <c r="K413">
        <v>3</v>
      </c>
      <c r="L413">
        <v>3</v>
      </c>
      <c r="M413" t="s">
        <v>58</v>
      </c>
      <c r="N413" t="s">
        <v>61</v>
      </c>
      <c r="O413" t="s">
        <v>53</v>
      </c>
      <c r="P413" t="s">
        <v>32</v>
      </c>
      <c r="Q413">
        <v>14</v>
      </c>
      <c r="R413">
        <v>1</v>
      </c>
      <c r="S413">
        <v>10</v>
      </c>
      <c r="T413">
        <v>0</v>
      </c>
      <c r="U413">
        <v>2</v>
      </c>
      <c r="V413">
        <v>18</v>
      </c>
      <c r="W413">
        <v>80</v>
      </c>
      <c r="X413">
        <v>1199</v>
      </c>
      <c r="Y413">
        <v>24594</v>
      </c>
      <c r="Z413">
        <v>5689</v>
      </c>
      <c r="AA413">
        <v>2</v>
      </c>
      <c r="AB413">
        <v>32123</v>
      </c>
      <c r="AC413" s="10">
        <v>41158</v>
      </c>
      <c r="AD413" s="10" t="s">
        <v>72</v>
      </c>
      <c r="AE413" t="s">
        <v>72</v>
      </c>
      <c r="AF413" t="s">
        <v>45</v>
      </c>
    </row>
    <row r="414" spans="1:32" x14ac:dyDescent="0.25">
      <c r="A414">
        <v>1220</v>
      </c>
      <c r="B414">
        <v>33</v>
      </c>
      <c r="C414" t="s">
        <v>43</v>
      </c>
      <c r="D414" t="s">
        <v>46</v>
      </c>
      <c r="E414" t="s">
        <v>56</v>
      </c>
      <c r="F414" t="s">
        <v>49</v>
      </c>
      <c r="G414" t="s">
        <v>38</v>
      </c>
      <c r="H414" t="s">
        <v>47</v>
      </c>
      <c r="I414" t="s">
        <v>50</v>
      </c>
      <c r="J414" t="s">
        <v>57</v>
      </c>
      <c r="K414">
        <v>3</v>
      </c>
      <c r="L414">
        <v>3</v>
      </c>
      <c r="M414" t="s">
        <v>60</v>
      </c>
      <c r="N414" t="s">
        <v>61</v>
      </c>
      <c r="O414" t="s">
        <v>36</v>
      </c>
      <c r="P414" t="s">
        <v>43</v>
      </c>
      <c r="Q414">
        <v>12</v>
      </c>
      <c r="R414">
        <v>1</v>
      </c>
      <c r="S414">
        <v>10</v>
      </c>
      <c r="T414">
        <v>0</v>
      </c>
      <c r="U414">
        <v>1</v>
      </c>
      <c r="V414">
        <v>25</v>
      </c>
      <c r="W414">
        <v>82</v>
      </c>
      <c r="X414">
        <v>1146</v>
      </c>
      <c r="Y414">
        <v>4905</v>
      </c>
      <c r="Z414">
        <v>4539</v>
      </c>
      <c r="AA414">
        <v>3</v>
      </c>
      <c r="AB414">
        <v>33001</v>
      </c>
      <c r="AC414" s="10">
        <v>41292</v>
      </c>
      <c r="AD414" s="10" t="s">
        <v>72</v>
      </c>
      <c r="AE414" t="s">
        <v>72</v>
      </c>
      <c r="AF414" t="s">
        <v>45</v>
      </c>
    </row>
    <row r="415" spans="1:32" x14ac:dyDescent="0.25">
      <c r="A415">
        <v>789</v>
      </c>
      <c r="B415">
        <v>36</v>
      </c>
      <c r="C415" t="s">
        <v>43</v>
      </c>
      <c r="D415" t="s">
        <v>63</v>
      </c>
      <c r="E415" t="s">
        <v>56</v>
      </c>
      <c r="F415" t="s">
        <v>35</v>
      </c>
      <c r="G415" t="s">
        <v>36</v>
      </c>
      <c r="H415" t="s">
        <v>37</v>
      </c>
      <c r="I415" t="s">
        <v>38</v>
      </c>
      <c r="J415" t="s">
        <v>57</v>
      </c>
      <c r="K415">
        <v>1</v>
      </c>
      <c r="L415">
        <v>3</v>
      </c>
      <c r="M415" t="s">
        <v>48</v>
      </c>
      <c r="N415" t="s">
        <v>41</v>
      </c>
      <c r="O415" t="s">
        <v>42</v>
      </c>
      <c r="P415" t="s">
        <v>43</v>
      </c>
      <c r="Q415">
        <v>15</v>
      </c>
      <c r="R415">
        <v>1</v>
      </c>
      <c r="S415">
        <v>10</v>
      </c>
      <c r="T415">
        <v>0</v>
      </c>
      <c r="U415">
        <v>9</v>
      </c>
      <c r="V415">
        <v>8</v>
      </c>
      <c r="W415">
        <v>76</v>
      </c>
      <c r="X415">
        <v>1434</v>
      </c>
      <c r="Y415">
        <v>14229</v>
      </c>
      <c r="Z415">
        <v>7587</v>
      </c>
      <c r="AA415">
        <v>1</v>
      </c>
      <c r="AB415">
        <v>31710</v>
      </c>
      <c r="AC415" s="10">
        <v>41346</v>
      </c>
      <c r="AD415" s="10" t="s">
        <v>72</v>
      </c>
      <c r="AE415" t="s">
        <v>72</v>
      </c>
      <c r="AF415" t="s">
        <v>45</v>
      </c>
    </row>
    <row r="416" spans="1:32" x14ac:dyDescent="0.25">
      <c r="A416">
        <v>904</v>
      </c>
      <c r="B416">
        <v>37</v>
      </c>
      <c r="C416" t="s">
        <v>43</v>
      </c>
      <c r="D416" t="s">
        <v>63</v>
      </c>
      <c r="E416" t="s">
        <v>56</v>
      </c>
      <c r="F416" t="s">
        <v>67</v>
      </c>
      <c r="G416" t="s">
        <v>36</v>
      </c>
      <c r="H416" t="s">
        <v>37</v>
      </c>
      <c r="I416" t="s">
        <v>50</v>
      </c>
      <c r="J416" t="s">
        <v>57</v>
      </c>
      <c r="K416">
        <v>2</v>
      </c>
      <c r="L416">
        <v>3</v>
      </c>
      <c r="M416" t="s">
        <v>48</v>
      </c>
      <c r="N416" t="s">
        <v>41</v>
      </c>
      <c r="O416" t="s">
        <v>42</v>
      </c>
      <c r="P416" t="s">
        <v>32</v>
      </c>
      <c r="Q416">
        <v>13</v>
      </c>
      <c r="R416">
        <v>1</v>
      </c>
      <c r="S416">
        <v>10</v>
      </c>
      <c r="T416">
        <v>0</v>
      </c>
      <c r="U416">
        <v>9</v>
      </c>
      <c r="V416">
        <v>19</v>
      </c>
      <c r="W416">
        <v>32</v>
      </c>
      <c r="X416">
        <v>1252</v>
      </c>
      <c r="Y416">
        <v>4814</v>
      </c>
      <c r="Z416">
        <v>7642</v>
      </c>
      <c r="AA416">
        <v>2</v>
      </c>
      <c r="AB416">
        <v>31592</v>
      </c>
      <c r="AC416" s="10">
        <v>41347</v>
      </c>
      <c r="AD416" s="10" t="s">
        <v>72</v>
      </c>
      <c r="AE416" t="s">
        <v>72</v>
      </c>
      <c r="AF416" t="s">
        <v>55</v>
      </c>
    </row>
    <row r="417" spans="1:32" x14ac:dyDescent="0.25">
      <c r="A417">
        <v>306</v>
      </c>
      <c r="B417">
        <v>37</v>
      </c>
      <c r="C417" t="s">
        <v>43</v>
      </c>
      <c r="D417" t="s">
        <v>46</v>
      </c>
      <c r="E417" t="s">
        <v>34</v>
      </c>
      <c r="F417" t="s">
        <v>49</v>
      </c>
      <c r="G417" t="s">
        <v>38</v>
      </c>
      <c r="H417" t="s">
        <v>37</v>
      </c>
      <c r="I417" t="s">
        <v>50</v>
      </c>
      <c r="J417" t="s">
        <v>71</v>
      </c>
      <c r="K417">
        <v>4</v>
      </c>
      <c r="L417">
        <v>3</v>
      </c>
      <c r="M417" t="s">
        <v>48</v>
      </c>
      <c r="N417" t="s">
        <v>52</v>
      </c>
      <c r="O417" t="s">
        <v>50</v>
      </c>
      <c r="P417" t="s">
        <v>32</v>
      </c>
      <c r="Q417">
        <v>14</v>
      </c>
      <c r="R417">
        <v>1</v>
      </c>
      <c r="S417">
        <v>10</v>
      </c>
      <c r="T417">
        <v>0</v>
      </c>
      <c r="U417">
        <v>7</v>
      </c>
      <c r="V417">
        <v>11</v>
      </c>
      <c r="W417">
        <v>47</v>
      </c>
      <c r="X417">
        <v>663</v>
      </c>
      <c r="Y417">
        <v>10056</v>
      </c>
      <c r="Z417">
        <v>12185</v>
      </c>
      <c r="AA417">
        <v>1</v>
      </c>
      <c r="AB417">
        <v>31540</v>
      </c>
      <c r="AC417" s="10">
        <v>41357</v>
      </c>
      <c r="AD417" s="10" t="s">
        <v>72</v>
      </c>
      <c r="AE417" t="s">
        <v>72</v>
      </c>
      <c r="AF417" t="s">
        <v>45</v>
      </c>
    </row>
    <row r="418" spans="1:32" x14ac:dyDescent="0.25">
      <c r="A418">
        <v>388</v>
      </c>
      <c r="B418">
        <v>29</v>
      </c>
      <c r="C418" t="s">
        <v>43</v>
      </c>
      <c r="D418" t="s">
        <v>46</v>
      </c>
      <c r="E418" t="s">
        <v>56</v>
      </c>
      <c r="F418" t="s">
        <v>67</v>
      </c>
      <c r="G418" t="s">
        <v>38</v>
      </c>
      <c r="H418" t="s">
        <v>37</v>
      </c>
      <c r="I418" t="s">
        <v>50</v>
      </c>
      <c r="J418" t="s">
        <v>57</v>
      </c>
      <c r="K418">
        <v>4</v>
      </c>
      <c r="L418">
        <v>3</v>
      </c>
      <c r="M418" t="s">
        <v>60</v>
      </c>
      <c r="N418" t="s">
        <v>41</v>
      </c>
      <c r="O418" t="s">
        <v>42</v>
      </c>
      <c r="P418" t="s">
        <v>43</v>
      </c>
      <c r="Q418">
        <v>18</v>
      </c>
      <c r="R418">
        <v>1</v>
      </c>
      <c r="S418">
        <v>10</v>
      </c>
      <c r="T418">
        <v>0</v>
      </c>
      <c r="U418">
        <v>9</v>
      </c>
      <c r="V418">
        <v>2</v>
      </c>
      <c r="W418">
        <v>44</v>
      </c>
      <c r="X418">
        <v>442</v>
      </c>
      <c r="Y418">
        <v>20260</v>
      </c>
      <c r="Z418">
        <v>4554</v>
      </c>
      <c r="AA418">
        <v>3</v>
      </c>
      <c r="AB418">
        <v>34401</v>
      </c>
      <c r="AC418" s="10">
        <v>41359</v>
      </c>
      <c r="AD418" s="10" t="s">
        <v>72</v>
      </c>
      <c r="AE418" t="s">
        <v>72</v>
      </c>
      <c r="AF418" t="s">
        <v>45</v>
      </c>
    </row>
    <row r="419" spans="1:32" x14ac:dyDescent="0.25">
      <c r="A419">
        <v>314</v>
      </c>
      <c r="B419">
        <v>35</v>
      </c>
      <c r="C419" t="s">
        <v>43</v>
      </c>
      <c r="D419" t="s">
        <v>46</v>
      </c>
      <c r="E419" t="s">
        <v>56</v>
      </c>
      <c r="F419" t="s">
        <v>49</v>
      </c>
      <c r="G419" t="s">
        <v>50</v>
      </c>
      <c r="H419" t="s">
        <v>47</v>
      </c>
      <c r="I419" t="s">
        <v>50</v>
      </c>
      <c r="J419" t="s">
        <v>57</v>
      </c>
      <c r="K419">
        <v>3</v>
      </c>
      <c r="L419">
        <v>3</v>
      </c>
      <c r="M419" t="s">
        <v>58</v>
      </c>
      <c r="N419" t="s">
        <v>41</v>
      </c>
      <c r="O419" t="s">
        <v>42</v>
      </c>
      <c r="P419" t="s">
        <v>43</v>
      </c>
      <c r="Q419">
        <v>14</v>
      </c>
      <c r="R419">
        <v>1</v>
      </c>
      <c r="S419">
        <v>10</v>
      </c>
      <c r="T419">
        <v>0</v>
      </c>
      <c r="U419">
        <v>8</v>
      </c>
      <c r="V419">
        <v>1</v>
      </c>
      <c r="W419">
        <v>92</v>
      </c>
      <c r="X419">
        <v>944</v>
      </c>
      <c r="Y419">
        <v>9096</v>
      </c>
      <c r="Z419">
        <v>8789</v>
      </c>
      <c r="AA419">
        <v>3</v>
      </c>
      <c r="AB419">
        <v>32186</v>
      </c>
      <c r="AC419" s="10">
        <v>41413</v>
      </c>
      <c r="AD419" s="10" t="s">
        <v>72</v>
      </c>
      <c r="AE419" t="s">
        <v>72</v>
      </c>
      <c r="AF419" t="s">
        <v>45</v>
      </c>
    </row>
    <row r="420" spans="1:32" x14ac:dyDescent="0.25">
      <c r="A420">
        <v>419</v>
      </c>
      <c r="B420">
        <v>36</v>
      </c>
      <c r="C420" t="s">
        <v>43</v>
      </c>
      <c r="D420" t="s">
        <v>63</v>
      </c>
      <c r="E420" t="s">
        <v>34</v>
      </c>
      <c r="F420" t="s">
        <v>35</v>
      </c>
      <c r="G420" t="s">
        <v>38</v>
      </c>
      <c r="H420" t="s">
        <v>47</v>
      </c>
      <c r="I420" t="s">
        <v>50</v>
      </c>
      <c r="J420" t="s">
        <v>51</v>
      </c>
      <c r="K420">
        <v>2</v>
      </c>
      <c r="L420">
        <v>3</v>
      </c>
      <c r="M420" t="s">
        <v>48</v>
      </c>
      <c r="N420" t="s">
        <v>61</v>
      </c>
      <c r="O420" t="s">
        <v>36</v>
      </c>
      <c r="P420" t="s">
        <v>43</v>
      </c>
      <c r="Q420">
        <v>15</v>
      </c>
      <c r="R420">
        <v>7</v>
      </c>
      <c r="S420">
        <v>11</v>
      </c>
      <c r="T420">
        <v>0</v>
      </c>
      <c r="U420">
        <v>8</v>
      </c>
      <c r="V420">
        <v>24</v>
      </c>
      <c r="W420">
        <v>47</v>
      </c>
      <c r="X420">
        <v>1105</v>
      </c>
      <c r="Y420">
        <v>6927</v>
      </c>
      <c r="Z420">
        <v>5674</v>
      </c>
      <c r="AA420">
        <v>3</v>
      </c>
      <c r="AB420">
        <v>31936</v>
      </c>
      <c r="AC420" s="10">
        <v>41505</v>
      </c>
      <c r="AD420" s="10" t="s">
        <v>72</v>
      </c>
      <c r="AE420" t="s">
        <v>72</v>
      </c>
      <c r="AF420" t="s">
        <v>45</v>
      </c>
    </row>
    <row r="421" spans="1:32" x14ac:dyDescent="0.25">
      <c r="A421">
        <v>972</v>
      </c>
      <c r="B421">
        <v>45</v>
      </c>
      <c r="C421" t="s">
        <v>43</v>
      </c>
      <c r="D421" t="s">
        <v>63</v>
      </c>
      <c r="E421" t="s">
        <v>34</v>
      </c>
      <c r="F421" t="s">
        <v>67</v>
      </c>
      <c r="G421" t="s">
        <v>50</v>
      </c>
      <c r="H421" t="s">
        <v>37</v>
      </c>
      <c r="I421" t="s">
        <v>50</v>
      </c>
      <c r="J421" t="s">
        <v>51</v>
      </c>
      <c r="K421">
        <v>2</v>
      </c>
      <c r="L421">
        <v>3</v>
      </c>
      <c r="M421" t="s">
        <v>60</v>
      </c>
      <c r="N421" t="s">
        <v>61</v>
      </c>
      <c r="O421" t="s">
        <v>42</v>
      </c>
      <c r="P421" t="s">
        <v>43</v>
      </c>
      <c r="Q421">
        <v>12</v>
      </c>
      <c r="R421">
        <v>1</v>
      </c>
      <c r="S421">
        <v>9</v>
      </c>
      <c r="T421">
        <v>0</v>
      </c>
      <c r="U421">
        <v>8</v>
      </c>
      <c r="V421">
        <v>4</v>
      </c>
      <c r="W421">
        <v>57</v>
      </c>
      <c r="X421">
        <v>805</v>
      </c>
      <c r="Y421">
        <v>23163</v>
      </c>
      <c r="Z421">
        <v>4447</v>
      </c>
      <c r="AA421">
        <v>5</v>
      </c>
      <c r="AB421">
        <v>28341</v>
      </c>
      <c r="AC421" s="10">
        <v>41555</v>
      </c>
      <c r="AD421" s="10" t="s">
        <v>72</v>
      </c>
      <c r="AE421" t="s">
        <v>72</v>
      </c>
      <c r="AF421" t="s">
        <v>45</v>
      </c>
    </row>
    <row r="422" spans="1:32" x14ac:dyDescent="0.25">
      <c r="A422">
        <v>2065</v>
      </c>
      <c r="B422">
        <v>49</v>
      </c>
      <c r="C422" t="s">
        <v>43</v>
      </c>
      <c r="D422" t="s">
        <v>46</v>
      </c>
      <c r="E422" t="s">
        <v>56</v>
      </c>
      <c r="F422" t="s">
        <v>49</v>
      </c>
      <c r="G422" t="s">
        <v>59</v>
      </c>
      <c r="H422" t="s">
        <v>37</v>
      </c>
      <c r="I422" t="s">
        <v>38</v>
      </c>
      <c r="J422" t="s">
        <v>57</v>
      </c>
      <c r="K422">
        <v>2</v>
      </c>
      <c r="L422">
        <v>3</v>
      </c>
      <c r="M422" t="s">
        <v>60</v>
      </c>
      <c r="N422" t="s">
        <v>61</v>
      </c>
      <c r="O422" t="s">
        <v>42</v>
      </c>
      <c r="P422" t="s">
        <v>43</v>
      </c>
      <c r="Q422">
        <v>14</v>
      </c>
      <c r="R422">
        <v>2</v>
      </c>
      <c r="S422">
        <v>17</v>
      </c>
      <c r="T422">
        <v>0</v>
      </c>
      <c r="U422">
        <v>8</v>
      </c>
      <c r="V422">
        <v>2</v>
      </c>
      <c r="W422">
        <v>63</v>
      </c>
      <c r="X422">
        <v>1023</v>
      </c>
      <c r="Y422">
        <v>13243</v>
      </c>
      <c r="Z422">
        <v>5390</v>
      </c>
      <c r="AA422">
        <v>3</v>
      </c>
      <c r="AB422">
        <v>27044</v>
      </c>
      <c r="AC422" s="10">
        <v>41676</v>
      </c>
      <c r="AD422" s="10" t="s">
        <v>72</v>
      </c>
      <c r="AE422" t="s">
        <v>72</v>
      </c>
      <c r="AF422" t="s">
        <v>45</v>
      </c>
    </row>
    <row r="423" spans="1:32" x14ac:dyDescent="0.25">
      <c r="A423">
        <v>1745</v>
      </c>
      <c r="B423">
        <v>30</v>
      </c>
      <c r="C423" t="s">
        <v>43</v>
      </c>
      <c r="D423" t="s">
        <v>46</v>
      </c>
      <c r="E423" t="s">
        <v>34</v>
      </c>
      <c r="F423" t="s">
        <v>35</v>
      </c>
      <c r="G423" t="s">
        <v>59</v>
      </c>
      <c r="H423" t="s">
        <v>47</v>
      </c>
      <c r="I423" t="s">
        <v>38</v>
      </c>
      <c r="J423" t="s">
        <v>39</v>
      </c>
      <c r="K423">
        <v>1</v>
      </c>
      <c r="L423">
        <v>3</v>
      </c>
      <c r="M423" t="s">
        <v>48</v>
      </c>
      <c r="N423" t="s">
        <v>41</v>
      </c>
      <c r="O423" t="s">
        <v>42</v>
      </c>
      <c r="P423" t="s">
        <v>43</v>
      </c>
      <c r="Q423">
        <v>16</v>
      </c>
      <c r="R423">
        <v>0</v>
      </c>
      <c r="S423">
        <v>10</v>
      </c>
      <c r="T423">
        <v>0</v>
      </c>
      <c r="U423">
        <v>7</v>
      </c>
      <c r="V423">
        <v>2</v>
      </c>
      <c r="W423">
        <v>78</v>
      </c>
      <c r="X423">
        <v>1312</v>
      </c>
      <c r="Y423">
        <v>26427</v>
      </c>
      <c r="Z423">
        <v>4968</v>
      </c>
      <c r="AA423">
        <v>2</v>
      </c>
      <c r="AB423">
        <v>33976</v>
      </c>
      <c r="AC423" s="10">
        <v>41708</v>
      </c>
      <c r="AD423" s="10" t="s">
        <v>72</v>
      </c>
      <c r="AE423" t="s">
        <v>72</v>
      </c>
      <c r="AF423" t="s">
        <v>45</v>
      </c>
    </row>
    <row r="424" spans="1:32" x14ac:dyDescent="0.25">
      <c r="A424">
        <v>1002</v>
      </c>
      <c r="B424">
        <v>45</v>
      </c>
      <c r="C424" t="s">
        <v>43</v>
      </c>
      <c r="D424" t="s">
        <v>63</v>
      </c>
      <c r="E424" t="s">
        <v>34</v>
      </c>
      <c r="F424" t="s">
        <v>67</v>
      </c>
      <c r="G424" t="s">
        <v>59</v>
      </c>
      <c r="H424" t="s">
        <v>37</v>
      </c>
      <c r="I424" t="s">
        <v>50</v>
      </c>
      <c r="J424" t="s">
        <v>51</v>
      </c>
      <c r="K424">
        <v>1</v>
      </c>
      <c r="L424">
        <v>3</v>
      </c>
      <c r="M424" t="s">
        <v>48</v>
      </c>
      <c r="N424" t="s">
        <v>61</v>
      </c>
      <c r="O424" t="s">
        <v>36</v>
      </c>
      <c r="P424" t="s">
        <v>32</v>
      </c>
      <c r="Q424">
        <v>15</v>
      </c>
      <c r="R424">
        <v>1</v>
      </c>
      <c r="S424">
        <v>9</v>
      </c>
      <c r="T424">
        <v>0</v>
      </c>
      <c r="U424">
        <v>8</v>
      </c>
      <c r="V424">
        <v>23</v>
      </c>
      <c r="W424">
        <v>42</v>
      </c>
      <c r="X424">
        <v>248</v>
      </c>
      <c r="Y424">
        <v>14039</v>
      </c>
      <c r="Z424">
        <v>3633</v>
      </c>
      <c r="AA424">
        <v>2</v>
      </c>
      <c r="AB424">
        <v>28523</v>
      </c>
      <c r="AC424" s="10">
        <v>41839</v>
      </c>
      <c r="AD424" s="10" t="s">
        <v>72</v>
      </c>
      <c r="AE424" t="s">
        <v>72</v>
      </c>
      <c r="AF424" t="s">
        <v>45</v>
      </c>
    </row>
    <row r="425" spans="1:32" x14ac:dyDescent="0.25">
      <c r="A425">
        <v>616</v>
      </c>
      <c r="B425">
        <v>41</v>
      </c>
      <c r="C425" t="s">
        <v>43</v>
      </c>
      <c r="D425" t="s">
        <v>63</v>
      </c>
      <c r="E425" t="s">
        <v>34</v>
      </c>
      <c r="F425" t="s">
        <v>35</v>
      </c>
      <c r="G425" t="s">
        <v>36</v>
      </c>
      <c r="H425" t="s">
        <v>47</v>
      </c>
      <c r="I425" t="s">
        <v>38</v>
      </c>
      <c r="J425" t="s">
        <v>62</v>
      </c>
      <c r="K425">
        <v>3</v>
      </c>
      <c r="L425">
        <v>3</v>
      </c>
      <c r="M425" t="s">
        <v>48</v>
      </c>
      <c r="N425" t="s">
        <v>41</v>
      </c>
      <c r="O425" t="s">
        <v>42</v>
      </c>
      <c r="P425" t="s">
        <v>32</v>
      </c>
      <c r="Q425">
        <v>17</v>
      </c>
      <c r="R425">
        <v>2</v>
      </c>
      <c r="S425">
        <v>10</v>
      </c>
      <c r="T425">
        <v>0</v>
      </c>
      <c r="U425">
        <v>7</v>
      </c>
      <c r="V425">
        <v>2</v>
      </c>
      <c r="W425">
        <v>62</v>
      </c>
      <c r="X425">
        <v>509</v>
      </c>
      <c r="Y425">
        <v>2112</v>
      </c>
      <c r="Z425">
        <v>6811</v>
      </c>
      <c r="AA425">
        <v>3</v>
      </c>
      <c r="AB425">
        <v>30152</v>
      </c>
      <c r="AC425" s="10">
        <v>41897</v>
      </c>
      <c r="AD425" s="10" t="s">
        <v>72</v>
      </c>
      <c r="AE425" t="s">
        <v>72</v>
      </c>
      <c r="AF425" t="s">
        <v>55</v>
      </c>
    </row>
    <row r="426" spans="1:32" x14ac:dyDescent="0.25">
      <c r="A426">
        <v>1126</v>
      </c>
      <c r="B426">
        <v>43</v>
      </c>
      <c r="C426" t="s">
        <v>43</v>
      </c>
      <c r="D426" t="s">
        <v>46</v>
      </c>
      <c r="E426" t="s">
        <v>34</v>
      </c>
      <c r="F426" t="s">
        <v>49</v>
      </c>
      <c r="G426" t="s">
        <v>50</v>
      </c>
      <c r="H426" t="s">
        <v>47</v>
      </c>
      <c r="I426" t="s">
        <v>50</v>
      </c>
      <c r="J426" t="s">
        <v>65</v>
      </c>
      <c r="K426">
        <v>1</v>
      </c>
      <c r="L426">
        <v>3</v>
      </c>
      <c r="M426" t="s">
        <v>48</v>
      </c>
      <c r="N426" t="s">
        <v>61</v>
      </c>
      <c r="O426" t="s">
        <v>36</v>
      </c>
      <c r="P426" t="s">
        <v>43</v>
      </c>
      <c r="Q426">
        <v>11</v>
      </c>
      <c r="R426">
        <v>8</v>
      </c>
      <c r="S426">
        <v>18</v>
      </c>
      <c r="T426">
        <v>0</v>
      </c>
      <c r="U426">
        <v>1</v>
      </c>
      <c r="V426">
        <v>27</v>
      </c>
      <c r="W426">
        <v>83</v>
      </c>
      <c r="X426">
        <v>1082</v>
      </c>
      <c r="Y426">
        <v>11535</v>
      </c>
      <c r="Z426">
        <v>10820</v>
      </c>
      <c r="AA426">
        <v>1</v>
      </c>
      <c r="AB426">
        <v>29384</v>
      </c>
      <c r="AC426" s="10">
        <v>42028</v>
      </c>
      <c r="AD426" s="10" t="s">
        <v>72</v>
      </c>
      <c r="AE426" t="s">
        <v>72</v>
      </c>
      <c r="AF426" t="s">
        <v>45</v>
      </c>
    </row>
    <row r="427" spans="1:32" x14ac:dyDescent="0.25">
      <c r="A427">
        <v>1235</v>
      </c>
      <c r="B427">
        <v>32</v>
      </c>
      <c r="C427" t="s">
        <v>43</v>
      </c>
      <c r="D427" t="s">
        <v>46</v>
      </c>
      <c r="E427" t="s">
        <v>34</v>
      </c>
      <c r="F427" t="s">
        <v>67</v>
      </c>
      <c r="G427" t="s">
        <v>59</v>
      </c>
      <c r="H427" t="s">
        <v>47</v>
      </c>
      <c r="I427" t="s">
        <v>50</v>
      </c>
      <c r="J427" t="s">
        <v>39</v>
      </c>
      <c r="K427">
        <v>3</v>
      </c>
      <c r="L427">
        <v>3</v>
      </c>
      <c r="M427" t="s">
        <v>48</v>
      </c>
      <c r="N427" t="s">
        <v>41</v>
      </c>
      <c r="O427" t="s">
        <v>42</v>
      </c>
      <c r="P427" t="s">
        <v>32</v>
      </c>
      <c r="Q427">
        <v>14</v>
      </c>
      <c r="R427">
        <v>4</v>
      </c>
      <c r="S427">
        <v>10</v>
      </c>
      <c r="T427">
        <v>0</v>
      </c>
      <c r="U427">
        <v>7</v>
      </c>
      <c r="V427">
        <v>2</v>
      </c>
      <c r="W427">
        <v>38</v>
      </c>
      <c r="X427">
        <v>1316</v>
      </c>
      <c r="Y427">
        <v>2338</v>
      </c>
      <c r="Z427">
        <v>4998</v>
      </c>
      <c r="AA427">
        <v>2</v>
      </c>
      <c r="AB427">
        <v>33090</v>
      </c>
      <c r="AC427" s="10">
        <v>42040</v>
      </c>
      <c r="AD427" s="10" t="s">
        <v>72</v>
      </c>
      <c r="AE427" t="s">
        <v>72</v>
      </c>
      <c r="AF427" t="s">
        <v>45</v>
      </c>
    </row>
    <row r="428" spans="1:32" x14ac:dyDescent="0.25">
      <c r="A428">
        <v>141</v>
      </c>
      <c r="B428">
        <v>50</v>
      </c>
      <c r="C428" t="s">
        <v>43</v>
      </c>
      <c r="D428" t="s">
        <v>46</v>
      </c>
      <c r="E428" t="s">
        <v>34</v>
      </c>
      <c r="F428" t="s">
        <v>49</v>
      </c>
      <c r="G428" t="s">
        <v>36</v>
      </c>
      <c r="H428" t="s">
        <v>47</v>
      </c>
      <c r="I428" t="s">
        <v>50</v>
      </c>
      <c r="J428" t="s">
        <v>71</v>
      </c>
      <c r="K428">
        <v>2</v>
      </c>
      <c r="L428">
        <v>3</v>
      </c>
      <c r="M428" t="s">
        <v>60</v>
      </c>
      <c r="N428" t="s">
        <v>61</v>
      </c>
      <c r="O428" t="s">
        <v>42</v>
      </c>
      <c r="P428" t="s">
        <v>32</v>
      </c>
      <c r="Q428">
        <v>19</v>
      </c>
      <c r="R428">
        <v>3</v>
      </c>
      <c r="S428">
        <v>28</v>
      </c>
      <c r="T428">
        <v>0</v>
      </c>
      <c r="U428">
        <v>7</v>
      </c>
      <c r="V428">
        <v>1</v>
      </c>
      <c r="W428">
        <v>73</v>
      </c>
      <c r="X428">
        <v>1115</v>
      </c>
      <c r="Y428">
        <v>9755</v>
      </c>
      <c r="Z428">
        <v>18172</v>
      </c>
      <c r="AA428">
        <v>1</v>
      </c>
      <c r="AB428">
        <v>26782</v>
      </c>
      <c r="AC428" s="10">
        <v>42068</v>
      </c>
      <c r="AD428" s="10" t="s">
        <v>72</v>
      </c>
      <c r="AE428" t="s">
        <v>72</v>
      </c>
      <c r="AF428" t="s">
        <v>45</v>
      </c>
    </row>
    <row r="429" spans="1:32" x14ac:dyDescent="0.25">
      <c r="A429">
        <v>602</v>
      </c>
      <c r="B429">
        <v>39</v>
      </c>
      <c r="C429" t="s">
        <v>43</v>
      </c>
      <c r="D429" t="s">
        <v>46</v>
      </c>
      <c r="E429" t="s">
        <v>34</v>
      </c>
      <c r="F429" t="s">
        <v>64</v>
      </c>
      <c r="G429" t="s">
        <v>50</v>
      </c>
      <c r="H429" t="s">
        <v>47</v>
      </c>
      <c r="I429" t="s">
        <v>50</v>
      </c>
      <c r="J429" t="s">
        <v>51</v>
      </c>
      <c r="K429">
        <v>3</v>
      </c>
      <c r="L429">
        <v>3</v>
      </c>
      <c r="M429" t="s">
        <v>48</v>
      </c>
      <c r="N429" t="s">
        <v>61</v>
      </c>
      <c r="O429" t="s">
        <v>36</v>
      </c>
      <c r="P429" t="s">
        <v>43</v>
      </c>
      <c r="Q429">
        <v>11</v>
      </c>
      <c r="R429">
        <v>1</v>
      </c>
      <c r="S429">
        <v>8</v>
      </c>
      <c r="T429">
        <v>0</v>
      </c>
      <c r="U429">
        <v>7</v>
      </c>
      <c r="V429">
        <v>8</v>
      </c>
      <c r="W429">
        <v>48</v>
      </c>
      <c r="X429">
        <v>443</v>
      </c>
      <c r="Y429">
        <v>17872</v>
      </c>
      <c r="Z429">
        <v>3755</v>
      </c>
      <c r="AA429">
        <v>3</v>
      </c>
      <c r="AB429">
        <v>30539</v>
      </c>
      <c r="AC429" s="10">
        <v>42097</v>
      </c>
      <c r="AD429" s="10" t="s">
        <v>72</v>
      </c>
      <c r="AE429" t="s">
        <v>72</v>
      </c>
      <c r="AF429" t="s">
        <v>45</v>
      </c>
    </row>
    <row r="430" spans="1:32" x14ac:dyDescent="0.25">
      <c r="A430">
        <v>195</v>
      </c>
      <c r="B430">
        <v>32</v>
      </c>
      <c r="C430" t="s">
        <v>43</v>
      </c>
      <c r="D430" t="s">
        <v>46</v>
      </c>
      <c r="E430" t="s">
        <v>56</v>
      </c>
      <c r="F430" t="s">
        <v>67</v>
      </c>
      <c r="G430" t="s">
        <v>59</v>
      </c>
      <c r="H430" t="s">
        <v>37</v>
      </c>
      <c r="I430" t="s">
        <v>36</v>
      </c>
      <c r="J430" t="s">
        <v>57</v>
      </c>
      <c r="K430">
        <v>4</v>
      </c>
      <c r="L430">
        <v>3</v>
      </c>
      <c r="M430" t="s">
        <v>58</v>
      </c>
      <c r="N430" t="s">
        <v>52</v>
      </c>
      <c r="O430" t="s">
        <v>50</v>
      </c>
      <c r="P430" t="s">
        <v>43</v>
      </c>
      <c r="Q430">
        <v>17</v>
      </c>
      <c r="R430">
        <v>0</v>
      </c>
      <c r="S430">
        <v>9</v>
      </c>
      <c r="T430">
        <v>0</v>
      </c>
      <c r="U430">
        <v>7</v>
      </c>
      <c r="V430">
        <v>9</v>
      </c>
      <c r="W430">
        <v>35</v>
      </c>
      <c r="X430">
        <v>689</v>
      </c>
      <c r="Y430">
        <v>22812</v>
      </c>
      <c r="Z430">
        <v>4668</v>
      </c>
      <c r="AA430">
        <v>2</v>
      </c>
      <c r="AB430">
        <v>33391</v>
      </c>
      <c r="AC430" s="10">
        <v>42106</v>
      </c>
      <c r="AD430" s="10" t="s">
        <v>72</v>
      </c>
      <c r="AE430" t="s">
        <v>72</v>
      </c>
      <c r="AF430" t="s">
        <v>45</v>
      </c>
    </row>
    <row r="431" spans="1:32" x14ac:dyDescent="0.25">
      <c r="A431">
        <v>1449</v>
      </c>
      <c r="B431">
        <v>40</v>
      </c>
      <c r="C431" t="s">
        <v>43</v>
      </c>
      <c r="D431" t="s">
        <v>63</v>
      </c>
      <c r="E431" t="s">
        <v>34</v>
      </c>
      <c r="F431" t="s">
        <v>35</v>
      </c>
      <c r="G431" t="s">
        <v>50</v>
      </c>
      <c r="H431" t="s">
        <v>37</v>
      </c>
      <c r="I431" t="s">
        <v>50</v>
      </c>
      <c r="J431" t="s">
        <v>51</v>
      </c>
      <c r="K431">
        <v>3</v>
      </c>
      <c r="L431">
        <v>3</v>
      </c>
      <c r="M431" t="s">
        <v>58</v>
      </c>
      <c r="N431" t="s">
        <v>52</v>
      </c>
      <c r="O431" t="s">
        <v>53</v>
      </c>
      <c r="P431" t="s">
        <v>43</v>
      </c>
      <c r="Q431">
        <v>11</v>
      </c>
      <c r="R431">
        <v>3</v>
      </c>
      <c r="S431">
        <v>11</v>
      </c>
      <c r="T431">
        <v>0</v>
      </c>
      <c r="U431">
        <v>7</v>
      </c>
      <c r="V431">
        <v>9</v>
      </c>
      <c r="W431">
        <v>81</v>
      </c>
      <c r="X431">
        <v>663</v>
      </c>
      <c r="Y431">
        <v>23099</v>
      </c>
      <c r="Z431">
        <v>3975</v>
      </c>
      <c r="AA431">
        <v>2</v>
      </c>
      <c r="AB431">
        <v>30423</v>
      </c>
      <c r="AC431" s="10">
        <v>42170</v>
      </c>
      <c r="AD431" s="10" t="s">
        <v>72</v>
      </c>
      <c r="AE431" t="s">
        <v>72</v>
      </c>
      <c r="AF431" t="s">
        <v>45</v>
      </c>
    </row>
    <row r="432" spans="1:32" x14ac:dyDescent="0.25">
      <c r="A432">
        <v>990</v>
      </c>
      <c r="B432">
        <v>36</v>
      </c>
      <c r="C432" t="s">
        <v>43</v>
      </c>
      <c r="D432" t="s">
        <v>63</v>
      </c>
      <c r="E432" t="s">
        <v>56</v>
      </c>
      <c r="F432" t="s">
        <v>35</v>
      </c>
      <c r="G432" t="s">
        <v>36</v>
      </c>
      <c r="H432" t="s">
        <v>37</v>
      </c>
      <c r="I432" t="s">
        <v>50</v>
      </c>
      <c r="J432" t="s">
        <v>57</v>
      </c>
      <c r="K432">
        <v>4</v>
      </c>
      <c r="L432">
        <v>3</v>
      </c>
      <c r="M432" t="s">
        <v>48</v>
      </c>
      <c r="N432" t="s">
        <v>52</v>
      </c>
      <c r="O432" t="s">
        <v>53</v>
      </c>
      <c r="P432" t="s">
        <v>43</v>
      </c>
      <c r="Q432">
        <v>13</v>
      </c>
      <c r="R432">
        <v>4</v>
      </c>
      <c r="S432">
        <v>12</v>
      </c>
      <c r="T432">
        <v>0</v>
      </c>
      <c r="U432">
        <v>7</v>
      </c>
      <c r="V432">
        <v>8</v>
      </c>
      <c r="W432">
        <v>84</v>
      </c>
      <c r="X432">
        <v>1229</v>
      </c>
      <c r="Y432">
        <v>25952</v>
      </c>
      <c r="Z432">
        <v>5079</v>
      </c>
      <c r="AA432">
        <v>3</v>
      </c>
      <c r="AB432">
        <v>31640</v>
      </c>
      <c r="AC432" s="10">
        <v>42215</v>
      </c>
      <c r="AD432" s="10" t="s">
        <v>72</v>
      </c>
      <c r="AE432" t="s">
        <v>72</v>
      </c>
      <c r="AF432" t="s">
        <v>45</v>
      </c>
    </row>
    <row r="433" spans="1:32" x14ac:dyDescent="0.25">
      <c r="A433">
        <v>956</v>
      </c>
      <c r="B433">
        <v>26</v>
      </c>
      <c r="C433" t="s">
        <v>43</v>
      </c>
      <c r="D433" t="s">
        <v>46</v>
      </c>
      <c r="E433" t="s">
        <v>56</v>
      </c>
      <c r="F433" t="s">
        <v>49</v>
      </c>
      <c r="G433" t="s">
        <v>50</v>
      </c>
      <c r="H433" t="s">
        <v>37</v>
      </c>
      <c r="I433" t="s">
        <v>38</v>
      </c>
      <c r="J433" t="s">
        <v>57</v>
      </c>
      <c r="K433">
        <v>1</v>
      </c>
      <c r="L433">
        <v>3</v>
      </c>
      <c r="M433" t="s">
        <v>48</v>
      </c>
      <c r="N433" t="s">
        <v>41</v>
      </c>
      <c r="O433" t="s">
        <v>42</v>
      </c>
      <c r="P433" t="s">
        <v>43</v>
      </c>
      <c r="Q433">
        <v>12</v>
      </c>
      <c r="R433">
        <v>1</v>
      </c>
      <c r="S433">
        <v>7</v>
      </c>
      <c r="T433">
        <v>0</v>
      </c>
      <c r="U433">
        <v>7</v>
      </c>
      <c r="V433">
        <v>1</v>
      </c>
      <c r="W433">
        <v>52</v>
      </c>
      <c r="X433">
        <v>1283</v>
      </c>
      <c r="Y433">
        <v>11148</v>
      </c>
      <c r="Z433">
        <v>4294</v>
      </c>
      <c r="AA433">
        <v>2</v>
      </c>
      <c r="AB433">
        <v>35502</v>
      </c>
      <c r="AC433" s="10">
        <v>42275</v>
      </c>
      <c r="AD433" s="10" t="s">
        <v>72</v>
      </c>
      <c r="AE433" t="s">
        <v>72</v>
      </c>
      <c r="AF433" t="s">
        <v>45</v>
      </c>
    </row>
    <row r="434" spans="1:32" x14ac:dyDescent="0.25">
      <c r="A434">
        <v>160</v>
      </c>
      <c r="B434">
        <v>33</v>
      </c>
      <c r="C434" t="s">
        <v>43</v>
      </c>
      <c r="D434" t="s">
        <v>63</v>
      </c>
      <c r="E434" t="s">
        <v>56</v>
      </c>
      <c r="F434" t="s">
        <v>67</v>
      </c>
      <c r="G434" t="s">
        <v>50</v>
      </c>
      <c r="H434" t="s">
        <v>37</v>
      </c>
      <c r="I434" t="s">
        <v>50</v>
      </c>
      <c r="J434" t="s">
        <v>57</v>
      </c>
      <c r="K434">
        <v>2</v>
      </c>
      <c r="L434">
        <v>3</v>
      </c>
      <c r="M434" t="s">
        <v>58</v>
      </c>
      <c r="N434" t="s">
        <v>61</v>
      </c>
      <c r="O434" t="s">
        <v>36</v>
      </c>
      <c r="P434" t="s">
        <v>43</v>
      </c>
      <c r="Q434">
        <v>13</v>
      </c>
      <c r="R434">
        <v>0</v>
      </c>
      <c r="S434">
        <v>8</v>
      </c>
      <c r="T434">
        <v>0</v>
      </c>
      <c r="U434">
        <v>7</v>
      </c>
      <c r="V434">
        <v>22</v>
      </c>
      <c r="W434">
        <v>95</v>
      </c>
      <c r="X434">
        <v>750</v>
      </c>
      <c r="Y434">
        <v>15480</v>
      </c>
      <c r="Z434">
        <v>6146</v>
      </c>
      <c r="AA434">
        <v>2</v>
      </c>
      <c r="AB434">
        <v>33021</v>
      </c>
      <c r="AC434" s="10">
        <v>42277</v>
      </c>
      <c r="AD434" s="10" t="s">
        <v>72</v>
      </c>
      <c r="AE434" t="s">
        <v>72</v>
      </c>
      <c r="AF434" t="s">
        <v>45</v>
      </c>
    </row>
    <row r="435" spans="1:32" x14ac:dyDescent="0.25">
      <c r="A435">
        <v>1764</v>
      </c>
      <c r="B435">
        <v>32</v>
      </c>
      <c r="C435" t="s">
        <v>43</v>
      </c>
      <c r="D435" t="s">
        <v>63</v>
      </c>
      <c r="E435" t="s">
        <v>34</v>
      </c>
      <c r="F435" t="s">
        <v>35</v>
      </c>
      <c r="G435" t="s">
        <v>38</v>
      </c>
      <c r="H435" t="s">
        <v>37</v>
      </c>
      <c r="I435" t="s">
        <v>50</v>
      </c>
      <c r="J435" t="s">
        <v>39</v>
      </c>
      <c r="K435">
        <v>2</v>
      </c>
      <c r="L435">
        <v>3</v>
      </c>
      <c r="M435" t="s">
        <v>48</v>
      </c>
      <c r="N435" t="s">
        <v>41</v>
      </c>
      <c r="O435" t="s">
        <v>42</v>
      </c>
      <c r="P435" t="s">
        <v>43</v>
      </c>
      <c r="Q435">
        <v>14</v>
      </c>
      <c r="R435">
        <v>2</v>
      </c>
      <c r="S435">
        <v>12</v>
      </c>
      <c r="T435">
        <v>0</v>
      </c>
      <c r="U435">
        <v>7</v>
      </c>
      <c r="V435">
        <v>5</v>
      </c>
      <c r="W435">
        <v>65</v>
      </c>
      <c r="X435">
        <v>953</v>
      </c>
      <c r="Y435">
        <v>17674</v>
      </c>
      <c r="Z435">
        <v>2718</v>
      </c>
      <c r="AA435">
        <v>3</v>
      </c>
      <c r="AB435">
        <v>33252</v>
      </c>
      <c r="AC435" s="10">
        <v>42291</v>
      </c>
      <c r="AD435" s="10" t="s">
        <v>72</v>
      </c>
      <c r="AE435" t="s">
        <v>72</v>
      </c>
      <c r="AF435" t="s">
        <v>45</v>
      </c>
    </row>
    <row r="436" spans="1:32" x14ac:dyDescent="0.25">
      <c r="A436">
        <v>1653</v>
      </c>
      <c r="B436">
        <v>25</v>
      </c>
      <c r="C436" t="s">
        <v>43</v>
      </c>
      <c r="D436" t="s">
        <v>46</v>
      </c>
      <c r="E436" t="s">
        <v>34</v>
      </c>
      <c r="F436" t="s">
        <v>64</v>
      </c>
      <c r="G436" t="s">
        <v>59</v>
      </c>
      <c r="H436" t="s">
        <v>37</v>
      </c>
      <c r="I436" t="s">
        <v>59</v>
      </c>
      <c r="J436" t="s">
        <v>65</v>
      </c>
      <c r="K436">
        <v>3</v>
      </c>
      <c r="L436">
        <v>3</v>
      </c>
      <c r="M436" t="s">
        <v>48</v>
      </c>
      <c r="N436" t="s">
        <v>52</v>
      </c>
      <c r="O436" t="s">
        <v>53</v>
      </c>
      <c r="P436" t="s">
        <v>43</v>
      </c>
      <c r="Q436">
        <v>17</v>
      </c>
      <c r="R436">
        <v>1</v>
      </c>
      <c r="S436">
        <v>7</v>
      </c>
      <c r="T436">
        <v>0</v>
      </c>
      <c r="U436">
        <v>2</v>
      </c>
      <c r="V436">
        <v>2</v>
      </c>
      <c r="W436">
        <v>77</v>
      </c>
      <c r="X436">
        <v>772</v>
      </c>
      <c r="Y436">
        <v>4973</v>
      </c>
      <c r="Z436">
        <v>5206</v>
      </c>
      <c r="AA436">
        <v>6</v>
      </c>
      <c r="AB436">
        <v>35990</v>
      </c>
      <c r="AC436" s="10">
        <v>42467</v>
      </c>
      <c r="AD436" s="10" t="s">
        <v>72</v>
      </c>
      <c r="AE436" t="s">
        <v>72</v>
      </c>
      <c r="AF436" t="s">
        <v>45</v>
      </c>
    </row>
    <row r="437" spans="1:32" x14ac:dyDescent="0.25">
      <c r="A437">
        <v>446</v>
      </c>
      <c r="B437">
        <v>33</v>
      </c>
      <c r="C437" t="s">
        <v>43</v>
      </c>
      <c r="D437" t="s">
        <v>46</v>
      </c>
      <c r="E437" t="s">
        <v>56</v>
      </c>
      <c r="F437" t="s">
        <v>49</v>
      </c>
      <c r="G437" t="s">
        <v>38</v>
      </c>
      <c r="H437" t="s">
        <v>37</v>
      </c>
      <c r="I437" t="s">
        <v>38</v>
      </c>
      <c r="J437" t="s">
        <v>57</v>
      </c>
      <c r="K437">
        <v>4</v>
      </c>
      <c r="L437">
        <v>3</v>
      </c>
      <c r="M437" t="s">
        <v>60</v>
      </c>
      <c r="N437" t="s">
        <v>41</v>
      </c>
      <c r="O437" t="s">
        <v>42</v>
      </c>
      <c r="P437" t="s">
        <v>43</v>
      </c>
      <c r="Q437">
        <v>14</v>
      </c>
      <c r="R437">
        <v>3</v>
      </c>
      <c r="S437">
        <v>9</v>
      </c>
      <c r="T437">
        <v>0</v>
      </c>
      <c r="U437">
        <v>1</v>
      </c>
      <c r="V437">
        <v>10</v>
      </c>
      <c r="W437">
        <v>46</v>
      </c>
      <c r="X437">
        <v>508</v>
      </c>
      <c r="Y437">
        <v>4317</v>
      </c>
      <c r="Z437">
        <v>4682</v>
      </c>
      <c r="AA437">
        <v>6</v>
      </c>
      <c r="AB437">
        <v>32894</v>
      </c>
      <c r="AC437" s="10">
        <v>42524</v>
      </c>
      <c r="AD437" s="10" t="s">
        <v>72</v>
      </c>
      <c r="AE437" t="s">
        <v>72</v>
      </c>
      <c r="AF437" t="s">
        <v>45</v>
      </c>
    </row>
    <row r="438" spans="1:32" x14ac:dyDescent="0.25">
      <c r="A438">
        <v>293</v>
      </c>
      <c r="B438">
        <v>27</v>
      </c>
      <c r="C438" t="s">
        <v>43</v>
      </c>
      <c r="D438" t="s">
        <v>46</v>
      </c>
      <c r="E438" t="s">
        <v>56</v>
      </c>
      <c r="F438" t="s">
        <v>49</v>
      </c>
      <c r="G438" t="s">
        <v>59</v>
      </c>
      <c r="H438" t="s">
        <v>47</v>
      </c>
      <c r="I438" t="s">
        <v>50</v>
      </c>
      <c r="J438" t="s">
        <v>57</v>
      </c>
      <c r="K438">
        <v>3</v>
      </c>
      <c r="L438">
        <v>3</v>
      </c>
      <c r="M438" t="s">
        <v>48</v>
      </c>
      <c r="N438" t="s">
        <v>41</v>
      </c>
      <c r="O438" t="s">
        <v>42</v>
      </c>
      <c r="P438" t="s">
        <v>43</v>
      </c>
      <c r="Q438">
        <v>14</v>
      </c>
      <c r="R438">
        <v>1</v>
      </c>
      <c r="S438">
        <v>7</v>
      </c>
      <c r="T438">
        <v>0</v>
      </c>
      <c r="U438">
        <v>3</v>
      </c>
      <c r="V438">
        <v>20</v>
      </c>
      <c r="W438">
        <v>90</v>
      </c>
      <c r="X438">
        <v>1242</v>
      </c>
      <c r="Y438">
        <v>12916</v>
      </c>
      <c r="Z438">
        <v>9981</v>
      </c>
      <c r="AA438">
        <v>2</v>
      </c>
      <c r="AB438">
        <v>35219</v>
      </c>
      <c r="AC438" s="10">
        <v>42534</v>
      </c>
      <c r="AD438" s="10" t="s">
        <v>72</v>
      </c>
      <c r="AE438" t="s">
        <v>72</v>
      </c>
      <c r="AF438" t="s">
        <v>45</v>
      </c>
    </row>
    <row r="439" spans="1:32" x14ac:dyDescent="0.25">
      <c r="A439">
        <v>1927</v>
      </c>
      <c r="B439">
        <v>28</v>
      </c>
      <c r="C439" t="s">
        <v>43</v>
      </c>
      <c r="D439" t="s">
        <v>46</v>
      </c>
      <c r="E439" t="s">
        <v>56</v>
      </c>
      <c r="F439" t="s">
        <v>67</v>
      </c>
      <c r="G439" t="s">
        <v>50</v>
      </c>
      <c r="H439" t="s">
        <v>37</v>
      </c>
      <c r="I439" t="s">
        <v>38</v>
      </c>
      <c r="J439" t="s">
        <v>57</v>
      </c>
      <c r="K439">
        <v>4</v>
      </c>
      <c r="L439">
        <v>3</v>
      </c>
      <c r="M439" t="s">
        <v>48</v>
      </c>
      <c r="N439" t="s">
        <v>61</v>
      </c>
      <c r="O439" t="s">
        <v>36</v>
      </c>
      <c r="P439" t="s">
        <v>32</v>
      </c>
      <c r="Q439">
        <v>12</v>
      </c>
      <c r="R439">
        <v>1</v>
      </c>
      <c r="S439">
        <v>7</v>
      </c>
      <c r="T439">
        <v>0</v>
      </c>
      <c r="U439">
        <v>6</v>
      </c>
      <c r="V439">
        <v>1</v>
      </c>
      <c r="W439">
        <v>42</v>
      </c>
      <c r="X439">
        <v>783</v>
      </c>
      <c r="Y439">
        <v>19255</v>
      </c>
      <c r="Z439">
        <v>6834</v>
      </c>
      <c r="AA439">
        <v>2</v>
      </c>
      <c r="AB439">
        <v>34765</v>
      </c>
      <c r="AC439" s="10">
        <v>42540</v>
      </c>
      <c r="AD439" s="10" t="s">
        <v>72</v>
      </c>
      <c r="AE439" t="s">
        <v>72</v>
      </c>
      <c r="AF439" t="s">
        <v>45</v>
      </c>
    </row>
    <row r="440" spans="1:32" x14ac:dyDescent="0.25">
      <c r="A440">
        <v>1760</v>
      </c>
      <c r="B440">
        <v>38</v>
      </c>
      <c r="C440" t="s">
        <v>43</v>
      </c>
      <c r="D440" t="s">
        <v>46</v>
      </c>
      <c r="E440" t="s">
        <v>34</v>
      </c>
      <c r="F440" t="s">
        <v>67</v>
      </c>
      <c r="G440" t="s">
        <v>50</v>
      </c>
      <c r="H440" t="s">
        <v>47</v>
      </c>
      <c r="I440" t="s">
        <v>38</v>
      </c>
      <c r="J440" t="s">
        <v>51</v>
      </c>
      <c r="K440">
        <v>2</v>
      </c>
      <c r="L440">
        <v>3</v>
      </c>
      <c r="M440" t="s">
        <v>60</v>
      </c>
      <c r="N440" t="s">
        <v>61</v>
      </c>
      <c r="O440" t="s">
        <v>36</v>
      </c>
      <c r="P440" t="s">
        <v>43</v>
      </c>
      <c r="Q440">
        <v>14</v>
      </c>
      <c r="R440">
        <v>4</v>
      </c>
      <c r="S440">
        <v>9</v>
      </c>
      <c r="T440">
        <v>0</v>
      </c>
      <c r="U440">
        <v>5</v>
      </c>
      <c r="V440">
        <v>2</v>
      </c>
      <c r="W440">
        <v>75</v>
      </c>
      <c r="X440">
        <v>594</v>
      </c>
      <c r="Y440">
        <v>15963</v>
      </c>
      <c r="Z440">
        <v>2468</v>
      </c>
      <c r="AA440">
        <v>4</v>
      </c>
      <c r="AB440">
        <v>31015</v>
      </c>
      <c r="AC440" s="10">
        <v>42667</v>
      </c>
      <c r="AD440" s="10" t="s">
        <v>72</v>
      </c>
      <c r="AE440" t="s">
        <v>72</v>
      </c>
      <c r="AF440" t="s">
        <v>45</v>
      </c>
    </row>
    <row r="441" spans="1:32" x14ac:dyDescent="0.25">
      <c r="A441">
        <v>85</v>
      </c>
      <c r="B441">
        <v>36</v>
      </c>
      <c r="C441" t="s">
        <v>43</v>
      </c>
      <c r="D441" t="s">
        <v>46</v>
      </c>
      <c r="E441" t="s">
        <v>34</v>
      </c>
      <c r="F441" t="s">
        <v>49</v>
      </c>
      <c r="G441" t="s">
        <v>38</v>
      </c>
      <c r="H441" t="s">
        <v>37</v>
      </c>
      <c r="I441" t="s">
        <v>38</v>
      </c>
      <c r="J441" t="s">
        <v>65</v>
      </c>
      <c r="K441">
        <v>2</v>
      </c>
      <c r="L441">
        <v>3</v>
      </c>
      <c r="M441" t="s">
        <v>48</v>
      </c>
      <c r="N441" t="s">
        <v>41</v>
      </c>
      <c r="O441" t="s">
        <v>42</v>
      </c>
      <c r="P441" t="s">
        <v>43</v>
      </c>
      <c r="Q441">
        <v>13</v>
      </c>
      <c r="R441">
        <v>1</v>
      </c>
      <c r="S441">
        <v>6</v>
      </c>
      <c r="T441">
        <v>0</v>
      </c>
      <c r="U441">
        <v>3</v>
      </c>
      <c r="V441">
        <v>11</v>
      </c>
      <c r="W441">
        <v>95</v>
      </c>
      <c r="X441">
        <v>1195</v>
      </c>
      <c r="Y441">
        <v>22656</v>
      </c>
      <c r="Z441">
        <v>6499</v>
      </c>
      <c r="AA441">
        <v>3</v>
      </c>
      <c r="AB441">
        <v>31962</v>
      </c>
      <c r="AC441" s="10">
        <v>42800</v>
      </c>
      <c r="AD441" s="10" t="s">
        <v>72</v>
      </c>
      <c r="AE441" t="s">
        <v>72</v>
      </c>
      <c r="AF441" t="s">
        <v>45</v>
      </c>
    </row>
    <row r="442" spans="1:32" x14ac:dyDescent="0.25">
      <c r="A442">
        <v>551</v>
      </c>
      <c r="B442">
        <v>42</v>
      </c>
      <c r="C442" t="s">
        <v>43</v>
      </c>
      <c r="D442" t="s">
        <v>46</v>
      </c>
      <c r="E442" t="s">
        <v>34</v>
      </c>
      <c r="F442" t="s">
        <v>35</v>
      </c>
      <c r="G442" t="s">
        <v>59</v>
      </c>
      <c r="H442" t="s">
        <v>47</v>
      </c>
      <c r="I442" t="s">
        <v>38</v>
      </c>
      <c r="J442" t="s">
        <v>62</v>
      </c>
      <c r="K442">
        <v>4</v>
      </c>
      <c r="L442">
        <v>3</v>
      </c>
      <c r="M442" t="s">
        <v>58</v>
      </c>
      <c r="N442" t="s">
        <v>61</v>
      </c>
      <c r="O442" t="s">
        <v>50</v>
      </c>
      <c r="P442" t="s">
        <v>43</v>
      </c>
      <c r="Q442">
        <v>11</v>
      </c>
      <c r="R442">
        <v>0</v>
      </c>
      <c r="S442">
        <v>7</v>
      </c>
      <c r="T442">
        <v>0</v>
      </c>
      <c r="U442">
        <v>4</v>
      </c>
      <c r="V442">
        <v>28</v>
      </c>
      <c r="W442">
        <v>88</v>
      </c>
      <c r="X442">
        <v>1368</v>
      </c>
      <c r="Y442">
        <v>4386</v>
      </c>
      <c r="Z442">
        <v>4523</v>
      </c>
      <c r="AA442">
        <v>4</v>
      </c>
      <c r="AB442">
        <v>29650</v>
      </c>
      <c r="AC442" s="10">
        <v>42879</v>
      </c>
      <c r="AD442" s="10" t="s">
        <v>72</v>
      </c>
      <c r="AE442" t="s">
        <v>72</v>
      </c>
      <c r="AF442" t="s">
        <v>45</v>
      </c>
    </row>
    <row r="443" spans="1:32" x14ac:dyDescent="0.25">
      <c r="A443">
        <v>2061</v>
      </c>
      <c r="B443">
        <v>36</v>
      </c>
      <c r="C443" t="s">
        <v>43</v>
      </c>
      <c r="D443" t="s">
        <v>46</v>
      </c>
      <c r="E443" t="s">
        <v>34</v>
      </c>
      <c r="F443" t="s">
        <v>67</v>
      </c>
      <c r="G443" t="s">
        <v>50</v>
      </c>
      <c r="H443" t="s">
        <v>37</v>
      </c>
      <c r="I443" t="s">
        <v>59</v>
      </c>
      <c r="J443" t="s">
        <v>51</v>
      </c>
      <c r="K443">
        <v>4</v>
      </c>
      <c r="L443">
        <v>3</v>
      </c>
      <c r="M443" t="s">
        <v>48</v>
      </c>
      <c r="N443" t="s">
        <v>61</v>
      </c>
      <c r="O443" t="s">
        <v>36</v>
      </c>
      <c r="P443" t="s">
        <v>43</v>
      </c>
      <c r="Q443">
        <v>17</v>
      </c>
      <c r="R443">
        <v>4</v>
      </c>
      <c r="S443">
        <v>17</v>
      </c>
      <c r="T443">
        <v>0</v>
      </c>
      <c r="U443">
        <v>3</v>
      </c>
      <c r="V443">
        <v>23</v>
      </c>
      <c r="W443">
        <v>41</v>
      </c>
      <c r="X443">
        <v>884</v>
      </c>
      <c r="Y443">
        <v>12290</v>
      </c>
      <c r="Z443">
        <v>2571</v>
      </c>
      <c r="AA443">
        <v>3</v>
      </c>
      <c r="AB443">
        <v>31638</v>
      </c>
      <c r="AC443" s="10">
        <v>42978</v>
      </c>
      <c r="AD443" s="10" t="s">
        <v>72</v>
      </c>
      <c r="AE443" t="s">
        <v>72</v>
      </c>
      <c r="AF443" t="s">
        <v>45</v>
      </c>
    </row>
    <row r="444" spans="1:32" x14ac:dyDescent="0.25">
      <c r="A444">
        <v>547</v>
      </c>
      <c r="B444">
        <v>42</v>
      </c>
      <c r="C444" t="s">
        <v>43</v>
      </c>
      <c r="D444" t="s">
        <v>46</v>
      </c>
      <c r="E444" t="s">
        <v>34</v>
      </c>
      <c r="F444" t="s">
        <v>67</v>
      </c>
      <c r="G444" t="s">
        <v>36</v>
      </c>
      <c r="H444" t="s">
        <v>47</v>
      </c>
      <c r="I444" t="s">
        <v>50</v>
      </c>
      <c r="J444" t="s">
        <v>39</v>
      </c>
      <c r="K444">
        <v>3</v>
      </c>
      <c r="L444">
        <v>3</v>
      </c>
      <c r="M444" t="s">
        <v>48</v>
      </c>
      <c r="N444" t="s">
        <v>52</v>
      </c>
      <c r="O444" t="s">
        <v>36</v>
      </c>
      <c r="P444" t="s">
        <v>43</v>
      </c>
      <c r="Q444">
        <v>11</v>
      </c>
      <c r="R444">
        <v>2</v>
      </c>
      <c r="S444">
        <v>19</v>
      </c>
      <c r="T444">
        <v>0</v>
      </c>
      <c r="U444">
        <v>2</v>
      </c>
      <c r="V444">
        <v>29</v>
      </c>
      <c r="W444">
        <v>92</v>
      </c>
      <c r="X444">
        <v>532</v>
      </c>
      <c r="Y444">
        <v>12932</v>
      </c>
      <c r="Z444">
        <v>4556</v>
      </c>
      <c r="AA444">
        <v>3</v>
      </c>
      <c r="AB444">
        <v>29678</v>
      </c>
      <c r="AC444" s="10">
        <v>43008</v>
      </c>
      <c r="AD444" s="10" t="s">
        <v>72</v>
      </c>
      <c r="AE444" t="s">
        <v>72</v>
      </c>
      <c r="AF444" t="s">
        <v>45</v>
      </c>
    </row>
    <row r="445" spans="1:32" x14ac:dyDescent="0.25">
      <c r="A445">
        <v>129</v>
      </c>
      <c r="B445">
        <v>28</v>
      </c>
      <c r="C445" t="s">
        <v>43</v>
      </c>
      <c r="D445" t="s">
        <v>63</v>
      </c>
      <c r="E445" t="s">
        <v>56</v>
      </c>
      <c r="F445" t="s">
        <v>49</v>
      </c>
      <c r="G445" t="s">
        <v>38</v>
      </c>
      <c r="H445" t="s">
        <v>37</v>
      </c>
      <c r="I445" t="s">
        <v>50</v>
      </c>
      <c r="J445" t="s">
        <v>57</v>
      </c>
      <c r="K445">
        <v>3</v>
      </c>
      <c r="L445">
        <v>3</v>
      </c>
      <c r="M445" t="s">
        <v>58</v>
      </c>
      <c r="N445" t="s">
        <v>61</v>
      </c>
      <c r="O445" t="s">
        <v>42</v>
      </c>
      <c r="P445" t="s">
        <v>43</v>
      </c>
      <c r="Q445">
        <v>15</v>
      </c>
      <c r="R445">
        <v>1</v>
      </c>
      <c r="S445">
        <v>5</v>
      </c>
      <c r="T445">
        <v>0</v>
      </c>
      <c r="U445">
        <v>4</v>
      </c>
      <c r="V445">
        <v>4</v>
      </c>
      <c r="W445">
        <v>43</v>
      </c>
      <c r="X445">
        <v>120</v>
      </c>
      <c r="Y445">
        <v>8863</v>
      </c>
      <c r="Z445">
        <v>4221</v>
      </c>
      <c r="AA445">
        <v>3</v>
      </c>
      <c r="AB445">
        <v>34705</v>
      </c>
      <c r="AC445" s="10">
        <v>43013</v>
      </c>
      <c r="AD445" s="10" t="s">
        <v>72</v>
      </c>
      <c r="AE445" t="s">
        <v>72</v>
      </c>
      <c r="AF445" t="s">
        <v>45</v>
      </c>
    </row>
    <row r="446" spans="1:32" x14ac:dyDescent="0.25">
      <c r="A446">
        <v>1613</v>
      </c>
      <c r="B446">
        <v>31</v>
      </c>
      <c r="C446" t="s">
        <v>43</v>
      </c>
      <c r="D446" t="s">
        <v>46</v>
      </c>
      <c r="E446" t="s">
        <v>56</v>
      </c>
      <c r="F446" t="s">
        <v>35</v>
      </c>
      <c r="G446" t="s">
        <v>59</v>
      </c>
      <c r="H446" t="s">
        <v>37</v>
      </c>
      <c r="I446" t="s">
        <v>50</v>
      </c>
      <c r="J446" t="s">
        <v>57</v>
      </c>
      <c r="K446">
        <v>1</v>
      </c>
      <c r="L446">
        <v>3</v>
      </c>
      <c r="M446" t="s">
        <v>48</v>
      </c>
      <c r="N446" t="s">
        <v>41</v>
      </c>
      <c r="O446" t="s">
        <v>42</v>
      </c>
      <c r="P446" t="s">
        <v>43</v>
      </c>
      <c r="Q446">
        <v>13</v>
      </c>
      <c r="R446">
        <v>7</v>
      </c>
      <c r="S446">
        <v>10</v>
      </c>
      <c r="T446">
        <v>0</v>
      </c>
      <c r="U446">
        <v>3</v>
      </c>
      <c r="V446">
        <v>2</v>
      </c>
      <c r="W446">
        <v>54</v>
      </c>
      <c r="X446">
        <v>715</v>
      </c>
      <c r="Y446">
        <v>21602</v>
      </c>
      <c r="Z446">
        <v>5332</v>
      </c>
      <c r="AA446">
        <v>3</v>
      </c>
      <c r="AB446">
        <v>33663</v>
      </c>
      <c r="AC446" s="10">
        <v>43033</v>
      </c>
      <c r="AD446" s="10" t="s">
        <v>72</v>
      </c>
      <c r="AE446" t="s">
        <v>72</v>
      </c>
      <c r="AF446" t="s">
        <v>45</v>
      </c>
    </row>
    <row r="447" spans="1:32" x14ac:dyDescent="0.25">
      <c r="A447">
        <v>1132</v>
      </c>
      <c r="B447">
        <v>39</v>
      </c>
      <c r="C447" t="s">
        <v>43</v>
      </c>
      <c r="D447" t="s">
        <v>63</v>
      </c>
      <c r="E447" t="s">
        <v>34</v>
      </c>
      <c r="F447" t="s">
        <v>49</v>
      </c>
      <c r="G447" t="s">
        <v>50</v>
      </c>
      <c r="H447" t="s">
        <v>37</v>
      </c>
      <c r="I447" t="s">
        <v>50</v>
      </c>
      <c r="J447" t="s">
        <v>51</v>
      </c>
      <c r="K447">
        <v>2</v>
      </c>
      <c r="L447">
        <v>3</v>
      </c>
      <c r="M447" t="s">
        <v>60</v>
      </c>
      <c r="N447" t="s">
        <v>41</v>
      </c>
      <c r="O447" t="s">
        <v>42</v>
      </c>
      <c r="P447" t="s">
        <v>43</v>
      </c>
      <c r="Q447">
        <v>15</v>
      </c>
      <c r="R447">
        <v>9</v>
      </c>
      <c r="S447">
        <v>9</v>
      </c>
      <c r="T447">
        <v>0</v>
      </c>
      <c r="U447">
        <v>3</v>
      </c>
      <c r="V447">
        <v>9</v>
      </c>
      <c r="W447">
        <v>70</v>
      </c>
      <c r="X447">
        <v>439</v>
      </c>
      <c r="Y447">
        <v>8770</v>
      </c>
      <c r="Z447">
        <v>6782</v>
      </c>
      <c r="AA447">
        <v>2</v>
      </c>
      <c r="AB447">
        <v>30593</v>
      </c>
      <c r="AC447" s="10">
        <v>43114</v>
      </c>
      <c r="AD447" s="10" t="s">
        <v>72</v>
      </c>
      <c r="AE447" t="s">
        <v>72</v>
      </c>
      <c r="AF447" t="s">
        <v>45</v>
      </c>
    </row>
    <row r="448" spans="1:32" x14ac:dyDescent="0.25">
      <c r="A448">
        <v>380</v>
      </c>
      <c r="B448">
        <v>37</v>
      </c>
      <c r="C448" t="s">
        <v>43</v>
      </c>
      <c r="D448" t="s">
        <v>63</v>
      </c>
      <c r="E448" t="s">
        <v>34</v>
      </c>
      <c r="F448" t="s">
        <v>35</v>
      </c>
      <c r="G448" t="s">
        <v>36</v>
      </c>
      <c r="H448" t="s">
        <v>47</v>
      </c>
      <c r="I448" t="s">
        <v>50</v>
      </c>
      <c r="J448" t="s">
        <v>71</v>
      </c>
      <c r="K448">
        <v>4</v>
      </c>
      <c r="L448">
        <v>3</v>
      </c>
      <c r="M448" t="s">
        <v>48</v>
      </c>
      <c r="N448" t="s">
        <v>52</v>
      </c>
      <c r="O448" t="s">
        <v>53</v>
      </c>
      <c r="P448" t="s">
        <v>32</v>
      </c>
      <c r="Q448">
        <v>18</v>
      </c>
      <c r="R448">
        <v>2</v>
      </c>
      <c r="S448">
        <v>15</v>
      </c>
      <c r="T448">
        <v>0</v>
      </c>
      <c r="U448">
        <v>2</v>
      </c>
      <c r="V448">
        <v>1</v>
      </c>
      <c r="W448">
        <v>80</v>
      </c>
      <c r="X448">
        <v>728</v>
      </c>
      <c r="Y448">
        <v>11677</v>
      </c>
      <c r="Z448">
        <v>13603</v>
      </c>
      <c r="AA448">
        <v>2</v>
      </c>
      <c r="AB448">
        <v>31432</v>
      </c>
      <c r="AC448" s="10">
        <v>43160</v>
      </c>
      <c r="AD448" s="10" t="s">
        <v>72</v>
      </c>
      <c r="AE448" t="s">
        <v>72</v>
      </c>
      <c r="AF448" t="s">
        <v>45</v>
      </c>
    </row>
    <row r="449" spans="1:32" x14ac:dyDescent="0.25">
      <c r="A449">
        <v>861</v>
      </c>
      <c r="B449">
        <v>30</v>
      </c>
      <c r="C449" t="s">
        <v>43</v>
      </c>
      <c r="D449" t="s">
        <v>46</v>
      </c>
      <c r="E449" t="s">
        <v>34</v>
      </c>
      <c r="F449" t="s">
        <v>35</v>
      </c>
      <c r="G449" t="s">
        <v>38</v>
      </c>
      <c r="H449" t="s">
        <v>37</v>
      </c>
      <c r="I449" t="s">
        <v>38</v>
      </c>
      <c r="J449" t="s">
        <v>39</v>
      </c>
      <c r="K449">
        <v>4</v>
      </c>
      <c r="L449">
        <v>3</v>
      </c>
      <c r="M449" t="s">
        <v>60</v>
      </c>
      <c r="N449" t="s">
        <v>52</v>
      </c>
      <c r="O449" t="s">
        <v>36</v>
      </c>
      <c r="P449" t="s">
        <v>43</v>
      </c>
      <c r="Q449">
        <v>12</v>
      </c>
      <c r="R449">
        <v>9</v>
      </c>
      <c r="S449">
        <v>10</v>
      </c>
      <c r="T449">
        <v>0</v>
      </c>
      <c r="U449">
        <v>3</v>
      </c>
      <c r="V449">
        <v>5</v>
      </c>
      <c r="W449">
        <v>75</v>
      </c>
      <c r="X449">
        <v>1012</v>
      </c>
      <c r="Y449">
        <v>2373</v>
      </c>
      <c r="Z449">
        <v>3761</v>
      </c>
      <c r="AA449">
        <v>3</v>
      </c>
      <c r="AB449">
        <v>34089</v>
      </c>
      <c r="AC449" s="10">
        <v>43172</v>
      </c>
      <c r="AD449" s="10" t="s">
        <v>72</v>
      </c>
      <c r="AE449" t="s">
        <v>72</v>
      </c>
      <c r="AF449" t="s">
        <v>45</v>
      </c>
    </row>
    <row r="450" spans="1:32" x14ac:dyDescent="0.25">
      <c r="A450">
        <v>1137</v>
      </c>
      <c r="B450">
        <v>35</v>
      </c>
      <c r="C450" t="s">
        <v>43</v>
      </c>
      <c r="D450" t="s">
        <v>46</v>
      </c>
      <c r="E450" t="s">
        <v>56</v>
      </c>
      <c r="F450" t="s">
        <v>67</v>
      </c>
      <c r="G450" t="s">
        <v>59</v>
      </c>
      <c r="H450" t="s">
        <v>37</v>
      </c>
      <c r="I450" t="s">
        <v>50</v>
      </c>
      <c r="J450" t="s">
        <v>57</v>
      </c>
      <c r="K450">
        <v>4</v>
      </c>
      <c r="L450">
        <v>3</v>
      </c>
      <c r="M450" t="s">
        <v>48</v>
      </c>
      <c r="N450" t="s">
        <v>52</v>
      </c>
      <c r="O450" t="s">
        <v>36</v>
      </c>
      <c r="P450" t="s">
        <v>43</v>
      </c>
      <c r="Q450">
        <v>11</v>
      </c>
      <c r="R450">
        <v>1</v>
      </c>
      <c r="S450">
        <v>5</v>
      </c>
      <c r="T450">
        <v>0</v>
      </c>
      <c r="U450">
        <v>2</v>
      </c>
      <c r="V450">
        <v>11</v>
      </c>
      <c r="W450">
        <v>54</v>
      </c>
      <c r="X450">
        <v>1182</v>
      </c>
      <c r="Y450">
        <v>18500</v>
      </c>
      <c r="Z450">
        <v>4968</v>
      </c>
      <c r="AA450">
        <v>3</v>
      </c>
      <c r="AB450">
        <v>32276</v>
      </c>
      <c r="AC450" s="10">
        <v>43186</v>
      </c>
      <c r="AD450" s="10" t="s">
        <v>72</v>
      </c>
      <c r="AE450" t="s">
        <v>72</v>
      </c>
      <c r="AF450" t="s">
        <v>55</v>
      </c>
    </row>
    <row r="451" spans="1:32" x14ac:dyDescent="0.25">
      <c r="A451">
        <v>1071</v>
      </c>
      <c r="B451">
        <v>56</v>
      </c>
      <c r="C451" t="s">
        <v>43</v>
      </c>
      <c r="D451" t="s">
        <v>46</v>
      </c>
      <c r="E451" t="s">
        <v>34</v>
      </c>
      <c r="F451" t="s">
        <v>49</v>
      </c>
      <c r="G451" t="s">
        <v>36</v>
      </c>
      <c r="H451" t="s">
        <v>47</v>
      </c>
      <c r="I451" t="s">
        <v>50</v>
      </c>
      <c r="J451" t="s">
        <v>39</v>
      </c>
      <c r="K451">
        <v>3</v>
      </c>
      <c r="L451">
        <v>3</v>
      </c>
      <c r="M451" t="s">
        <v>48</v>
      </c>
      <c r="N451" t="s">
        <v>61</v>
      </c>
      <c r="O451" t="s">
        <v>36</v>
      </c>
      <c r="P451" t="s">
        <v>43</v>
      </c>
      <c r="Q451">
        <v>19</v>
      </c>
      <c r="R451">
        <v>2</v>
      </c>
      <c r="S451">
        <v>18</v>
      </c>
      <c r="T451">
        <v>0</v>
      </c>
      <c r="U451">
        <v>3</v>
      </c>
      <c r="V451">
        <v>9</v>
      </c>
      <c r="W451">
        <v>63</v>
      </c>
      <c r="X451">
        <v>1240</v>
      </c>
      <c r="Y451">
        <v>12154</v>
      </c>
      <c r="Z451">
        <v>2942</v>
      </c>
      <c r="AA451">
        <v>4</v>
      </c>
      <c r="AB451">
        <v>24382</v>
      </c>
      <c r="AC451" s="10">
        <v>43187</v>
      </c>
      <c r="AD451" s="10" t="s">
        <v>72</v>
      </c>
      <c r="AE451" t="s">
        <v>72</v>
      </c>
      <c r="AF451" t="s">
        <v>55</v>
      </c>
    </row>
    <row r="452" spans="1:32" x14ac:dyDescent="0.25">
      <c r="A452">
        <v>1850</v>
      </c>
      <c r="B452">
        <v>27</v>
      </c>
      <c r="C452" t="s">
        <v>43</v>
      </c>
      <c r="D452" t="s">
        <v>46</v>
      </c>
      <c r="E452" t="s">
        <v>34</v>
      </c>
      <c r="F452" t="s">
        <v>67</v>
      </c>
      <c r="G452" t="s">
        <v>59</v>
      </c>
      <c r="H452" t="s">
        <v>47</v>
      </c>
      <c r="I452" t="s">
        <v>50</v>
      </c>
      <c r="J452" t="s">
        <v>51</v>
      </c>
      <c r="K452">
        <v>4</v>
      </c>
      <c r="L452">
        <v>3</v>
      </c>
      <c r="M452" t="s">
        <v>60</v>
      </c>
      <c r="N452" t="s">
        <v>41</v>
      </c>
      <c r="O452" t="s">
        <v>42</v>
      </c>
      <c r="P452" t="s">
        <v>32</v>
      </c>
      <c r="Q452">
        <v>14</v>
      </c>
      <c r="R452">
        <v>0</v>
      </c>
      <c r="S452">
        <v>6</v>
      </c>
      <c r="T452">
        <v>0</v>
      </c>
      <c r="U452">
        <v>2</v>
      </c>
      <c r="V452">
        <v>5</v>
      </c>
      <c r="W452">
        <v>53</v>
      </c>
      <c r="X452">
        <v>1297</v>
      </c>
      <c r="Y452">
        <v>19826</v>
      </c>
      <c r="Z452">
        <v>2379</v>
      </c>
      <c r="AA452">
        <v>3</v>
      </c>
      <c r="AB452">
        <v>35015</v>
      </c>
      <c r="AC452" s="10">
        <v>43202</v>
      </c>
      <c r="AD452" s="10" t="s">
        <v>72</v>
      </c>
      <c r="AE452" t="s">
        <v>72</v>
      </c>
      <c r="AF452" t="s">
        <v>45</v>
      </c>
    </row>
    <row r="453" spans="1:32" x14ac:dyDescent="0.25">
      <c r="A453">
        <v>270</v>
      </c>
      <c r="B453">
        <v>42</v>
      </c>
      <c r="C453" t="s">
        <v>43</v>
      </c>
      <c r="D453" t="s">
        <v>63</v>
      </c>
      <c r="E453" t="s">
        <v>34</v>
      </c>
      <c r="F453" t="s">
        <v>67</v>
      </c>
      <c r="G453" t="s">
        <v>50</v>
      </c>
      <c r="H453" t="s">
        <v>47</v>
      </c>
      <c r="I453" t="s">
        <v>50</v>
      </c>
      <c r="J453" t="s">
        <v>65</v>
      </c>
      <c r="K453">
        <v>3</v>
      </c>
      <c r="L453">
        <v>3</v>
      </c>
      <c r="M453" t="s">
        <v>48</v>
      </c>
      <c r="N453" t="s">
        <v>52</v>
      </c>
      <c r="O453" t="s">
        <v>36</v>
      </c>
      <c r="P453" t="s">
        <v>43</v>
      </c>
      <c r="Q453">
        <v>16</v>
      </c>
      <c r="R453">
        <v>2</v>
      </c>
      <c r="S453">
        <v>11</v>
      </c>
      <c r="T453">
        <v>0</v>
      </c>
      <c r="U453">
        <v>2</v>
      </c>
      <c r="V453">
        <v>21</v>
      </c>
      <c r="W453">
        <v>36</v>
      </c>
      <c r="X453">
        <v>926</v>
      </c>
      <c r="Y453">
        <v>16439</v>
      </c>
      <c r="Z453">
        <v>5265</v>
      </c>
      <c r="AA453">
        <v>5</v>
      </c>
      <c r="AB453">
        <v>29682</v>
      </c>
      <c r="AC453" s="10">
        <v>43289</v>
      </c>
      <c r="AD453" s="10" t="s">
        <v>72</v>
      </c>
      <c r="AE453" t="s">
        <v>72</v>
      </c>
      <c r="AF453" t="s">
        <v>45</v>
      </c>
    </row>
    <row r="454" spans="1:32" x14ac:dyDescent="0.25">
      <c r="A454">
        <v>1922</v>
      </c>
      <c r="B454">
        <v>45</v>
      </c>
      <c r="C454" t="s">
        <v>43</v>
      </c>
      <c r="D454" t="s">
        <v>46</v>
      </c>
      <c r="E454" t="s">
        <v>34</v>
      </c>
      <c r="F454" t="s">
        <v>35</v>
      </c>
      <c r="G454" t="s">
        <v>38</v>
      </c>
      <c r="H454" t="s">
        <v>37</v>
      </c>
      <c r="I454" t="s">
        <v>50</v>
      </c>
      <c r="J454" t="s">
        <v>62</v>
      </c>
      <c r="K454">
        <v>3</v>
      </c>
      <c r="L454">
        <v>3</v>
      </c>
      <c r="M454" t="s">
        <v>48</v>
      </c>
      <c r="N454" t="s">
        <v>41</v>
      </c>
      <c r="O454" t="s">
        <v>42</v>
      </c>
      <c r="P454" t="s">
        <v>43</v>
      </c>
      <c r="Q454">
        <v>12</v>
      </c>
      <c r="R454">
        <v>4</v>
      </c>
      <c r="S454">
        <v>12</v>
      </c>
      <c r="T454">
        <v>0</v>
      </c>
      <c r="U454">
        <v>3</v>
      </c>
      <c r="V454">
        <v>1</v>
      </c>
      <c r="W454">
        <v>44</v>
      </c>
      <c r="X454">
        <v>1297</v>
      </c>
      <c r="Y454">
        <v>14511</v>
      </c>
      <c r="Z454">
        <v>5399</v>
      </c>
      <c r="AA454">
        <v>3</v>
      </c>
      <c r="AB454">
        <v>28646</v>
      </c>
      <c r="AC454" s="10">
        <v>43371</v>
      </c>
      <c r="AD454" s="10" t="s">
        <v>72</v>
      </c>
      <c r="AE454" t="s">
        <v>72</v>
      </c>
      <c r="AF454" t="s">
        <v>45</v>
      </c>
    </row>
    <row r="455" spans="1:32" x14ac:dyDescent="0.25">
      <c r="A455">
        <v>2025</v>
      </c>
      <c r="B455">
        <v>36</v>
      </c>
      <c r="C455" t="s">
        <v>43</v>
      </c>
      <c r="D455" t="s">
        <v>46</v>
      </c>
      <c r="E455" t="s">
        <v>34</v>
      </c>
      <c r="F455" t="s">
        <v>67</v>
      </c>
      <c r="G455" t="s">
        <v>59</v>
      </c>
      <c r="H455" t="s">
        <v>47</v>
      </c>
      <c r="I455" t="s">
        <v>50</v>
      </c>
      <c r="J455" t="s">
        <v>65</v>
      </c>
      <c r="K455">
        <v>2</v>
      </c>
      <c r="L455">
        <v>3</v>
      </c>
      <c r="M455" t="s">
        <v>48</v>
      </c>
      <c r="N455" t="s">
        <v>52</v>
      </c>
      <c r="O455" t="s">
        <v>50</v>
      </c>
      <c r="P455" t="s">
        <v>43</v>
      </c>
      <c r="Q455">
        <v>13</v>
      </c>
      <c r="R455">
        <v>7</v>
      </c>
      <c r="S455">
        <v>18</v>
      </c>
      <c r="T455">
        <v>0</v>
      </c>
      <c r="U455">
        <v>2</v>
      </c>
      <c r="V455">
        <v>4</v>
      </c>
      <c r="W455">
        <v>97</v>
      </c>
      <c r="X455">
        <v>688</v>
      </c>
      <c r="Y455">
        <v>9192</v>
      </c>
      <c r="Z455">
        <v>5131</v>
      </c>
      <c r="AA455">
        <v>3</v>
      </c>
      <c r="AB455">
        <v>31884</v>
      </c>
      <c r="AC455" s="10">
        <v>43440</v>
      </c>
      <c r="AD455" s="10" t="s">
        <v>72</v>
      </c>
      <c r="AE455" t="s">
        <v>72</v>
      </c>
      <c r="AF455" t="s">
        <v>45</v>
      </c>
    </row>
    <row r="456" spans="1:32" x14ac:dyDescent="0.25">
      <c r="A456">
        <v>1011</v>
      </c>
      <c r="B456">
        <v>31</v>
      </c>
      <c r="C456" t="s">
        <v>43</v>
      </c>
      <c r="D456" t="s">
        <v>46</v>
      </c>
      <c r="E456" t="s">
        <v>34</v>
      </c>
      <c r="F456" t="s">
        <v>64</v>
      </c>
      <c r="G456" t="s">
        <v>50</v>
      </c>
      <c r="H456" t="s">
        <v>47</v>
      </c>
      <c r="I456" t="s">
        <v>50</v>
      </c>
      <c r="J456" t="s">
        <v>65</v>
      </c>
      <c r="K456">
        <v>1</v>
      </c>
      <c r="L456">
        <v>3</v>
      </c>
      <c r="M456" t="s">
        <v>48</v>
      </c>
      <c r="N456" t="s">
        <v>61</v>
      </c>
      <c r="O456" t="s">
        <v>36</v>
      </c>
      <c r="P456" t="s">
        <v>43</v>
      </c>
      <c r="Q456">
        <v>12</v>
      </c>
      <c r="R456">
        <v>1</v>
      </c>
      <c r="S456">
        <v>4</v>
      </c>
      <c r="T456">
        <v>0</v>
      </c>
      <c r="U456">
        <v>3</v>
      </c>
      <c r="V456">
        <v>1</v>
      </c>
      <c r="W456">
        <v>96</v>
      </c>
      <c r="X456">
        <v>853</v>
      </c>
      <c r="Y456">
        <v>11275</v>
      </c>
      <c r="Z456">
        <v>4148</v>
      </c>
      <c r="AA456">
        <v>1</v>
      </c>
      <c r="AB456">
        <v>33759</v>
      </c>
      <c r="AC456" s="10">
        <v>43464</v>
      </c>
      <c r="AD456" s="10" t="s">
        <v>72</v>
      </c>
      <c r="AE456" t="s">
        <v>72</v>
      </c>
      <c r="AF456" t="s">
        <v>55</v>
      </c>
    </row>
    <row r="457" spans="1:32" x14ac:dyDescent="0.25">
      <c r="A457">
        <v>1382</v>
      </c>
      <c r="B457">
        <v>38</v>
      </c>
      <c r="C457" t="s">
        <v>43</v>
      </c>
      <c r="D457" t="s">
        <v>46</v>
      </c>
      <c r="E457" t="s">
        <v>34</v>
      </c>
      <c r="F457" t="s">
        <v>49</v>
      </c>
      <c r="G457" t="s">
        <v>59</v>
      </c>
      <c r="H457" t="s">
        <v>37</v>
      </c>
      <c r="I457" t="s">
        <v>59</v>
      </c>
      <c r="J457" t="s">
        <v>39</v>
      </c>
      <c r="K457">
        <v>3</v>
      </c>
      <c r="L457">
        <v>3</v>
      </c>
      <c r="M457" t="s">
        <v>48</v>
      </c>
      <c r="N457" t="s">
        <v>52</v>
      </c>
      <c r="O457" t="s">
        <v>50</v>
      </c>
      <c r="P457" t="s">
        <v>43</v>
      </c>
      <c r="Q457">
        <v>11</v>
      </c>
      <c r="R457">
        <v>1</v>
      </c>
      <c r="S457">
        <v>4</v>
      </c>
      <c r="T457">
        <v>0</v>
      </c>
      <c r="U457">
        <v>3</v>
      </c>
      <c r="V457">
        <v>7</v>
      </c>
      <c r="W457">
        <v>57</v>
      </c>
      <c r="X457">
        <v>693</v>
      </c>
      <c r="Y457">
        <v>15748</v>
      </c>
      <c r="Z457">
        <v>2610</v>
      </c>
      <c r="AA457">
        <v>2</v>
      </c>
      <c r="AB457">
        <v>31153</v>
      </c>
      <c r="AC457" s="10">
        <v>43474</v>
      </c>
      <c r="AD457" s="10" t="s">
        <v>72</v>
      </c>
      <c r="AE457" t="s">
        <v>72</v>
      </c>
      <c r="AF457" t="s">
        <v>45</v>
      </c>
    </row>
    <row r="458" spans="1:32" x14ac:dyDescent="0.25">
      <c r="A458">
        <v>469</v>
      </c>
      <c r="B458">
        <v>29</v>
      </c>
      <c r="C458" t="s">
        <v>43</v>
      </c>
      <c r="D458" t="s">
        <v>63</v>
      </c>
      <c r="E458" t="s">
        <v>56</v>
      </c>
      <c r="F458" t="s">
        <v>49</v>
      </c>
      <c r="G458" t="s">
        <v>59</v>
      </c>
      <c r="H458" t="s">
        <v>37</v>
      </c>
      <c r="I458" t="s">
        <v>50</v>
      </c>
      <c r="J458" t="s">
        <v>57</v>
      </c>
      <c r="K458">
        <v>3</v>
      </c>
      <c r="L458">
        <v>3</v>
      </c>
      <c r="M458" t="s">
        <v>60</v>
      </c>
      <c r="N458" t="s">
        <v>61</v>
      </c>
      <c r="O458" t="s">
        <v>36</v>
      </c>
      <c r="P458" t="s">
        <v>43</v>
      </c>
      <c r="Q458">
        <v>14</v>
      </c>
      <c r="R458">
        <v>1</v>
      </c>
      <c r="S458">
        <v>4</v>
      </c>
      <c r="T458">
        <v>0</v>
      </c>
      <c r="U458">
        <v>2</v>
      </c>
      <c r="V458">
        <v>2</v>
      </c>
      <c r="W458">
        <v>61</v>
      </c>
      <c r="X458">
        <v>746</v>
      </c>
      <c r="Y458">
        <v>16928</v>
      </c>
      <c r="Z458">
        <v>4649</v>
      </c>
      <c r="AA458">
        <v>3</v>
      </c>
      <c r="AB458">
        <v>34351</v>
      </c>
      <c r="AC458" s="10">
        <v>43514</v>
      </c>
      <c r="AD458" s="10" t="s">
        <v>72</v>
      </c>
      <c r="AE458" t="s">
        <v>72</v>
      </c>
      <c r="AF458" t="s">
        <v>55</v>
      </c>
    </row>
    <row r="459" spans="1:32" x14ac:dyDescent="0.25">
      <c r="A459">
        <v>450</v>
      </c>
      <c r="B459">
        <v>54</v>
      </c>
      <c r="C459" t="s">
        <v>43</v>
      </c>
      <c r="D459" t="s">
        <v>46</v>
      </c>
      <c r="E459" t="s">
        <v>34</v>
      </c>
      <c r="F459" t="s">
        <v>35</v>
      </c>
      <c r="G459" t="s">
        <v>59</v>
      </c>
      <c r="H459" t="s">
        <v>47</v>
      </c>
      <c r="I459" t="s">
        <v>50</v>
      </c>
      <c r="J459" t="s">
        <v>39</v>
      </c>
      <c r="K459">
        <v>3</v>
      </c>
      <c r="L459">
        <v>3</v>
      </c>
      <c r="M459" t="s">
        <v>60</v>
      </c>
      <c r="N459" t="s">
        <v>41</v>
      </c>
      <c r="O459" t="s">
        <v>42</v>
      </c>
      <c r="P459" t="s">
        <v>43</v>
      </c>
      <c r="Q459">
        <v>12</v>
      </c>
      <c r="R459">
        <v>3</v>
      </c>
      <c r="S459">
        <v>20</v>
      </c>
      <c r="T459">
        <v>0</v>
      </c>
      <c r="U459">
        <v>3</v>
      </c>
      <c r="V459">
        <v>20</v>
      </c>
      <c r="W459">
        <v>31</v>
      </c>
      <c r="X459">
        <v>928</v>
      </c>
      <c r="Y459">
        <v>16885</v>
      </c>
      <c r="Z459">
        <v>4869</v>
      </c>
      <c r="AA459">
        <v>4</v>
      </c>
      <c r="AB459">
        <v>25391</v>
      </c>
      <c r="AC459" s="10">
        <v>43543</v>
      </c>
      <c r="AD459" s="10" t="s">
        <v>72</v>
      </c>
      <c r="AE459" t="s">
        <v>72</v>
      </c>
      <c r="AF459" t="s">
        <v>45</v>
      </c>
    </row>
    <row r="460" spans="1:32" x14ac:dyDescent="0.25">
      <c r="A460">
        <v>1231</v>
      </c>
      <c r="B460">
        <v>42</v>
      </c>
      <c r="C460" t="s">
        <v>43</v>
      </c>
      <c r="D460" t="s">
        <v>63</v>
      </c>
      <c r="E460" t="s">
        <v>68</v>
      </c>
      <c r="F460" t="s">
        <v>70</v>
      </c>
      <c r="G460" t="s">
        <v>59</v>
      </c>
      <c r="H460" t="s">
        <v>37</v>
      </c>
      <c r="I460" t="s">
        <v>59</v>
      </c>
      <c r="J460" t="s">
        <v>68</v>
      </c>
      <c r="K460">
        <v>1</v>
      </c>
      <c r="L460">
        <v>3</v>
      </c>
      <c r="M460" t="s">
        <v>58</v>
      </c>
      <c r="N460" t="s">
        <v>61</v>
      </c>
      <c r="O460" t="s">
        <v>36</v>
      </c>
      <c r="P460" t="s">
        <v>43</v>
      </c>
      <c r="Q460">
        <v>16</v>
      </c>
      <c r="R460">
        <v>7</v>
      </c>
      <c r="S460">
        <v>10</v>
      </c>
      <c r="T460">
        <v>0</v>
      </c>
      <c r="U460">
        <v>3</v>
      </c>
      <c r="V460">
        <v>2</v>
      </c>
      <c r="W460">
        <v>79</v>
      </c>
      <c r="X460">
        <v>179</v>
      </c>
      <c r="Y460">
        <v>12858</v>
      </c>
      <c r="Z460">
        <v>6272</v>
      </c>
      <c r="AA460">
        <v>3</v>
      </c>
      <c r="AB460">
        <v>29593</v>
      </c>
      <c r="AC460" s="10">
        <v>43601</v>
      </c>
      <c r="AD460" s="10" t="s">
        <v>72</v>
      </c>
      <c r="AE460" t="s">
        <v>72</v>
      </c>
      <c r="AF460" t="s">
        <v>45</v>
      </c>
    </row>
    <row r="461" spans="1:32" x14ac:dyDescent="0.25">
      <c r="A461">
        <v>1477</v>
      </c>
      <c r="B461">
        <v>33</v>
      </c>
      <c r="C461" t="s">
        <v>43</v>
      </c>
      <c r="D461" t="s">
        <v>46</v>
      </c>
      <c r="E461" t="s">
        <v>56</v>
      </c>
      <c r="F461" t="s">
        <v>49</v>
      </c>
      <c r="G461" t="s">
        <v>59</v>
      </c>
      <c r="H461" t="s">
        <v>37</v>
      </c>
      <c r="I461" t="s">
        <v>50</v>
      </c>
      <c r="J461" t="s">
        <v>57</v>
      </c>
      <c r="K461">
        <v>1</v>
      </c>
      <c r="L461">
        <v>3</v>
      </c>
      <c r="M461" t="s">
        <v>48</v>
      </c>
      <c r="N461" t="s">
        <v>61</v>
      </c>
      <c r="O461" t="s">
        <v>53</v>
      </c>
      <c r="P461" t="s">
        <v>43</v>
      </c>
      <c r="Q461">
        <v>14</v>
      </c>
      <c r="R461">
        <v>0</v>
      </c>
      <c r="S461">
        <v>5</v>
      </c>
      <c r="T461">
        <v>0</v>
      </c>
      <c r="U461">
        <v>3</v>
      </c>
      <c r="V461">
        <v>7</v>
      </c>
      <c r="W461">
        <v>54</v>
      </c>
      <c r="X461">
        <v>430</v>
      </c>
      <c r="Y461">
        <v>17456</v>
      </c>
      <c r="Z461">
        <v>4373</v>
      </c>
      <c r="AA461">
        <v>2</v>
      </c>
      <c r="AB461">
        <v>32878</v>
      </c>
      <c r="AC461" s="10">
        <v>43603</v>
      </c>
      <c r="AD461" s="10" t="s">
        <v>72</v>
      </c>
      <c r="AE461" t="s">
        <v>72</v>
      </c>
      <c r="AF461" t="s">
        <v>45</v>
      </c>
    </row>
    <row r="462" spans="1:32" x14ac:dyDescent="0.25">
      <c r="A462">
        <v>1286</v>
      </c>
      <c r="B462">
        <v>28</v>
      </c>
      <c r="C462" t="s">
        <v>43</v>
      </c>
      <c r="D462" t="s">
        <v>46</v>
      </c>
      <c r="E462" t="s">
        <v>34</v>
      </c>
      <c r="F462" t="s">
        <v>35</v>
      </c>
      <c r="G462" t="s">
        <v>59</v>
      </c>
      <c r="H462" t="s">
        <v>37</v>
      </c>
      <c r="I462" t="s">
        <v>50</v>
      </c>
      <c r="J462" t="s">
        <v>51</v>
      </c>
      <c r="K462">
        <v>3</v>
      </c>
      <c r="L462">
        <v>3</v>
      </c>
      <c r="M462" t="s">
        <v>60</v>
      </c>
      <c r="N462" t="s">
        <v>41</v>
      </c>
      <c r="O462" t="s">
        <v>42</v>
      </c>
      <c r="P462" t="s">
        <v>32</v>
      </c>
      <c r="Q462">
        <v>11</v>
      </c>
      <c r="R462">
        <v>0</v>
      </c>
      <c r="S462">
        <v>5</v>
      </c>
      <c r="T462">
        <v>0</v>
      </c>
      <c r="U462">
        <v>2</v>
      </c>
      <c r="V462">
        <v>1</v>
      </c>
      <c r="W462">
        <v>44</v>
      </c>
      <c r="X462">
        <v>791</v>
      </c>
      <c r="Y462">
        <v>6842</v>
      </c>
      <c r="Z462">
        <v>2154</v>
      </c>
      <c r="AA462">
        <v>2</v>
      </c>
      <c r="AB462">
        <v>34622</v>
      </c>
      <c r="AC462" s="10">
        <v>43657</v>
      </c>
      <c r="AD462" s="10" t="s">
        <v>72</v>
      </c>
      <c r="AE462" t="s">
        <v>72</v>
      </c>
      <c r="AF462" t="s">
        <v>45</v>
      </c>
    </row>
    <row r="463" spans="1:32" x14ac:dyDescent="0.25">
      <c r="A463">
        <v>341</v>
      </c>
      <c r="B463">
        <v>45</v>
      </c>
      <c r="C463" t="s">
        <v>43</v>
      </c>
      <c r="D463" t="s">
        <v>46</v>
      </c>
      <c r="E463" t="s">
        <v>34</v>
      </c>
      <c r="F463" t="s">
        <v>35</v>
      </c>
      <c r="G463" t="s">
        <v>36</v>
      </c>
      <c r="H463" t="s">
        <v>37</v>
      </c>
      <c r="I463" t="s">
        <v>59</v>
      </c>
      <c r="J463" t="s">
        <v>65</v>
      </c>
      <c r="K463">
        <v>3</v>
      </c>
      <c r="L463">
        <v>3</v>
      </c>
      <c r="M463" t="s">
        <v>48</v>
      </c>
      <c r="N463" t="s">
        <v>61</v>
      </c>
      <c r="O463" t="s">
        <v>36</v>
      </c>
      <c r="P463" t="s">
        <v>43</v>
      </c>
      <c r="Q463">
        <v>17</v>
      </c>
      <c r="R463">
        <v>4</v>
      </c>
      <c r="S463">
        <v>9</v>
      </c>
      <c r="T463">
        <v>0</v>
      </c>
      <c r="U463">
        <v>2</v>
      </c>
      <c r="V463">
        <v>7</v>
      </c>
      <c r="W463">
        <v>77</v>
      </c>
      <c r="X463">
        <v>1199</v>
      </c>
      <c r="Y463">
        <v>5118</v>
      </c>
      <c r="Z463">
        <v>6434</v>
      </c>
      <c r="AA463">
        <v>1</v>
      </c>
      <c r="AB463">
        <v>28567</v>
      </c>
      <c r="AC463" s="10">
        <v>43713</v>
      </c>
      <c r="AD463" s="10" t="s">
        <v>72</v>
      </c>
      <c r="AE463" t="s">
        <v>72</v>
      </c>
      <c r="AF463" t="s">
        <v>45</v>
      </c>
    </row>
    <row r="464" spans="1:32" x14ac:dyDescent="0.25">
      <c r="A464">
        <v>882</v>
      </c>
      <c r="B464">
        <v>32</v>
      </c>
      <c r="C464" t="s">
        <v>43</v>
      </c>
      <c r="D464" t="s">
        <v>63</v>
      </c>
      <c r="E464" t="s">
        <v>34</v>
      </c>
      <c r="F464" t="s">
        <v>49</v>
      </c>
      <c r="G464" t="s">
        <v>59</v>
      </c>
      <c r="H464" t="s">
        <v>37</v>
      </c>
      <c r="I464" t="s">
        <v>50</v>
      </c>
      <c r="J464" t="s">
        <v>51</v>
      </c>
      <c r="K464">
        <v>4</v>
      </c>
      <c r="L464">
        <v>3</v>
      </c>
      <c r="M464" t="s">
        <v>48</v>
      </c>
      <c r="N464" t="s">
        <v>52</v>
      </c>
      <c r="O464" t="s">
        <v>36</v>
      </c>
      <c r="P464" t="s">
        <v>43</v>
      </c>
      <c r="Q464">
        <v>12</v>
      </c>
      <c r="R464">
        <v>0</v>
      </c>
      <c r="S464">
        <v>4</v>
      </c>
      <c r="T464">
        <v>0</v>
      </c>
      <c r="U464">
        <v>2</v>
      </c>
      <c r="V464">
        <v>1</v>
      </c>
      <c r="W464">
        <v>61</v>
      </c>
      <c r="X464">
        <v>300</v>
      </c>
      <c r="Y464">
        <v>9148</v>
      </c>
      <c r="Z464">
        <v>2314</v>
      </c>
      <c r="AA464">
        <v>2</v>
      </c>
      <c r="AB464">
        <v>33148</v>
      </c>
      <c r="AC464" s="10">
        <v>43749</v>
      </c>
      <c r="AD464" s="10" t="s">
        <v>72</v>
      </c>
      <c r="AE464" t="s">
        <v>72</v>
      </c>
      <c r="AF464" t="s">
        <v>55</v>
      </c>
    </row>
    <row r="465" spans="1:32" x14ac:dyDescent="0.25">
      <c r="A465">
        <v>287</v>
      </c>
      <c r="B465">
        <v>40</v>
      </c>
      <c r="C465" t="s">
        <v>43</v>
      </c>
      <c r="D465" t="s">
        <v>63</v>
      </c>
      <c r="E465" t="s">
        <v>34</v>
      </c>
      <c r="F465" t="s">
        <v>70</v>
      </c>
      <c r="G465" t="s">
        <v>59</v>
      </c>
      <c r="H465" t="s">
        <v>37</v>
      </c>
      <c r="I465" t="s">
        <v>38</v>
      </c>
      <c r="J465" t="s">
        <v>62</v>
      </c>
      <c r="K465">
        <v>4</v>
      </c>
      <c r="L465">
        <v>3</v>
      </c>
      <c r="M465" t="s">
        <v>40</v>
      </c>
      <c r="N465" t="s">
        <v>61</v>
      </c>
      <c r="O465" t="s">
        <v>36</v>
      </c>
      <c r="P465" t="s">
        <v>43</v>
      </c>
      <c r="Q465">
        <v>14</v>
      </c>
      <c r="R465">
        <v>9</v>
      </c>
      <c r="S465">
        <v>5</v>
      </c>
      <c r="T465">
        <v>0</v>
      </c>
      <c r="U465">
        <v>2</v>
      </c>
      <c r="V465">
        <v>9</v>
      </c>
      <c r="W465">
        <v>63</v>
      </c>
      <c r="X465">
        <v>1151</v>
      </c>
      <c r="Y465">
        <v>14242</v>
      </c>
      <c r="Z465">
        <v>4876</v>
      </c>
      <c r="AA465">
        <v>5</v>
      </c>
      <c r="AB465">
        <v>30168</v>
      </c>
      <c r="AC465" s="10">
        <v>43784</v>
      </c>
      <c r="AD465" s="10" t="s">
        <v>72</v>
      </c>
      <c r="AE465" t="s">
        <v>72</v>
      </c>
      <c r="AF465" t="s">
        <v>45</v>
      </c>
    </row>
    <row r="466" spans="1:32" x14ac:dyDescent="0.25">
      <c r="A466">
        <v>1513</v>
      </c>
      <c r="B466">
        <v>29</v>
      </c>
      <c r="C466" t="s">
        <v>43</v>
      </c>
      <c r="D466" t="s">
        <v>46</v>
      </c>
      <c r="E466" t="s">
        <v>34</v>
      </c>
      <c r="F466" t="s">
        <v>64</v>
      </c>
      <c r="G466" t="s">
        <v>59</v>
      </c>
      <c r="H466" t="s">
        <v>47</v>
      </c>
      <c r="I466" t="s">
        <v>50</v>
      </c>
      <c r="J466" t="s">
        <v>51</v>
      </c>
      <c r="K466">
        <v>2</v>
      </c>
      <c r="L466">
        <v>3</v>
      </c>
      <c r="M466" t="s">
        <v>48</v>
      </c>
      <c r="N466" t="s">
        <v>61</v>
      </c>
      <c r="O466" t="s">
        <v>50</v>
      </c>
      <c r="P466" t="s">
        <v>43</v>
      </c>
      <c r="Q466">
        <v>13</v>
      </c>
      <c r="R466">
        <v>0</v>
      </c>
      <c r="S466">
        <v>4</v>
      </c>
      <c r="T466">
        <v>0</v>
      </c>
      <c r="U466">
        <v>2</v>
      </c>
      <c r="V466">
        <v>2</v>
      </c>
      <c r="W466">
        <v>97</v>
      </c>
      <c r="X466">
        <v>410</v>
      </c>
      <c r="Y466">
        <v>4668</v>
      </c>
      <c r="Z466">
        <v>3180</v>
      </c>
      <c r="AA466">
        <v>3</v>
      </c>
      <c r="AB466">
        <v>34345</v>
      </c>
      <c r="AC466" s="10">
        <v>43794</v>
      </c>
      <c r="AD466" s="10" t="s">
        <v>72</v>
      </c>
      <c r="AE466" t="s">
        <v>72</v>
      </c>
      <c r="AF466" t="s">
        <v>45</v>
      </c>
    </row>
    <row r="467" spans="1:32" x14ac:dyDescent="0.25">
      <c r="A467">
        <v>1114</v>
      </c>
      <c r="B467">
        <v>33</v>
      </c>
      <c r="C467" t="s">
        <v>43</v>
      </c>
      <c r="D467" t="s">
        <v>46</v>
      </c>
      <c r="E467" t="s">
        <v>56</v>
      </c>
      <c r="F467" t="s">
        <v>49</v>
      </c>
      <c r="G467" t="s">
        <v>59</v>
      </c>
      <c r="H467" t="s">
        <v>47</v>
      </c>
      <c r="I467" t="s">
        <v>50</v>
      </c>
      <c r="J467" t="s">
        <v>57</v>
      </c>
      <c r="K467">
        <v>2</v>
      </c>
      <c r="L467">
        <v>3</v>
      </c>
      <c r="M467" t="s">
        <v>48</v>
      </c>
      <c r="N467" t="s">
        <v>61</v>
      </c>
      <c r="O467" t="s">
        <v>36</v>
      </c>
      <c r="P467" t="s">
        <v>43</v>
      </c>
      <c r="Q467">
        <v>17</v>
      </c>
      <c r="R467">
        <v>0</v>
      </c>
      <c r="S467">
        <v>4</v>
      </c>
      <c r="T467">
        <v>0</v>
      </c>
      <c r="U467">
        <v>2</v>
      </c>
      <c r="V467">
        <v>7</v>
      </c>
      <c r="W467">
        <v>30</v>
      </c>
      <c r="X467">
        <v>970</v>
      </c>
      <c r="Y467">
        <v>13401</v>
      </c>
      <c r="Z467">
        <v>4302</v>
      </c>
      <c r="AA467">
        <v>3</v>
      </c>
      <c r="AB467">
        <v>32829</v>
      </c>
      <c r="AC467" s="10">
        <v>43818</v>
      </c>
      <c r="AD467" s="10" t="s">
        <v>72</v>
      </c>
      <c r="AE467" t="s">
        <v>72</v>
      </c>
      <c r="AF467" t="s">
        <v>45</v>
      </c>
    </row>
    <row r="468" spans="1:32" x14ac:dyDescent="0.25">
      <c r="A468">
        <v>974</v>
      </c>
      <c r="B468">
        <v>29</v>
      </c>
      <c r="C468" t="s">
        <v>43</v>
      </c>
      <c r="D468" t="s">
        <v>46</v>
      </c>
      <c r="E468" t="s">
        <v>56</v>
      </c>
      <c r="F468" t="s">
        <v>49</v>
      </c>
      <c r="G468" t="s">
        <v>50</v>
      </c>
      <c r="H468" t="s">
        <v>47</v>
      </c>
      <c r="I468" t="s">
        <v>50</v>
      </c>
      <c r="J468" t="s">
        <v>66</v>
      </c>
      <c r="K468">
        <v>4</v>
      </c>
      <c r="L468">
        <v>3</v>
      </c>
      <c r="M468" t="s">
        <v>48</v>
      </c>
      <c r="N468" t="s">
        <v>61</v>
      </c>
      <c r="O468" t="s">
        <v>36</v>
      </c>
      <c r="P468" t="s">
        <v>43</v>
      </c>
      <c r="Q468">
        <v>15</v>
      </c>
      <c r="R468">
        <v>1</v>
      </c>
      <c r="S468">
        <v>3</v>
      </c>
      <c r="T468">
        <v>0</v>
      </c>
      <c r="U468">
        <v>2</v>
      </c>
      <c r="V468">
        <v>20</v>
      </c>
      <c r="W468">
        <v>84</v>
      </c>
      <c r="X468">
        <v>1404</v>
      </c>
      <c r="Y468">
        <v>18203</v>
      </c>
      <c r="Z468">
        <v>2157</v>
      </c>
      <c r="AA468">
        <v>5</v>
      </c>
      <c r="AB468">
        <v>34445</v>
      </c>
      <c r="AC468" s="10">
        <v>43826</v>
      </c>
      <c r="AD468" s="10" t="s">
        <v>72</v>
      </c>
      <c r="AE468" t="s">
        <v>72</v>
      </c>
      <c r="AF468" t="s">
        <v>45</v>
      </c>
    </row>
    <row r="469" spans="1:32" x14ac:dyDescent="0.25">
      <c r="A469">
        <v>1140</v>
      </c>
      <c r="B469">
        <v>34</v>
      </c>
      <c r="C469" t="s">
        <v>43</v>
      </c>
      <c r="D469" t="s">
        <v>46</v>
      </c>
      <c r="E469" t="s">
        <v>34</v>
      </c>
      <c r="F469" t="s">
        <v>67</v>
      </c>
      <c r="G469" t="s">
        <v>59</v>
      </c>
      <c r="H469" t="s">
        <v>37</v>
      </c>
      <c r="I469" t="s">
        <v>50</v>
      </c>
      <c r="J469" t="s">
        <v>65</v>
      </c>
      <c r="K469">
        <v>3</v>
      </c>
      <c r="L469">
        <v>3</v>
      </c>
      <c r="M469" t="s">
        <v>60</v>
      </c>
      <c r="N469" t="s">
        <v>41</v>
      </c>
      <c r="O469" t="s">
        <v>42</v>
      </c>
      <c r="P469" t="s">
        <v>43</v>
      </c>
      <c r="Q469">
        <v>11</v>
      </c>
      <c r="R469">
        <v>2</v>
      </c>
      <c r="S469">
        <v>5</v>
      </c>
      <c r="T469">
        <v>0</v>
      </c>
      <c r="U469">
        <v>2</v>
      </c>
      <c r="V469">
        <v>2</v>
      </c>
      <c r="W469">
        <v>95</v>
      </c>
      <c r="X469">
        <v>1003</v>
      </c>
      <c r="Y469">
        <v>15834</v>
      </c>
      <c r="Z469">
        <v>4033</v>
      </c>
      <c r="AA469">
        <v>3</v>
      </c>
      <c r="AB469">
        <v>32569</v>
      </c>
      <c r="AC469" s="10">
        <v>43833</v>
      </c>
      <c r="AD469" s="10" t="s">
        <v>72</v>
      </c>
      <c r="AE469" t="s">
        <v>72</v>
      </c>
      <c r="AF469" t="s">
        <v>45</v>
      </c>
    </row>
    <row r="470" spans="1:32" x14ac:dyDescent="0.25">
      <c r="A470">
        <v>1594</v>
      </c>
      <c r="B470">
        <v>36</v>
      </c>
      <c r="C470" t="s">
        <v>43</v>
      </c>
      <c r="D470" t="s">
        <v>46</v>
      </c>
      <c r="E470" t="s">
        <v>34</v>
      </c>
      <c r="F470" t="s">
        <v>35</v>
      </c>
      <c r="G470" t="s">
        <v>36</v>
      </c>
      <c r="H470" t="s">
        <v>37</v>
      </c>
      <c r="I470" t="s">
        <v>59</v>
      </c>
      <c r="J470" t="s">
        <v>51</v>
      </c>
      <c r="K470">
        <v>1</v>
      </c>
      <c r="L470">
        <v>3</v>
      </c>
      <c r="M470" t="s">
        <v>48</v>
      </c>
      <c r="N470" t="s">
        <v>61</v>
      </c>
      <c r="O470" t="s">
        <v>36</v>
      </c>
      <c r="P470" t="s">
        <v>32</v>
      </c>
      <c r="Q470">
        <v>13</v>
      </c>
      <c r="R470">
        <v>3</v>
      </c>
      <c r="S470">
        <v>9</v>
      </c>
      <c r="T470">
        <v>0</v>
      </c>
      <c r="U470">
        <v>2</v>
      </c>
      <c r="V470">
        <v>6</v>
      </c>
      <c r="W470">
        <v>80</v>
      </c>
      <c r="X470">
        <v>1302</v>
      </c>
      <c r="Y470">
        <v>19711</v>
      </c>
      <c r="Z470">
        <v>5562</v>
      </c>
      <c r="AA470">
        <v>3</v>
      </c>
      <c r="AB470">
        <v>31889</v>
      </c>
      <c r="AC470" s="10">
        <v>43899</v>
      </c>
      <c r="AD470" s="10" t="s">
        <v>72</v>
      </c>
      <c r="AE470" t="s">
        <v>72</v>
      </c>
      <c r="AF470" t="s">
        <v>45</v>
      </c>
    </row>
    <row r="471" spans="1:32" x14ac:dyDescent="0.25">
      <c r="A471">
        <v>1154</v>
      </c>
      <c r="B471">
        <v>28</v>
      </c>
      <c r="C471" t="s">
        <v>43</v>
      </c>
      <c r="D471" t="s">
        <v>46</v>
      </c>
      <c r="E471" t="s">
        <v>34</v>
      </c>
      <c r="F471" t="s">
        <v>49</v>
      </c>
      <c r="G471" t="s">
        <v>50</v>
      </c>
      <c r="H471" t="s">
        <v>37</v>
      </c>
      <c r="I471" t="s">
        <v>38</v>
      </c>
      <c r="J471" t="s">
        <v>39</v>
      </c>
      <c r="K471">
        <v>3</v>
      </c>
      <c r="L471">
        <v>3</v>
      </c>
      <c r="M471" t="s">
        <v>48</v>
      </c>
      <c r="N471" t="s">
        <v>52</v>
      </c>
      <c r="O471" t="s">
        <v>36</v>
      </c>
      <c r="P471" t="s">
        <v>32</v>
      </c>
      <c r="Q471">
        <v>14</v>
      </c>
      <c r="R471">
        <v>1</v>
      </c>
      <c r="S471">
        <v>3</v>
      </c>
      <c r="T471">
        <v>0</v>
      </c>
      <c r="U471">
        <v>2</v>
      </c>
      <c r="V471">
        <v>6</v>
      </c>
      <c r="W471">
        <v>39</v>
      </c>
      <c r="X471">
        <v>773</v>
      </c>
      <c r="Y471">
        <v>22088</v>
      </c>
      <c r="Z471">
        <v>2703</v>
      </c>
      <c r="AA471">
        <v>2</v>
      </c>
      <c r="AB471">
        <v>34671</v>
      </c>
      <c r="AC471" s="10">
        <v>43960</v>
      </c>
      <c r="AD471" s="10" t="s">
        <v>72</v>
      </c>
      <c r="AE471" t="s">
        <v>72</v>
      </c>
      <c r="AF471" t="s">
        <v>45</v>
      </c>
    </row>
    <row r="472" spans="1:32" x14ac:dyDescent="0.25">
      <c r="A472">
        <v>1006</v>
      </c>
      <c r="B472">
        <v>38</v>
      </c>
      <c r="C472" t="s">
        <v>43</v>
      </c>
      <c r="D472" t="s">
        <v>46</v>
      </c>
      <c r="E472" t="s">
        <v>34</v>
      </c>
      <c r="F472" t="s">
        <v>64</v>
      </c>
      <c r="G472" t="s">
        <v>50</v>
      </c>
      <c r="H472" t="s">
        <v>37</v>
      </c>
      <c r="I472" t="s">
        <v>50</v>
      </c>
      <c r="J472" t="s">
        <v>39</v>
      </c>
      <c r="K472">
        <v>3</v>
      </c>
      <c r="L472">
        <v>3</v>
      </c>
      <c r="M472" t="s">
        <v>60</v>
      </c>
      <c r="N472" t="s">
        <v>61</v>
      </c>
      <c r="O472" t="s">
        <v>36</v>
      </c>
      <c r="P472" t="s">
        <v>43</v>
      </c>
      <c r="Q472">
        <v>17</v>
      </c>
      <c r="R472">
        <v>0</v>
      </c>
      <c r="S472">
        <v>3</v>
      </c>
      <c r="T472">
        <v>0</v>
      </c>
      <c r="U472">
        <v>2</v>
      </c>
      <c r="V472">
        <v>10</v>
      </c>
      <c r="W472">
        <v>66</v>
      </c>
      <c r="X472">
        <v>1391</v>
      </c>
      <c r="Y472">
        <v>12127</v>
      </c>
      <c r="Z472">
        <v>2684</v>
      </c>
      <c r="AA472">
        <v>0</v>
      </c>
      <c r="AB472">
        <v>31189</v>
      </c>
      <c r="AC472" s="10">
        <v>44146</v>
      </c>
      <c r="AD472" s="10" t="s">
        <v>72</v>
      </c>
      <c r="AE472" t="s">
        <v>72</v>
      </c>
      <c r="AF472" t="s">
        <v>45</v>
      </c>
    </row>
    <row r="473" spans="1:32" x14ac:dyDescent="0.25">
      <c r="A473">
        <v>615</v>
      </c>
      <c r="B473">
        <v>40</v>
      </c>
      <c r="C473" t="s">
        <v>43</v>
      </c>
      <c r="D473" t="s">
        <v>63</v>
      </c>
      <c r="E473" t="s">
        <v>56</v>
      </c>
      <c r="F473" t="s">
        <v>49</v>
      </c>
      <c r="G473" t="s">
        <v>50</v>
      </c>
      <c r="H473" t="s">
        <v>37</v>
      </c>
      <c r="I473" t="s">
        <v>36</v>
      </c>
      <c r="J473" t="s">
        <v>57</v>
      </c>
      <c r="K473">
        <v>1</v>
      </c>
      <c r="L473">
        <v>3</v>
      </c>
      <c r="M473" t="s">
        <v>48</v>
      </c>
      <c r="N473" t="s">
        <v>52</v>
      </c>
      <c r="O473" t="s">
        <v>36</v>
      </c>
      <c r="P473" t="s">
        <v>43</v>
      </c>
      <c r="Q473">
        <v>15</v>
      </c>
      <c r="R473">
        <v>3</v>
      </c>
      <c r="S473">
        <v>20</v>
      </c>
      <c r="T473">
        <v>0</v>
      </c>
      <c r="U473">
        <v>1</v>
      </c>
      <c r="V473">
        <v>28</v>
      </c>
      <c r="W473">
        <v>58</v>
      </c>
      <c r="X473">
        <v>1094</v>
      </c>
      <c r="Y473">
        <v>11373</v>
      </c>
      <c r="Z473">
        <v>10932</v>
      </c>
      <c r="AA473">
        <v>2</v>
      </c>
      <c r="AB473">
        <v>30223</v>
      </c>
      <c r="AC473" s="10">
        <v>44509</v>
      </c>
      <c r="AD473" s="10" t="s">
        <v>72</v>
      </c>
      <c r="AE473" t="s">
        <v>72</v>
      </c>
      <c r="AF473" t="s">
        <v>45</v>
      </c>
    </row>
    <row r="474" spans="1:32" x14ac:dyDescent="0.25">
      <c r="A474">
        <v>224</v>
      </c>
      <c r="B474">
        <v>27</v>
      </c>
      <c r="C474" t="s">
        <v>43</v>
      </c>
      <c r="D474" t="s">
        <v>63</v>
      </c>
      <c r="E474" t="s">
        <v>34</v>
      </c>
      <c r="F474" t="s">
        <v>49</v>
      </c>
      <c r="G474" t="s">
        <v>50</v>
      </c>
      <c r="H474" t="s">
        <v>37</v>
      </c>
      <c r="I474" t="s">
        <v>38</v>
      </c>
      <c r="J474" t="s">
        <v>39</v>
      </c>
      <c r="K474">
        <v>3</v>
      </c>
      <c r="L474">
        <v>3</v>
      </c>
      <c r="M474" t="s">
        <v>60</v>
      </c>
      <c r="N474" t="s">
        <v>52</v>
      </c>
      <c r="O474" t="s">
        <v>36</v>
      </c>
      <c r="P474" t="s">
        <v>32</v>
      </c>
      <c r="Q474">
        <v>15</v>
      </c>
      <c r="R474">
        <v>1</v>
      </c>
      <c r="S474">
        <v>1</v>
      </c>
      <c r="T474">
        <v>0</v>
      </c>
      <c r="U474">
        <v>1</v>
      </c>
      <c r="V474">
        <v>3</v>
      </c>
      <c r="W474">
        <v>79</v>
      </c>
      <c r="X474">
        <v>1450</v>
      </c>
      <c r="Y474">
        <v>25326</v>
      </c>
      <c r="Z474">
        <v>2566</v>
      </c>
      <c r="AA474">
        <v>2</v>
      </c>
      <c r="AB474">
        <v>35198</v>
      </c>
      <c r="AC474" s="10">
        <v>44571</v>
      </c>
      <c r="AD474" s="10" t="s">
        <v>72</v>
      </c>
      <c r="AE474" t="s">
        <v>72</v>
      </c>
      <c r="AF474" t="s">
        <v>45</v>
      </c>
    </row>
    <row r="475" spans="1:32" x14ac:dyDescent="0.25">
      <c r="A475">
        <v>2034</v>
      </c>
      <c r="B475">
        <v>41</v>
      </c>
      <c r="C475" t="s">
        <v>43</v>
      </c>
      <c r="D475" t="s">
        <v>33</v>
      </c>
      <c r="E475" t="s">
        <v>34</v>
      </c>
      <c r="F475" t="s">
        <v>35</v>
      </c>
      <c r="G475" t="s">
        <v>36</v>
      </c>
      <c r="H475" t="s">
        <v>47</v>
      </c>
      <c r="I475" t="s">
        <v>38</v>
      </c>
      <c r="J475" t="s">
        <v>65</v>
      </c>
      <c r="K475">
        <v>2</v>
      </c>
      <c r="L475">
        <v>4</v>
      </c>
      <c r="M475" t="s">
        <v>48</v>
      </c>
      <c r="N475" t="s">
        <v>61</v>
      </c>
      <c r="O475" t="s">
        <v>36</v>
      </c>
      <c r="P475" t="s">
        <v>43</v>
      </c>
      <c r="Q475">
        <v>23</v>
      </c>
      <c r="R475">
        <v>0</v>
      </c>
      <c r="S475">
        <v>21</v>
      </c>
      <c r="T475">
        <v>0</v>
      </c>
      <c r="U475">
        <v>10</v>
      </c>
      <c r="V475">
        <v>28</v>
      </c>
      <c r="W475">
        <v>60</v>
      </c>
      <c r="X475">
        <v>582</v>
      </c>
      <c r="Y475">
        <v>5640</v>
      </c>
      <c r="Z475">
        <v>13570</v>
      </c>
      <c r="AA475">
        <v>3</v>
      </c>
      <c r="AB475">
        <v>29942</v>
      </c>
      <c r="AC475" s="10">
        <v>37496</v>
      </c>
      <c r="AD475" s="10" t="s">
        <v>72</v>
      </c>
      <c r="AE475" t="s">
        <v>72</v>
      </c>
      <c r="AF475" t="s">
        <v>45</v>
      </c>
    </row>
    <row r="476" spans="1:32" x14ac:dyDescent="0.25">
      <c r="A476">
        <v>1408</v>
      </c>
      <c r="B476">
        <v>42</v>
      </c>
      <c r="C476" t="s">
        <v>43</v>
      </c>
      <c r="D476" t="s">
        <v>33</v>
      </c>
      <c r="E476" t="s">
        <v>68</v>
      </c>
      <c r="F476" t="s">
        <v>49</v>
      </c>
      <c r="G476" t="s">
        <v>50</v>
      </c>
      <c r="H476" t="s">
        <v>47</v>
      </c>
      <c r="I476" t="s">
        <v>50</v>
      </c>
      <c r="J476" t="s">
        <v>69</v>
      </c>
      <c r="K476">
        <v>1</v>
      </c>
      <c r="L476">
        <v>1</v>
      </c>
      <c r="M476" t="s">
        <v>48</v>
      </c>
      <c r="N476" t="s">
        <v>61</v>
      </c>
      <c r="O476" t="s">
        <v>36</v>
      </c>
      <c r="P476" t="s">
        <v>43</v>
      </c>
      <c r="Q476">
        <v>14</v>
      </c>
      <c r="R476">
        <v>0</v>
      </c>
      <c r="S476">
        <v>21</v>
      </c>
      <c r="T476">
        <v>0</v>
      </c>
      <c r="U476">
        <v>9</v>
      </c>
      <c r="V476">
        <v>10</v>
      </c>
      <c r="W476">
        <v>31</v>
      </c>
      <c r="X476">
        <v>1147</v>
      </c>
      <c r="Y476">
        <v>16616</v>
      </c>
      <c r="Z476">
        <v>16799</v>
      </c>
      <c r="AA476">
        <v>5</v>
      </c>
      <c r="AB476">
        <v>29447</v>
      </c>
      <c r="AC476" s="10">
        <v>37575</v>
      </c>
      <c r="AD476" s="10" t="s">
        <v>72</v>
      </c>
      <c r="AE476" t="s">
        <v>72</v>
      </c>
      <c r="AF476" t="s">
        <v>45</v>
      </c>
    </row>
    <row r="477" spans="1:32" x14ac:dyDescent="0.25">
      <c r="A477">
        <v>581</v>
      </c>
      <c r="B477">
        <v>31</v>
      </c>
      <c r="C477" t="s">
        <v>43</v>
      </c>
      <c r="D477" t="s">
        <v>33</v>
      </c>
      <c r="E477" t="s">
        <v>34</v>
      </c>
      <c r="F477" t="s">
        <v>64</v>
      </c>
      <c r="G477" t="s">
        <v>50</v>
      </c>
      <c r="H477" t="s">
        <v>37</v>
      </c>
      <c r="I477" t="s">
        <v>50</v>
      </c>
      <c r="J477" t="s">
        <v>65</v>
      </c>
      <c r="K477">
        <v>2</v>
      </c>
      <c r="L477">
        <v>4</v>
      </c>
      <c r="M477" t="s">
        <v>58</v>
      </c>
      <c r="N477" t="s">
        <v>52</v>
      </c>
      <c r="O477" t="s">
        <v>36</v>
      </c>
      <c r="P477" t="s">
        <v>43</v>
      </c>
      <c r="Q477">
        <v>25</v>
      </c>
      <c r="R477">
        <v>1</v>
      </c>
      <c r="S477">
        <v>13</v>
      </c>
      <c r="T477">
        <v>0</v>
      </c>
      <c r="U477">
        <v>8</v>
      </c>
      <c r="V477">
        <v>9</v>
      </c>
      <c r="W477">
        <v>33</v>
      </c>
      <c r="X477">
        <v>1274</v>
      </c>
      <c r="Y477">
        <v>14394</v>
      </c>
      <c r="Z477">
        <v>10648</v>
      </c>
      <c r="AA477">
        <v>6</v>
      </c>
      <c r="AB477">
        <v>33762</v>
      </c>
      <c r="AC477" s="10">
        <v>40220</v>
      </c>
      <c r="AD477" s="10" t="s">
        <v>72</v>
      </c>
      <c r="AE477" t="s">
        <v>72</v>
      </c>
      <c r="AF477" t="s">
        <v>45</v>
      </c>
    </row>
    <row r="478" spans="1:32" x14ac:dyDescent="0.25">
      <c r="A478">
        <v>1669</v>
      </c>
      <c r="B478">
        <v>29</v>
      </c>
      <c r="C478" t="s">
        <v>43</v>
      </c>
      <c r="D478" t="s">
        <v>33</v>
      </c>
      <c r="E478" t="s">
        <v>56</v>
      </c>
      <c r="F478" t="s">
        <v>49</v>
      </c>
      <c r="G478" t="s">
        <v>36</v>
      </c>
      <c r="H478" t="s">
        <v>37</v>
      </c>
      <c r="I478" t="s">
        <v>38</v>
      </c>
      <c r="J478" t="s">
        <v>57</v>
      </c>
      <c r="K478">
        <v>2</v>
      </c>
      <c r="L478">
        <v>1</v>
      </c>
      <c r="M478" t="s">
        <v>60</v>
      </c>
      <c r="N478" t="s">
        <v>52</v>
      </c>
      <c r="O478" t="s">
        <v>36</v>
      </c>
      <c r="P478" t="s">
        <v>32</v>
      </c>
      <c r="Q478">
        <v>13</v>
      </c>
      <c r="R478">
        <v>1</v>
      </c>
      <c r="S478">
        <v>10</v>
      </c>
      <c r="T478">
        <v>0</v>
      </c>
      <c r="U478">
        <v>9</v>
      </c>
      <c r="V478">
        <v>5</v>
      </c>
      <c r="W478">
        <v>43</v>
      </c>
      <c r="X478">
        <v>991</v>
      </c>
      <c r="Y478">
        <v>3356</v>
      </c>
      <c r="Z478">
        <v>4187</v>
      </c>
      <c r="AA478">
        <v>3</v>
      </c>
      <c r="AB478">
        <v>34447</v>
      </c>
      <c r="AC478" s="10">
        <v>41189</v>
      </c>
      <c r="AD478" s="10" t="s">
        <v>72</v>
      </c>
      <c r="AE478" t="s">
        <v>72</v>
      </c>
      <c r="AF478" t="s">
        <v>45</v>
      </c>
    </row>
    <row r="479" spans="1:32" x14ac:dyDescent="0.25">
      <c r="A479">
        <v>942</v>
      </c>
      <c r="B479">
        <v>35</v>
      </c>
      <c r="C479" t="s">
        <v>43</v>
      </c>
      <c r="D479" t="s">
        <v>33</v>
      </c>
      <c r="E479" t="s">
        <v>34</v>
      </c>
      <c r="F479" t="s">
        <v>64</v>
      </c>
      <c r="G479" t="s">
        <v>59</v>
      </c>
      <c r="H479" t="s">
        <v>47</v>
      </c>
      <c r="I479" t="s">
        <v>50</v>
      </c>
      <c r="J479" t="s">
        <v>62</v>
      </c>
      <c r="K479">
        <v>4</v>
      </c>
      <c r="L479">
        <v>4</v>
      </c>
      <c r="M479" t="s">
        <v>40</v>
      </c>
      <c r="N479" t="s">
        <v>61</v>
      </c>
      <c r="O479" t="s">
        <v>36</v>
      </c>
      <c r="P479" t="s">
        <v>32</v>
      </c>
      <c r="Q479">
        <v>25</v>
      </c>
      <c r="R479">
        <v>1</v>
      </c>
      <c r="S479">
        <v>10</v>
      </c>
      <c r="T479">
        <v>0</v>
      </c>
      <c r="U479">
        <v>7</v>
      </c>
      <c r="V479">
        <v>21</v>
      </c>
      <c r="W479">
        <v>51</v>
      </c>
      <c r="X479">
        <v>1137</v>
      </c>
      <c r="Y479">
        <v>19170</v>
      </c>
      <c r="Z479">
        <v>4014</v>
      </c>
      <c r="AA479">
        <v>2</v>
      </c>
      <c r="AB479">
        <v>32247</v>
      </c>
      <c r="AC479" s="10">
        <v>41216</v>
      </c>
      <c r="AD479" s="10" t="s">
        <v>72</v>
      </c>
      <c r="AE479" t="s">
        <v>72</v>
      </c>
      <c r="AF479" t="s">
        <v>45</v>
      </c>
    </row>
    <row r="480" spans="1:32" x14ac:dyDescent="0.25">
      <c r="A480">
        <v>1085</v>
      </c>
      <c r="B480">
        <v>41</v>
      </c>
      <c r="C480" t="s">
        <v>43</v>
      </c>
      <c r="D480" t="s">
        <v>33</v>
      </c>
      <c r="E480" t="s">
        <v>34</v>
      </c>
      <c r="F480" t="s">
        <v>67</v>
      </c>
      <c r="G480" t="s">
        <v>38</v>
      </c>
      <c r="H480" t="s">
        <v>47</v>
      </c>
      <c r="I480" t="s">
        <v>59</v>
      </c>
      <c r="J480" t="s">
        <v>39</v>
      </c>
      <c r="K480">
        <v>3</v>
      </c>
      <c r="L480">
        <v>2</v>
      </c>
      <c r="M480" t="s">
        <v>48</v>
      </c>
      <c r="N480" t="s">
        <v>61</v>
      </c>
      <c r="O480" t="s">
        <v>42</v>
      </c>
      <c r="P480" t="s">
        <v>43</v>
      </c>
      <c r="Q480">
        <v>13</v>
      </c>
      <c r="R480">
        <v>1</v>
      </c>
      <c r="S480">
        <v>10</v>
      </c>
      <c r="T480">
        <v>0</v>
      </c>
      <c r="U480">
        <v>8</v>
      </c>
      <c r="V480">
        <v>7</v>
      </c>
      <c r="W480">
        <v>43</v>
      </c>
      <c r="X480">
        <v>509</v>
      </c>
      <c r="Y480">
        <v>18863</v>
      </c>
      <c r="Z480">
        <v>3376</v>
      </c>
      <c r="AA480">
        <v>3</v>
      </c>
      <c r="AB480">
        <v>29826</v>
      </c>
      <c r="AC480" s="10">
        <v>41261</v>
      </c>
      <c r="AD480" s="10" t="s">
        <v>72</v>
      </c>
      <c r="AE480" t="s">
        <v>72</v>
      </c>
      <c r="AF480" t="s">
        <v>45</v>
      </c>
    </row>
    <row r="481" spans="1:32" x14ac:dyDescent="0.25">
      <c r="A481">
        <v>824</v>
      </c>
      <c r="B481">
        <v>29</v>
      </c>
      <c r="C481" t="s">
        <v>43</v>
      </c>
      <c r="D481" t="s">
        <v>33</v>
      </c>
      <c r="E481" t="s">
        <v>34</v>
      </c>
      <c r="F481" t="s">
        <v>67</v>
      </c>
      <c r="G481" t="s">
        <v>50</v>
      </c>
      <c r="H481" t="s">
        <v>37</v>
      </c>
      <c r="I481" t="s">
        <v>59</v>
      </c>
      <c r="J481" t="s">
        <v>39</v>
      </c>
      <c r="K481">
        <v>3</v>
      </c>
      <c r="L481">
        <v>4</v>
      </c>
      <c r="M481" t="s">
        <v>48</v>
      </c>
      <c r="N481" t="s">
        <v>61</v>
      </c>
      <c r="O481" t="s">
        <v>36</v>
      </c>
      <c r="P481" t="s">
        <v>43</v>
      </c>
      <c r="Q481">
        <v>24</v>
      </c>
      <c r="R481">
        <v>1</v>
      </c>
      <c r="S481">
        <v>10</v>
      </c>
      <c r="T481">
        <v>0</v>
      </c>
      <c r="U481">
        <v>7</v>
      </c>
      <c r="V481">
        <v>23</v>
      </c>
      <c r="W481">
        <v>81</v>
      </c>
      <c r="X481">
        <v>1252</v>
      </c>
      <c r="Y481">
        <v>23779</v>
      </c>
      <c r="Z481">
        <v>2700</v>
      </c>
      <c r="AA481">
        <v>3</v>
      </c>
      <c r="AB481">
        <v>34241</v>
      </c>
      <c r="AC481" s="10">
        <v>41370</v>
      </c>
      <c r="AD481" s="10" t="s">
        <v>72</v>
      </c>
      <c r="AE481" t="s">
        <v>72</v>
      </c>
      <c r="AF481" t="s">
        <v>45</v>
      </c>
    </row>
    <row r="482" spans="1:32" x14ac:dyDescent="0.25">
      <c r="A482">
        <v>1881</v>
      </c>
      <c r="B482">
        <v>31</v>
      </c>
      <c r="C482" t="s">
        <v>43</v>
      </c>
      <c r="D482" t="s">
        <v>33</v>
      </c>
      <c r="E482" t="s">
        <v>34</v>
      </c>
      <c r="F482" t="s">
        <v>49</v>
      </c>
      <c r="G482" t="s">
        <v>38</v>
      </c>
      <c r="H482" t="s">
        <v>37</v>
      </c>
      <c r="I482" t="s">
        <v>50</v>
      </c>
      <c r="J482" t="s">
        <v>51</v>
      </c>
      <c r="K482">
        <v>3</v>
      </c>
      <c r="L482">
        <v>1</v>
      </c>
      <c r="M482" t="s">
        <v>48</v>
      </c>
      <c r="N482" t="s">
        <v>52</v>
      </c>
      <c r="O482" t="s">
        <v>36</v>
      </c>
      <c r="P482" t="s">
        <v>43</v>
      </c>
      <c r="Q482">
        <v>11</v>
      </c>
      <c r="R482">
        <v>1</v>
      </c>
      <c r="S482">
        <v>10</v>
      </c>
      <c r="T482">
        <v>0</v>
      </c>
      <c r="U482">
        <v>2</v>
      </c>
      <c r="V482">
        <v>20</v>
      </c>
      <c r="W482">
        <v>89</v>
      </c>
      <c r="X482">
        <v>311</v>
      </c>
      <c r="Y482">
        <v>18624</v>
      </c>
      <c r="Z482">
        <v>4197</v>
      </c>
      <c r="AA482">
        <v>2</v>
      </c>
      <c r="AB482">
        <v>33709</v>
      </c>
      <c r="AC482" s="10">
        <v>41383</v>
      </c>
      <c r="AD482" s="10" t="s">
        <v>72</v>
      </c>
      <c r="AE482" t="s">
        <v>72</v>
      </c>
      <c r="AF482" t="s">
        <v>45</v>
      </c>
    </row>
    <row r="483" spans="1:32" x14ac:dyDescent="0.25">
      <c r="A483">
        <v>855</v>
      </c>
      <c r="B483">
        <v>33</v>
      </c>
      <c r="C483" t="s">
        <v>43</v>
      </c>
      <c r="D483" t="s">
        <v>33</v>
      </c>
      <c r="E483" t="s">
        <v>56</v>
      </c>
      <c r="F483" t="s">
        <v>49</v>
      </c>
      <c r="G483" t="s">
        <v>36</v>
      </c>
      <c r="H483" t="s">
        <v>37</v>
      </c>
      <c r="I483" t="s">
        <v>59</v>
      </c>
      <c r="J483" t="s">
        <v>57</v>
      </c>
      <c r="K483">
        <v>1</v>
      </c>
      <c r="L483">
        <v>4</v>
      </c>
      <c r="M483" t="s">
        <v>48</v>
      </c>
      <c r="N483" t="s">
        <v>52</v>
      </c>
      <c r="O483" t="s">
        <v>36</v>
      </c>
      <c r="P483" t="s">
        <v>43</v>
      </c>
      <c r="Q483">
        <v>22</v>
      </c>
      <c r="R483">
        <v>1</v>
      </c>
      <c r="S483">
        <v>9</v>
      </c>
      <c r="T483">
        <v>0</v>
      </c>
      <c r="U483">
        <v>8</v>
      </c>
      <c r="V483">
        <v>1</v>
      </c>
      <c r="W483">
        <v>48</v>
      </c>
      <c r="X483">
        <v>586</v>
      </c>
      <c r="Y483">
        <v>21816</v>
      </c>
      <c r="Z483">
        <v>4037</v>
      </c>
      <c r="AA483">
        <v>5</v>
      </c>
      <c r="AB483">
        <v>33024</v>
      </c>
      <c r="AC483" s="10">
        <v>41592</v>
      </c>
      <c r="AD483" s="10" t="s">
        <v>72</v>
      </c>
      <c r="AE483" t="s">
        <v>72</v>
      </c>
      <c r="AF483" t="s">
        <v>45</v>
      </c>
    </row>
    <row r="484" spans="1:32" x14ac:dyDescent="0.25">
      <c r="A484">
        <v>15</v>
      </c>
      <c r="B484">
        <v>29</v>
      </c>
      <c r="C484" t="s">
        <v>43</v>
      </c>
      <c r="D484" t="s">
        <v>33</v>
      </c>
      <c r="E484" t="s">
        <v>34</v>
      </c>
      <c r="F484" t="s">
        <v>67</v>
      </c>
      <c r="G484" t="s">
        <v>59</v>
      </c>
      <c r="H484" t="s">
        <v>47</v>
      </c>
      <c r="I484" t="s">
        <v>38</v>
      </c>
      <c r="J484" t="s">
        <v>51</v>
      </c>
      <c r="K484">
        <v>3</v>
      </c>
      <c r="L484">
        <v>2</v>
      </c>
      <c r="M484" t="s">
        <v>48</v>
      </c>
      <c r="N484" t="s">
        <v>41</v>
      </c>
      <c r="O484" t="s">
        <v>42</v>
      </c>
      <c r="P484" t="s">
        <v>32</v>
      </c>
      <c r="Q484">
        <v>12</v>
      </c>
      <c r="R484">
        <v>0</v>
      </c>
      <c r="S484">
        <v>10</v>
      </c>
      <c r="T484">
        <v>0</v>
      </c>
      <c r="U484">
        <v>8</v>
      </c>
      <c r="V484">
        <v>15</v>
      </c>
      <c r="W484">
        <v>49</v>
      </c>
      <c r="X484">
        <v>153</v>
      </c>
      <c r="Y484">
        <v>12682</v>
      </c>
      <c r="Z484">
        <v>4193</v>
      </c>
      <c r="AA484">
        <v>3</v>
      </c>
      <c r="AB484">
        <v>34350</v>
      </c>
      <c r="AC484" s="10">
        <v>41684</v>
      </c>
      <c r="AD484" s="10" t="s">
        <v>72</v>
      </c>
      <c r="AE484" t="s">
        <v>72</v>
      </c>
      <c r="AF484" t="s">
        <v>45</v>
      </c>
    </row>
    <row r="485" spans="1:32" x14ac:dyDescent="0.25">
      <c r="A485">
        <v>725</v>
      </c>
      <c r="B485">
        <v>27</v>
      </c>
      <c r="C485" t="s">
        <v>43</v>
      </c>
      <c r="D485" t="s">
        <v>33</v>
      </c>
      <c r="E485" t="s">
        <v>34</v>
      </c>
      <c r="F485" t="s">
        <v>67</v>
      </c>
      <c r="G485" t="s">
        <v>50</v>
      </c>
      <c r="H485" t="s">
        <v>47</v>
      </c>
      <c r="I485" t="s">
        <v>50</v>
      </c>
      <c r="J485" t="s">
        <v>65</v>
      </c>
      <c r="K485">
        <v>1</v>
      </c>
      <c r="L485">
        <v>2</v>
      </c>
      <c r="M485" t="s">
        <v>48</v>
      </c>
      <c r="N485" t="s">
        <v>61</v>
      </c>
      <c r="O485" t="s">
        <v>42</v>
      </c>
      <c r="P485" t="s">
        <v>43</v>
      </c>
      <c r="Q485">
        <v>11</v>
      </c>
      <c r="R485">
        <v>1</v>
      </c>
      <c r="S485">
        <v>9</v>
      </c>
      <c r="T485">
        <v>0</v>
      </c>
      <c r="U485">
        <v>7</v>
      </c>
      <c r="V485">
        <v>1</v>
      </c>
      <c r="W485">
        <v>68</v>
      </c>
      <c r="X485">
        <v>608</v>
      </c>
      <c r="Y485">
        <v>6009</v>
      </c>
      <c r="Z485">
        <v>7412</v>
      </c>
      <c r="AA485">
        <v>3</v>
      </c>
      <c r="AB485">
        <v>34974</v>
      </c>
      <c r="AC485" s="10">
        <v>41743</v>
      </c>
      <c r="AD485" s="10" t="s">
        <v>72</v>
      </c>
      <c r="AE485" t="s">
        <v>72</v>
      </c>
      <c r="AF485" t="s">
        <v>45</v>
      </c>
    </row>
    <row r="486" spans="1:32" x14ac:dyDescent="0.25">
      <c r="A486">
        <v>1321</v>
      </c>
      <c r="B486">
        <v>30</v>
      </c>
      <c r="C486" t="s">
        <v>43</v>
      </c>
      <c r="D486" t="s">
        <v>33</v>
      </c>
      <c r="E486" t="s">
        <v>34</v>
      </c>
      <c r="F486" t="s">
        <v>35</v>
      </c>
      <c r="G486" t="s">
        <v>38</v>
      </c>
      <c r="H486" t="s">
        <v>47</v>
      </c>
      <c r="I486" t="s">
        <v>50</v>
      </c>
      <c r="J486" t="s">
        <v>69</v>
      </c>
      <c r="K486">
        <v>1</v>
      </c>
      <c r="L486">
        <v>2</v>
      </c>
      <c r="M486" t="s">
        <v>48</v>
      </c>
      <c r="N486" t="s">
        <v>61</v>
      </c>
      <c r="O486" t="s">
        <v>53</v>
      </c>
      <c r="P486" t="s">
        <v>32</v>
      </c>
      <c r="Q486">
        <v>23</v>
      </c>
      <c r="R486">
        <v>1</v>
      </c>
      <c r="S486">
        <v>9</v>
      </c>
      <c r="T486">
        <v>0</v>
      </c>
      <c r="U486">
        <v>8</v>
      </c>
      <c r="V486">
        <v>17</v>
      </c>
      <c r="W486">
        <v>95</v>
      </c>
      <c r="X486">
        <v>634</v>
      </c>
      <c r="Y486">
        <v>25927</v>
      </c>
      <c r="Z486">
        <v>11916</v>
      </c>
      <c r="AA486">
        <v>2</v>
      </c>
      <c r="AB486">
        <v>33955</v>
      </c>
      <c r="AC486" s="10">
        <v>41808</v>
      </c>
      <c r="AD486" s="10" t="s">
        <v>72</v>
      </c>
      <c r="AE486" t="s">
        <v>72</v>
      </c>
      <c r="AF486" t="s">
        <v>45</v>
      </c>
    </row>
    <row r="487" spans="1:32" x14ac:dyDescent="0.25">
      <c r="A487">
        <v>1177</v>
      </c>
      <c r="B487">
        <v>26</v>
      </c>
      <c r="C487" t="s">
        <v>43</v>
      </c>
      <c r="D487" t="s">
        <v>33</v>
      </c>
      <c r="E487" t="s">
        <v>34</v>
      </c>
      <c r="F487" t="s">
        <v>35</v>
      </c>
      <c r="G487" t="s">
        <v>36</v>
      </c>
      <c r="H487" t="s">
        <v>37</v>
      </c>
      <c r="I487" t="s">
        <v>59</v>
      </c>
      <c r="J487" t="s">
        <v>51</v>
      </c>
      <c r="K487">
        <v>4</v>
      </c>
      <c r="L487">
        <v>4</v>
      </c>
      <c r="M487" t="s">
        <v>48</v>
      </c>
      <c r="N487" t="s">
        <v>61</v>
      </c>
      <c r="O487" t="s">
        <v>36</v>
      </c>
      <c r="P487" t="s">
        <v>43</v>
      </c>
      <c r="Q487">
        <v>22</v>
      </c>
      <c r="R487">
        <v>1</v>
      </c>
      <c r="S487">
        <v>8</v>
      </c>
      <c r="T487">
        <v>0</v>
      </c>
      <c r="U487">
        <v>7</v>
      </c>
      <c r="V487">
        <v>3</v>
      </c>
      <c r="W487">
        <v>82</v>
      </c>
      <c r="X487">
        <v>1384</v>
      </c>
      <c r="Y487">
        <v>13421</v>
      </c>
      <c r="Z487">
        <v>4420</v>
      </c>
      <c r="AA487">
        <v>2</v>
      </c>
      <c r="AB487">
        <v>35501</v>
      </c>
      <c r="AC487" s="10">
        <v>41881</v>
      </c>
      <c r="AD487" s="10" t="s">
        <v>72</v>
      </c>
      <c r="AE487" t="s">
        <v>72</v>
      </c>
      <c r="AF487" t="s">
        <v>45</v>
      </c>
    </row>
    <row r="488" spans="1:32" x14ac:dyDescent="0.25">
      <c r="A488">
        <v>230</v>
      </c>
      <c r="B488">
        <v>38</v>
      </c>
      <c r="C488" t="s">
        <v>43</v>
      </c>
      <c r="D488" t="s">
        <v>33</v>
      </c>
      <c r="E488" t="s">
        <v>56</v>
      </c>
      <c r="F488" t="s">
        <v>35</v>
      </c>
      <c r="G488" t="s">
        <v>36</v>
      </c>
      <c r="H488" t="s">
        <v>47</v>
      </c>
      <c r="I488" t="s">
        <v>38</v>
      </c>
      <c r="J488" t="s">
        <v>57</v>
      </c>
      <c r="K488">
        <v>4</v>
      </c>
      <c r="L488">
        <v>4</v>
      </c>
      <c r="M488" t="s">
        <v>58</v>
      </c>
      <c r="N488" t="s">
        <v>41</v>
      </c>
      <c r="O488" t="s">
        <v>42</v>
      </c>
      <c r="P488" t="s">
        <v>43</v>
      </c>
      <c r="Q488">
        <v>22</v>
      </c>
      <c r="R488">
        <v>4</v>
      </c>
      <c r="S488">
        <v>12</v>
      </c>
      <c r="T488">
        <v>0</v>
      </c>
      <c r="U488">
        <v>7</v>
      </c>
      <c r="V488">
        <v>1</v>
      </c>
      <c r="W488">
        <v>59</v>
      </c>
      <c r="X488">
        <v>702</v>
      </c>
      <c r="Y488">
        <v>12930</v>
      </c>
      <c r="Z488">
        <v>8686</v>
      </c>
      <c r="AA488">
        <v>2</v>
      </c>
      <c r="AB488">
        <v>31146</v>
      </c>
      <c r="AC488" s="10">
        <v>42070</v>
      </c>
      <c r="AD488" s="10" t="s">
        <v>72</v>
      </c>
      <c r="AE488" t="s">
        <v>72</v>
      </c>
      <c r="AF488" t="s">
        <v>45</v>
      </c>
    </row>
    <row r="489" spans="1:32" x14ac:dyDescent="0.25">
      <c r="A489">
        <v>985</v>
      </c>
      <c r="B489">
        <v>39</v>
      </c>
      <c r="C489" t="s">
        <v>43</v>
      </c>
      <c r="D489" t="s">
        <v>33</v>
      </c>
      <c r="E489" t="s">
        <v>56</v>
      </c>
      <c r="F489" t="s">
        <v>70</v>
      </c>
      <c r="G489" t="s">
        <v>36</v>
      </c>
      <c r="H489" t="s">
        <v>37</v>
      </c>
      <c r="I489" t="s">
        <v>59</v>
      </c>
      <c r="J489" t="s">
        <v>57</v>
      </c>
      <c r="K489">
        <v>3</v>
      </c>
      <c r="L489">
        <v>2</v>
      </c>
      <c r="M489" t="s">
        <v>48</v>
      </c>
      <c r="N489" t="s">
        <v>41</v>
      </c>
      <c r="O489" t="s">
        <v>42</v>
      </c>
      <c r="P489" t="s">
        <v>43</v>
      </c>
      <c r="Q489">
        <v>18</v>
      </c>
      <c r="R489">
        <v>0</v>
      </c>
      <c r="S489">
        <v>9</v>
      </c>
      <c r="T489">
        <v>0</v>
      </c>
      <c r="U489">
        <v>7</v>
      </c>
      <c r="V489">
        <v>2</v>
      </c>
      <c r="W489">
        <v>41</v>
      </c>
      <c r="X489">
        <v>903</v>
      </c>
      <c r="Y489">
        <v>2560</v>
      </c>
      <c r="Z489">
        <v>7880</v>
      </c>
      <c r="AA489">
        <v>3</v>
      </c>
      <c r="AB489">
        <v>30729</v>
      </c>
      <c r="AC489" s="10">
        <v>42173</v>
      </c>
      <c r="AD489" s="10" t="s">
        <v>72</v>
      </c>
      <c r="AE489" t="s">
        <v>72</v>
      </c>
      <c r="AF489" t="s">
        <v>45</v>
      </c>
    </row>
    <row r="490" spans="1:32" x14ac:dyDescent="0.25">
      <c r="A490">
        <v>1728</v>
      </c>
      <c r="B490">
        <v>35</v>
      </c>
      <c r="C490" t="s">
        <v>43</v>
      </c>
      <c r="D490" t="s">
        <v>33</v>
      </c>
      <c r="E490" t="s">
        <v>34</v>
      </c>
      <c r="F490" t="s">
        <v>35</v>
      </c>
      <c r="G490" t="s">
        <v>59</v>
      </c>
      <c r="H490" t="s">
        <v>37</v>
      </c>
      <c r="I490" t="s">
        <v>50</v>
      </c>
      <c r="J490" t="s">
        <v>65</v>
      </c>
      <c r="K490">
        <v>3</v>
      </c>
      <c r="L490">
        <v>1</v>
      </c>
      <c r="M490" t="s">
        <v>48</v>
      </c>
      <c r="N490" t="s">
        <v>61</v>
      </c>
      <c r="O490" t="s">
        <v>36</v>
      </c>
      <c r="P490" t="s">
        <v>43</v>
      </c>
      <c r="Q490">
        <v>16</v>
      </c>
      <c r="R490">
        <v>2</v>
      </c>
      <c r="S490">
        <v>17</v>
      </c>
      <c r="T490">
        <v>0</v>
      </c>
      <c r="U490">
        <v>7</v>
      </c>
      <c r="V490">
        <v>27</v>
      </c>
      <c r="W490">
        <v>49</v>
      </c>
      <c r="X490">
        <v>1370</v>
      </c>
      <c r="Y490">
        <v>5151</v>
      </c>
      <c r="Z490">
        <v>6883</v>
      </c>
      <c r="AA490">
        <v>3</v>
      </c>
      <c r="AB490">
        <v>32244</v>
      </c>
      <c r="AC490" s="10">
        <v>42311</v>
      </c>
      <c r="AD490" s="10" t="s">
        <v>72</v>
      </c>
      <c r="AE490" t="s">
        <v>72</v>
      </c>
      <c r="AF490" t="s">
        <v>55</v>
      </c>
    </row>
    <row r="491" spans="1:32" x14ac:dyDescent="0.25">
      <c r="A491">
        <v>709</v>
      </c>
      <c r="B491">
        <v>38</v>
      </c>
      <c r="C491" t="s">
        <v>43</v>
      </c>
      <c r="D491" t="s">
        <v>33</v>
      </c>
      <c r="E491" t="s">
        <v>56</v>
      </c>
      <c r="F491" t="s">
        <v>35</v>
      </c>
      <c r="G491" t="s">
        <v>59</v>
      </c>
      <c r="H491" t="s">
        <v>47</v>
      </c>
      <c r="I491" t="s">
        <v>38</v>
      </c>
      <c r="J491" t="s">
        <v>57</v>
      </c>
      <c r="K491">
        <v>4</v>
      </c>
      <c r="L491">
        <v>4</v>
      </c>
      <c r="M491" t="s">
        <v>48</v>
      </c>
      <c r="N491" t="s">
        <v>41</v>
      </c>
      <c r="O491" t="s">
        <v>42</v>
      </c>
      <c r="P491" t="s">
        <v>43</v>
      </c>
      <c r="Q491">
        <v>20</v>
      </c>
      <c r="R491">
        <v>0</v>
      </c>
      <c r="S491">
        <v>8</v>
      </c>
      <c r="T491">
        <v>0</v>
      </c>
      <c r="U491">
        <v>5</v>
      </c>
      <c r="V491">
        <v>7</v>
      </c>
      <c r="W491">
        <v>46</v>
      </c>
      <c r="X491">
        <v>243</v>
      </c>
      <c r="Y491">
        <v>7791</v>
      </c>
      <c r="Z491">
        <v>4028</v>
      </c>
      <c r="AA491">
        <v>2</v>
      </c>
      <c r="AB491">
        <v>30898</v>
      </c>
      <c r="AC491" s="10">
        <v>42343</v>
      </c>
      <c r="AD491" s="10" t="s">
        <v>72</v>
      </c>
      <c r="AE491" t="s">
        <v>72</v>
      </c>
      <c r="AF491" t="s">
        <v>45</v>
      </c>
    </row>
    <row r="492" spans="1:32" x14ac:dyDescent="0.25">
      <c r="A492">
        <v>1619</v>
      </c>
      <c r="B492">
        <v>27</v>
      </c>
      <c r="C492" t="s">
        <v>43</v>
      </c>
      <c r="D492" t="s">
        <v>33</v>
      </c>
      <c r="E492" t="s">
        <v>34</v>
      </c>
      <c r="F492" t="s">
        <v>49</v>
      </c>
      <c r="G492" t="s">
        <v>59</v>
      </c>
      <c r="H492" t="s">
        <v>37</v>
      </c>
      <c r="I492" t="s">
        <v>38</v>
      </c>
      <c r="J492" t="s">
        <v>51</v>
      </c>
      <c r="K492">
        <v>1</v>
      </c>
      <c r="L492">
        <v>1</v>
      </c>
      <c r="M492" t="s">
        <v>48</v>
      </c>
      <c r="N492" t="s">
        <v>52</v>
      </c>
      <c r="O492" t="s">
        <v>53</v>
      </c>
      <c r="P492" t="s">
        <v>43</v>
      </c>
      <c r="Q492">
        <v>11</v>
      </c>
      <c r="R492">
        <v>1</v>
      </c>
      <c r="S492">
        <v>7</v>
      </c>
      <c r="T492">
        <v>0</v>
      </c>
      <c r="U492">
        <v>7</v>
      </c>
      <c r="V492">
        <v>19</v>
      </c>
      <c r="W492">
        <v>67</v>
      </c>
      <c r="X492">
        <v>1302</v>
      </c>
      <c r="Y492">
        <v>16290</v>
      </c>
      <c r="Z492">
        <v>4066</v>
      </c>
      <c r="AA492">
        <v>3</v>
      </c>
      <c r="AB492">
        <v>34933</v>
      </c>
      <c r="AC492" s="10">
        <v>42381</v>
      </c>
      <c r="AD492" s="10" t="s">
        <v>72</v>
      </c>
      <c r="AE492" t="s">
        <v>72</v>
      </c>
      <c r="AF492" t="s">
        <v>45</v>
      </c>
    </row>
    <row r="493" spans="1:32" x14ac:dyDescent="0.25">
      <c r="A493">
        <v>764</v>
      </c>
      <c r="B493">
        <v>27</v>
      </c>
      <c r="C493" t="s">
        <v>43</v>
      </c>
      <c r="D493" t="s">
        <v>33</v>
      </c>
      <c r="E493" t="s">
        <v>34</v>
      </c>
      <c r="F493" t="s">
        <v>49</v>
      </c>
      <c r="G493" t="s">
        <v>59</v>
      </c>
      <c r="H493" t="s">
        <v>47</v>
      </c>
      <c r="I493" t="s">
        <v>38</v>
      </c>
      <c r="J493" t="s">
        <v>62</v>
      </c>
      <c r="K493">
        <v>1</v>
      </c>
      <c r="L493">
        <v>1</v>
      </c>
      <c r="M493" t="s">
        <v>40</v>
      </c>
      <c r="N493" t="s">
        <v>41</v>
      </c>
      <c r="O493" t="s">
        <v>42</v>
      </c>
      <c r="P493" t="s">
        <v>43</v>
      </c>
      <c r="Q493">
        <v>19</v>
      </c>
      <c r="R493">
        <v>8</v>
      </c>
      <c r="S493">
        <v>9</v>
      </c>
      <c r="T493">
        <v>0</v>
      </c>
      <c r="U493">
        <v>4</v>
      </c>
      <c r="V493">
        <v>7</v>
      </c>
      <c r="W493">
        <v>55</v>
      </c>
      <c r="X493">
        <v>975</v>
      </c>
      <c r="Y493">
        <v>23398</v>
      </c>
      <c r="Z493">
        <v>6811</v>
      </c>
      <c r="AA493">
        <v>2</v>
      </c>
      <c r="AB493">
        <v>35044</v>
      </c>
      <c r="AC493" s="10">
        <v>42487</v>
      </c>
      <c r="AD493" s="10" t="s">
        <v>72</v>
      </c>
      <c r="AE493" t="s">
        <v>72</v>
      </c>
      <c r="AF493" t="s">
        <v>55</v>
      </c>
    </row>
    <row r="494" spans="1:32" x14ac:dyDescent="0.25">
      <c r="A494">
        <v>1049</v>
      </c>
      <c r="B494">
        <v>45</v>
      </c>
      <c r="C494" t="s">
        <v>43</v>
      </c>
      <c r="D494" t="s">
        <v>33</v>
      </c>
      <c r="E494" t="s">
        <v>68</v>
      </c>
      <c r="F494" t="s">
        <v>35</v>
      </c>
      <c r="G494" t="s">
        <v>38</v>
      </c>
      <c r="H494" t="s">
        <v>37</v>
      </c>
      <c r="I494" t="s">
        <v>50</v>
      </c>
      <c r="J494" t="s">
        <v>68</v>
      </c>
      <c r="K494">
        <v>2</v>
      </c>
      <c r="L494">
        <v>2</v>
      </c>
      <c r="M494" t="s">
        <v>48</v>
      </c>
      <c r="N494" t="s">
        <v>41</v>
      </c>
      <c r="O494" t="s">
        <v>42</v>
      </c>
      <c r="P494" t="s">
        <v>43</v>
      </c>
      <c r="Q494">
        <v>16</v>
      </c>
      <c r="R494">
        <v>1</v>
      </c>
      <c r="S494">
        <v>8</v>
      </c>
      <c r="T494">
        <v>0</v>
      </c>
      <c r="U494">
        <v>4</v>
      </c>
      <c r="V494">
        <v>24</v>
      </c>
      <c r="W494">
        <v>36</v>
      </c>
      <c r="X494">
        <v>788</v>
      </c>
      <c r="Y494">
        <v>8318</v>
      </c>
      <c r="Z494">
        <v>2177</v>
      </c>
      <c r="AA494">
        <v>3</v>
      </c>
      <c r="AB494">
        <v>28499</v>
      </c>
      <c r="AC494" s="10">
        <v>42582</v>
      </c>
      <c r="AD494" s="10" t="s">
        <v>72</v>
      </c>
      <c r="AE494" t="s">
        <v>72</v>
      </c>
      <c r="AF494" t="s">
        <v>45</v>
      </c>
    </row>
    <row r="495" spans="1:32" x14ac:dyDescent="0.25">
      <c r="A495">
        <v>1599</v>
      </c>
      <c r="B495">
        <v>43</v>
      </c>
      <c r="C495" t="s">
        <v>43</v>
      </c>
      <c r="D495" t="s">
        <v>33</v>
      </c>
      <c r="E495" t="s">
        <v>34</v>
      </c>
      <c r="F495" t="s">
        <v>49</v>
      </c>
      <c r="G495" t="s">
        <v>59</v>
      </c>
      <c r="H495" t="s">
        <v>37</v>
      </c>
      <c r="I495" t="s">
        <v>59</v>
      </c>
      <c r="J495" t="s">
        <v>51</v>
      </c>
      <c r="K495">
        <v>2</v>
      </c>
      <c r="L495">
        <v>2</v>
      </c>
      <c r="M495" t="s">
        <v>48</v>
      </c>
      <c r="N495" t="s">
        <v>52</v>
      </c>
      <c r="O495" t="s">
        <v>36</v>
      </c>
      <c r="P495" t="s">
        <v>43</v>
      </c>
      <c r="Q495">
        <v>12</v>
      </c>
      <c r="R495">
        <v>5</v>
      </c>
      <c r="S495">
        <v>8</v>
      </c>
      <c r="T495">
        <v>0</v>
      </c>
      <c r="U495">
        <v>2</v>
      </c>
      <c r="V495">
        <v>27</v>
      </c>
      <c r="W495">
        <v>87</v>
      </c>
      <c r="X495">
        <v>990</v>
      </c>
      <c r="Y495">
        <v>5855</v>
      </c>
      <c r="Z495">
        <v>4876</v>
      </c>
      <c r="AA495">
        <v>0</v>
      </c>
      <c r="AB495">
        <v>29090</v>
      </c>
      <c r="AC495" s="10">
        <v>42617</v>
      </c>
      <c r="AD495" s="10" t="s">
        <v>72</v>
      </c>
      <c r="AE495" t="s">
        <v>72</v>
      </c>
      <c r="AF495" t="s">
        <v>55</v>
      </c>
    </row>
    <row r="496" spans="1:32" x14ac:dyDescent="0.25">
      <c r="A496">
        <v>1084</v>
      </c>
      <c r="B496">
        <v>30</v>
      </c>
      <c r="C496" t="s">
        <v>43</v>
      </c>
      <c r="D496" t="s">
        <v>33</v>
      </c>
      <c r="E496" t="s">
        <v>34</v>
      </c>
      <c r="F496" t="s">
        <v>49</v>
      </c>
      <c r="G496" t="s">
        <v>50</v>
      </c>
      <c r="H496" t="s">
        <v>37</v>
      </c>
      <c r="I496" t="s">
        <v>50</v>
      </c>
      <c r="J496" t="s">
        <v>65</v>
      </c>
      <c r="K496">
        <v>1</v>
      </c>
      <c r="L496">
        <v>2</v>
      </c>
      <c r="M496" t="s">
        <v>60</v>
      </c>
      <c r="N496" t="s">
        <v>61</v>
      </c>
      <c r="O496" t="s">
        <v>36</v>
      </c>
      <c r="P496" t="s">
        <v>43</v>
      </c>
      <c r="Q496">
        <v>15</v>
      </c>
      <c r="R496">
        <v>0</v>
      </c>
      <c r="S496">
        <v>7</v>
      </c>
      <c r="T496">
        <v>0</v>
      </c>
      <c r="U496">
        <v>2</v>
      </c>
      <c r="V496">
        <v>20</v>
      </c>
      <c r="W496">
        <v>85</v>
      </c>
      <c r="X496">
        <v>1176</v>
      </c>
      <c r="Y496">
        <v>9096</v>
      </c>
      <c r="Z496">
        <v>9957</v>
      </c>
      <c r="AA496">
        <v>1</v>
      </c>
      <c r="AB496">
        <v>33867</v>
      </c>
      <c r="AC496" s="10">
        <v>42652</v>
      </c>
      <c r="AD496" s="10" t="s">
        <v>72</v>
      </c>
      <c r="AE496" t="s">
        <v>72</v>
      </c>
      <c r="AF496" t="s">
        <v>45</v>
      </c>
    </row>
    <row r="497" spans="1:32" x14ac:dyDescent="0.25">
      <c r="A497">
        <v>1251</v>
      </c>
      <c r="B497">
        <v>31</v>
      </c>
      <c r="C497" t="s">
        <v>43</v>
      </c>
      <c r="D497" t="s">
        <v>33</v>
      </c>
      <c r="E497" t="s">
        <v>34</v>
      </c>
      <c r="F497" t="s">
        <v>67</v>
      </c>
      <c r="G497" t="s">
        <v>50</v>
      </c>
      <c r="H497" t="s">
        <v>37</v>
      </c>
      <c r="I497" t="s">
        <v>50</v>
      </c>
      <c r="J497" t="s">
        <v>62</v>
      </c>
      <c r="K497">
        <v>1</v>
      </c>
      <c r="L497">
        <v>2</v>
      </c>
      <c r="M497" t="s">
        <v>60</v>
      </c>
      <c r="N497" t="s">
        <v>61</v>
      </c>
      <c r="O497" t="s">
        <v>42</v>
      </c>
      <c r="P497" t="s">
        <v>32</v>
      </c>
      <c r="Q497">
        <v>12</v>
      </c>
      <c r="R497">
        <v>1</v>
      </c>
      <c r="S497">
        <v>6</v>
      </c>
      <c r="T497">
        <v>0</v>
      </c>
      <c r="U497">
        <v>1</v>
      </c>
      <c r="V497">
        <v>11</v>
      </c>
      <c r="W497">
        <v>80</v>
      </c>
      <c r="X497">
        <v>1332</v>
      </c>
      <c r="Y497">
        <v>17089</v>
      </c>
      <c r="Z497">
        <v>6833</v>
      </c>
      <c r="AA497">
        <v>2</v>
      </c>
      <c r="AB497">
        <v>33492</v>
      </c>
      <c r="AC497" s="10">
        <v>42660</v>
      </c>
      <c r="AD497" s="10" t="s">
        <v>72</v>
      </c>
      <c r="AE497" t="s">
        <v>72</v>
      </c>
      <c r="AF497" t="s">
        <v>45</v>
      </c>
    </row>
    <row r="498" spans="1:32" x14ac:dyDescent="0.25">
      <c r="A498">
        <v>2064</v>
      </c>
      <c r="B498">
        <v>27</v>
      </c>
      <c r="C498" t="s">
        <v>43</v>
      </c>
      <c r="D498" t="s">
        <v>33</v>
      </c>
      <c r="E498" t="s">
        <v>34</v>
      </c>
      <c r="F498" t="s">
        <v>49</v>
      </c>
      <c r="G498" t="s">
        <v>38</v>
      </c>
      <c r="H498" t="s">
        <v>37</v>
      </c>
      <c r="I498" t="s">
        <v>59</v>
      </c>
      <c r="J498" t="s">
        <v>65</v>
      </c>
      <c r="K498">
        <v>2</v>
      </c>
      <c r="L498">
        <v>4</v>
      </c>
      <c r="M498" t="s">
        <v>48</v>
      </c>
      <c r="N498" t="s">
        <v>61</v>
      </c>
      <c r="O498" t="s">
        <v>36</v>
      </c>
      <c r="P498" t="s">
        <v>32</v>
      </c>
      <c r="Q498">
        <v>20</v>
      </c>
      <c r="R498">
        <v>1</v>
      </c>
      <c r="S498">
        <v>6</v>
      </c>
      <c r="T498">
        <v>0</v>
      </c>
      <c r="U498">
        <v>3</v>
      </c>
      <c r="V498">
        <v>4</v>
      </c>
      <c r="W498">
        <v>87</v>
      </c>
      <c r="X498">
        <v>155</v>
      </c>
      <c r="Y498">
        <v>5174</v>
      </c>
      <c r="Z498">
        <v>6142</v>
      </c>
      <c r="AA498">
        <v>0</v>
      </c>
      <c r="AB498">
        <v>34918</v>
      </c>
      <c r="AC498" s="10">
        <v>42675</v>
      </c>
      <c r="AD498" s="10" t="s">
        <v>72</v>
      </c>
      <c r="AE498" t="s">
        <v>72</v>
      </c>
      <c r="AF498" t="s">
        <v>45</v>
      </c>
    </row>
    <row r="499" spans="1:32" x14ac:dyDescent="0.25">
      <c r="A499">
        <v>949</v>
      </c>
      <c r="B499">
        <v>36</v>
      </c>
      <c r="C499" t="s">
        <v>43</v>
      </c>
      <c r="D499" t="s">
        <v>33</v>
      </c>
      <c r="E499" t="s">
        <v>34</v>
      </c>
      <c r="F499" t="s">
        <v>35</v>
      </c>
      <c r="G499" t="s">
        <v>38</v>
      </c>
      <c r="H499" t="s">
        <v>37</v>
      </c>
      <c r="I499" t="s">
        <v>50</v>
      </c>
      <c r="J499" t="s">
        <v>39</v>
      </c>
      <c r="K499">
        <v>4</v>
      </c>
      <c r="L499">
        <v>2</v>
      </c>
      <c r="M499" t="s">
        <v>48</v>
      </c>
      <c r="N499" t="s">
        <v>41</v>
      </c>
      <c r="O499" t="s">
        <v>42</v>
      </c>
      <c r="P499" t="s">
        <v>43</v>
      </c>
      <c r="Q499">
        <v>18</v>
      </c>
      <c r="R499">
        <v>2</v>
      </c>
      <c r="S499">
        <v>8</v>
      </c>
      <c r="T499">
        <v>0</v>
      </c>
      <c r="U499">
        <v>1</v>
      </c>
      <c r="V499">
        <v>7</v>
      </c>
      <c r="W499">
        <v>65</v>
      </c>
      <c r="X499">
        <v>188</v>
      </c>
      <c r="Y499">
        <v>23293</v>
      </c>
      <c r="Z499">
        <v>4678</v>
      </c>
      <c r="AA499">
        <v>6</v>
      </c>
      <c r="AB499">
        <v>31630</v>
      </c>
      <c r="AC499" s="10">
        <v>42726</v>
      </c>
      <c r="AD499" s="10" t="s">
        <v>72</v>
      </c>
      <c r="AE499" t="s">
        <v>72</v>
      </c>
      <c r="AF499" t="s">
        <v>45</v>
      </c>
    </row>
    <row r="500" spans="1:32" x14ac:dyDescent="0.25">
      <c r="A500">
        <v>895</v>
      </c>
      <c r="B500">
        <v>31</v>
      </c>
      <c r="C500" t="s">
        <v>43</v>
      </c>
      <c r="D500" t="s">
        <v>33</v>
      </c>
      <c r="E500" t="s">
        <v>34</v>
      </c>
      <c r="F500" t="s">
        <v>35</v>
      </c>
      <c r="G500" t="s">
        <v>59</v>
      </c>
      <c r="H500" t="s">
        <v>37</v>
      </c>
      <c r="I500" t="s">
        <v>50</v>
      </c>
      <c r="J500" t="s">
        <v>39</v>
      </c>
      <c r="K500">
        <v>4</v>
      </c>
      <c r="L500">
        <v>2</v>
      </c>
      <c r="M500" t="s">
        <v>48</v>
      </c>
      <c r="N500" t="s">
        <v>61</v>
      </c>
      <c r="O500" t="s">
        <v>36</v>
      </c>
      <c r="P500" t="s">
        <v>32</v>
      </c>
      <c r="Q500">
        <v>19</v>
      </c>
      <c r="R500">
        <v>3</v>
      </c>
      <c r="S500">
        <v>8</v>
      </c>
      <c r="T500">
        <v>0</v>
      </c>
      <c r="U500">
        <v>2</v>
      </c>
      <c r="V500">
        <v>11</v>
      </c>
      <c r="W500">
        <v>48</v>
      </c>
      <c r="X500">
        <v>1222</v>
      </c>
      <c r="Y500">
        <v>14871</v>
      </c>
      <c r="Z500">
        <v>2356</v>
      </c>
      <c r="AA500">
        <v>2</v>
      </c>
      <c r="AB500">
        <v>33729</v>
      </c>
      <c r="AC500" s="10">
        <v>42817</v>
      </c>
      <c r="AD500" s="10" t="s">
        <v>72</v>
      </c>
      <c r="AE500" t="s">
        <v>72</v>
      </c>
      <c r="AF500" t="s">
        <v>45</v>
      </c>
    </row>
    <row r="501" spans="1:32" x14ac:dyDescent="0.25">
      <c r="A501">
        <v>1721</v>
      </c>
      <c r="B501">
        <v>31</v>
      </c>
      <c r="C501" t="s">
        <v>43</v>
      </c>
      <c r="D501" t="s">
        <v>33</v>
      </c>
      <c r="E501" t="s">
        <v>34</v>
      </c>
      <c r="F501" t="s">
        <v>35</v>
      </c>
      <c r="G501" t="s">
        <v>38</v>
      </c>
      <c r="H501" t="s">
        <v>37</v>
      </c>
      <c r="I501" t="s">
        <v>50</v>
      </c>
      <c r="J501" t="s">
        <v>51</v>
      </c>
      <c r="K501">
        <v>3</v>
      </c>
      <c r="L501">
        <v>1</v>
      </c>
      <c r="M501" t="s">
        <v>58</v>
      </c>
      <c r="N501" t="s">
        <v>61</v>
      </c>
      <c r="O501" t="s">
        <v>36</v>
      </c>
      <c r="P501" t="s">
        <v>43</v>
      </c>
      <c r="Q501">
        <v>14</v>
      </c>
      <c r="R501">
        <v>1</v>
      </c>
      <c r="S501">
        <v>6</v>
      </c>
      <c r="T501">
        <v>0</v>
      </c>
      <c r="U501">
        <v>3</v>
      </c>
      <c r="V501">
        <v>2</v>
      </c>
      <c r="W501">
        <v>69</v>
      </c>
      <c r="X501">
        <v>741</v>
      </c>
      <c r="Y501">
        <v>18103</v>
      </c>
      <c r="Z501">
        <v>3477</v>
      </c>
      <c r="AA501">
        <v>2</v>
      </c>
      <c r="AB501">
        <v>33784</v>
      </c>
      <c r="AC501" s="10">
        <v>42996</v>
      </c>
      <c r="AD501" s="10" t="s">
        <v>72</v>
      </c>
      <c r="AE501" t="s">
        <v>72</v>
      </c>
      <c r="AF501" t="s">
        <v>45</v>
      </c>
    </row>
    <row r="502" spans="1:32" x14ac:dyDescent="0.25">
      <c r="A502">
        <v>1873</v>
      </c>
      <c r="B502">
        <v>55</v>
      </c>
      <c r="C502" t="s">
        <v>43</v>
      </c>
      <c r="D502" t="s">
        <v>33</v>
      </c>
      <c r="E502" t="s">
        <v>34</v>
      </c>
      <c r="F502" t="s">
        <v>35</v>
      </c>
      <c r="G502" t="s">
        <v>38</v>
      </c>
      <c r="H502" t="s">
        <v>37</v>
      </c>
      <c r="I502" t="s">
        <v>38</v>
      </c>
      <c r="J502" t="s">
        <v>39</v>
      </c>
      <c r="K502">
        <v>4</v>
      </c>
      <c r="L502">
        <v>4</v>
      </c>
      <c r="M502" t="s">
        <v>58</v>
      </c>
      <c r="N502" t="s">
        <v>61</v>
      </c>
      <c r="O502" t="s">
        <v>36</v>
      </c>
      <c r="P502" t="s">
        <v>43</v>
      </c>
      <c r="Q502">
        <v>20</v>
      </c>
      <c r="R502">
        <v>8</v>
      </c>
      <c r="S502">
        <v>19</v>
      </c>
      <c r="T502">
        <v>0</v>
      </c>
      <c r="U502">
        <v>4</v>
      </c>
      <c r="V502">
        <v>2</v>
      </c>
      <c r="W502">
        <v>98</v>
      </c>
      <c r="X502">
        <v>836</v>
      </c>
      <c r="Y502">
        <v>7975</v>
      </c>
      <c r="Z502">
        <v>2662</v>
      </c>
      <c r="AA502">
        <v>2</v>
      </c>
      <c r="AB502">
        <v>24832</v>
      </c>
      <c r="AC502" s="10">
        <v>43000</v>
      </c>
      <c r="AD502" s="10" t="s">
        <v>72</v>
      </c>
      <c r="AE502" t="s">
        <v>72</v>
      </c>
      <c r="AF502" t="s">
        <v>45</v>
      </c>
    </row>
    <row r="503" spans="1:32" x14ac:dyDescent="0.25">
      <c r="A503">
        <v>1367</v>
      </c>
      <c r="B503">
        <v>51</v>
      </c>
      <c r="C503" t="s">
        <v>43</v>
      </c>
      <c r="D503" t="s">
        <v>33</v>
      </c>
      <c r="E503" t="s">
        <v>34</v>
      </c>
      <c r="F503" t="s">
        <v>67</v>
      </c>
      <c r="G503" t="s">
        <v>59</v>
      </c>
      <c r="H503" t="s">
        <v>47</v>
      </c>
      <c r="I503" t="s">
        <v>38</v>
      </c>
      <c r="J503" t="s">
        <v>65</v>
      </c>
      <c r="K503">
        <v>2</v>
      </c>
      <c r="L503">
        <v>1</v>
      </c>
      <c r="M503" t="s">
        <v>60</v>
      </c>
      <c r="N503" t="s">
        <v>41</v>
      </c>
      <c r="O503" t="s">
        <v>42</v>
      </c>
      <c r="P503" t="s">
        <v>43</v>
      </c>
      <c r="Q503">
        <v>16</v>
      </c>
      <c r="R503">
        <v>3</v>
      </c>
      <c r="S503">
        <v>29</v>
      </c>
      <c r="T503">
        <v>0</v>
      </c>
      <c r="U503">
        <v>3</v>
      </c>
      <c r="V503">
        <v>11</v>
      </c>
      <c r="W503">
        <v>82</v>
      </c>
      <c r="X503">
        <v>1405</v>
      </c>
      <c r="Y503">
        <v>24439</v>
      </c>
      <c r="Z503">
        <v>13142</v>
      </c>
      <c r="AA503">
        <v>1</v>
      </c>
      <c r="AB503">
        <v>26486</v>
      </c>
      <c r="AC503" s="10">
        <v>43021</v>
      </c>
      <c r="AD503" s="10" t="s">
        <v>72</v>
      </c>
      <c r="AE503" t="s">
        <v>72</v>
      </c>
      <c r="AF503" t="s">
        <v>45</v>
      </c>
    </row>
    <row r="504" spans="1:32" x14ac:dyDescent="0.25">
      <c r="A504">
        <v>1744</v>
      </c>
      <c r="B504">
        <v>45</v>
      </c>
      <c r="C504" t="s">
        <v>43</v>
      </c>
      <c r="D504" t="s">
        <v>33</v>
      </c>
      <c r="E504" t="s">
        <v>68</v>
      </c>
      <c r="F504" t="s">
        <v>49</v>
      </c>
      <c r="G504" t="s">
        <v>50</v>
      </c>
      <c r="H504" t="s">
        <v>47</v>
      </c>
      <c r="I504" t="s">
        <v>36</v>
      </c>
      <c r="J504" t="s">
        <v>68</v>
      </c>
      <c r="K504">
        <v>3</v>
      </c>
      <c r="L504">
        <v>4</v>
      </c>
      <c r="M504" t="s">
        <v>58</v>
      </c>
      <c r="N504" t="s">
        <v>61</v>
      </c>
      <c r="O504" t="s">
        <v>53</v>
      </c>
      <c r="P504" t="s">
        <v>43</v>
      </c>
      <c r="Q504">
        <v>21</v>
      </c>
      <c r="R504">
        <v>4</v>
      </c>
      <c r="S504">
        <v>9</v>
      </c>
      <c r="T504">
        <v>0</v>
      </c>
      <c r="U504">
        <v>3</v>
      </c>
      <c r="V504">
        <v>4</v>
      </c>
      <c r="W504">
        <v>56</v>
      </c>
      <c r="X504">
        <v>176</v>
      </c>
      <c r="Y504">
        <v>6595</v>
      </c>
      <c r="Z504">
        <v>9756</v>
      </c>
      <c r="AA504">
        <v>2</v>
      </c>
      <c r="AB504">
        <v>28434</v>
      </c>
      <c r="AC504" s="10">
        <v>43022</v>
      </c>
      <c r="AD504" s="10" t="s">
        <v>72</v>
      </c>
      <c r="AE504" t="s">
        <v>72</v>
      </c>
      <c r="AF504" t="s">
        <v>45</v>
      </c>
    </row>
    <row r="505" spans="1:32" x14ac:dyDescent="0.25">
      <c r="A505">
        <v>862</v>
      </c>
      <c r="B505">
        <v>53</v>
      </c>
      <c r="C505" t="s">
        <v>43</v>
      </c>
      <c r="D505" t="s">
        <v>33</v>
      </c>
      <c r="E505" t="s">
        <v>56</v>
      </c>
      <c r="F505" t="s">
        <v>67</v>
      </c>
      <c r="G505" t="s">
        <v>36</v>
      </c>
      <c r="H505" t="s">
        <v>47</v>
      </c>
      <c r="I505" t="s">
        <v>38</v>
      </c>
      <c r="J505" t="s">
        <v>57</v>
      </c>
      <c r="K505">
        <v>4</v>
      </c>
      <c r="L505">
        <v>2</v>
      </c>
      <c r="M505" t="s">
        <v>48</v>
      </c>
      <c r="N505" t="s">
        <v>61</v>
      </c>
      <c r="O505" t="s">
        <v>36</v>
      </c>
      <c r="P505" t="s">
        <v>32</v>
      </c>
      <c r="Q505">
        <v>18</v>
      </c>
      <c r="R505">
        <v>7</v>
      </c>
      <c r="S505">
        <v>35</v>
      </c>
      <c r="T505">
        <v>0</v>
      </c>
      <c r="U505">
        <v>4</v>
      </c>
      <c r="V505">
        <v>7</v>
      </c>
      <c r="W505">
        <v>78</v>
      </c>
      <c r="X505">
        <v>661</v>
      </c>
      <c r="Y505">
        <v>20715</v>
      </c>
      <c r="Z505">
        <v>10934</v>
      </c>
      <c r="AA505">
        <v>3</v>
      </c>
      <c r="AB505">
        <v>25644</v>
      </c>
      <c r="AC505" s="10">
        <v>43042</v>
      </c>
      <c r="AD505" s="10" t="s">
        <v>72</v>
      </c>
      <c r="AE505" t="s">
        <v>72</v>
      </c>
      <c r="AF505" t="s">
        <v>45</v>
      </c>
    </row>
    <row r="506" spans="1:32" x14ac:dyDescent="0.25">
      <c r="A506">
        <v>829</v>
      </c>
      <c r="B506">
        <v>36</v>
      </c>
      <c r="C506" t="s">
        <v>43</v>
      </c>
      <c r="D506" t="s">
        <v>33</v>
      </c>
      <c r="E506" t="s">
        <v>68</v>
      </c>
      <c r="F506" t="s">
        <v>49</v>
      </c>
      <c r="G506" t="s">
        <v>50</v>
      </c>
      <c r="H506" t="s">
        <v>37</v>
      </c>
      <c r="I506" t="s">
        <v>50</v>
      </c>
      <c r="J506" t="s">
        <v>68</v>
      </c>
      <c r="K506">
        <v>2</v>
      </c>
      <c r="L506">
        <v>2</v>
      </c>
      <c r="M506" t="s">
        <v>48</v>
      </c>
      <c r="N506" t="s">
        <v>61</v>
      </c>
      <c r="O506" t="s">
        <v>36</v>
      </c>
      <c r="P506" t="s">
        <v>43</v>
      </c>
      <c r="Q506">
        <v>13</v>
      </c>
      <c r="R506">
        <v>4</v>
      </c>
      <c r="S506">
        <v>8</v>
      </c>
      <c r="T506">
        <v>0</v>
      </c>
      <c r="U506">
        <v>4</v>
      </c>
      <c r="V506">
        <v>13</v>
      </c>
      <c r="W506">
        <v>36</v>
      </c>
      <c r="X506">
        <v>1041</v>
      </c>
      <c r="Y506">
        <v>25527</v>
      </c>
      <c r="Z506">
        <v>2143</v>
      </c>
      <c r="AA506">
        <v>2</v>
      </c>
      <c r="AB506">
        <v>31759</v>
      </c>
      <c r="AC506" s="10">
        <v>43062</v>
      </c>
      <c r="AD506" s="10" t="s">
        <v>72</v>
      </c>
      <c r="AE506" t="s">
        <v>72</v>
      </c>
      <c r="AF506" t="s">
        <v>45</v>
      </c>
    </row>
    <row r="507" spans="1:32" x14ac:dyDescent="0.25">
      <c r="A507">
        <v>1664</v>
      </c>
      <c r="B507">
        <v>36</v>
      </c>
      <c r="C507" t="s">
        <v>43</v>
      </c>
      <c r="D507" t="s">
        <v>33</v>
      </c>
      <c r="E507" t="s">
        <v>34</v>
      </c>
      <c r="F507" t="s">
        <v>67</v>
      </c>
      <c r="G507" t="s">
        <v>59</v>
      </c>
      <c r="H507" t="s">
        <v>37</v>
      </c>
      <c r="I507" t="s">
        <v>59</v>
      </c>
      <c r="J507" t="s">
        <v>62</v>
      </c>
      <c r="K507">
        <v>1</v>
      </c>
      <c r="L507">
        <v>4</v>
      </c>
      <c r="M507" t="s">
        <v>48</v>
      </c>
      <c r="N507" t="s">
        <v>52</v>
      </c>
      <c r="O507" t="s">
        <v>36</v>
      </c>
      <c r="P507" t="s">
        <v>43</v>
      </c>
      <c r="Q507">
        <v>20</v>
      </c>
      <c r="R507">
        <v>6</v>
      </c>
      <c r="S507">
        <v>13</v>
      </c>
      <c r="T507">
        <v>0</v>
      </c>
      <c r="U507">
        <v>4</v>
      </c>
      <c r="V507">
        <v>3</v>
      </c>
      <c r="W507">
        <v>79</v>
      </c>
      <c r="X507">
        <v>1040</v>
      </c>
      <c r="Y507">
        <v>26308</v>
      </c>
      <c r="Z507">
        <v>6842</v>
      </c>
      <c r="AA507">
        <v>3</v>
      </c>
      <c r="AB507">
        <v>31659</v>
      </c>
      <c r="AC507" s="10">
        <v>43093</v>
      </c>
      <c r="AD507" s="10" t="s">
        <v>72</v>
      </c>
      <c r="AE507" t="s">
        <v>72</v>
      </c>
      <c r="AF507" t="s">
        <v>55</v>
      </c>
    </row>
    <row r="508" spans="1:32" x14ac:dyDescent="0.25">
      <c r="A508">
        <v>240</v>
      </c>
      <c r="B508">
        <v>45</v>
      </c>
      <c r="C508" t="s">
        <v>43</v>
      </c>
      <c r="D508" t="s">
        <v>33</v>
      </c>
      <c r="E508" t="s">
        <v>56</v>
      </c>
      <c r="F508" t="s">
        <v>67</v>
      </c>
      <c r="G508" t="s">
        <v>50</v>
      </c>
      <c r="H508" t="s">
        <v>47</v>
      </c>
      <c r="I508" t="s">
        <v>50</v>
      </c>
      <c r="J508" t="s">
        <v>57</v>
      </c>
      <c r="K508">
        <v>1</v>
      </c>
      <c r="L508">
        <v>1</v>
      </c>
      <c r="M508" t="s">
        <v>58</v>
      </c>
      <c r="N508" t="s">
        <v>52</v>
      </c>
      <c r="O508" t="s">
        <v>36</v>
      </c>
      <c r="P508" t="s">
        <v>32</v>
      </c>
      <c r="Q508">
        <v>11</v>
      </c>
      <c r="R508">
        <v>4</v>
      </c>
      <c r="S508">
        <v>9</v>
      </c>
      <c r="T508">
        <v>0</v>
      </c>
      <c r="U508">
        <v>3</v>
      </c>
      <c r="V508">
        <v>4</v>
      </c>
      <c r="W508">
        <v>30</v>
      </c>
      <c r="X508">
        <v>1268</v>
      </c>
      <c r="Y508">
        <v>6319</v>
      </c>
      <c r="Z508">
        <v>5006</v>
      </c>
      <c r="AA508">
        <v>3</v>
      </c>
      <c r="AB508">
        <v>28422</v>
      </c>
      <c r="AC508" s="10">
        <v>43099</v>
      </c>
      <c r="AD508" s="10" t="s">
        <v>72</v>
      </c>
      <c r="AE508" t="s">
        <v>72</v>
      </c>
      <c r="AF508" t="s">
        <v>45</v>
      </c>
    </row>
    <row r="509" spans="1:32" x14ac:dyDescent="0.25">
      <c r="A509">
        <v>486</v>
      </c>
      <c r="B509">
        <v>37</v>
      </c>
      <c r="C509" t="s">
        <v>43</v>
      </c>
      <c r="D509" t="s">
        <v>33</v>
      </c>
      <c r="E509" t="s">
        <v>34</v>
      </c>
      <c r="F509" t="s">
        <v>49</v>
      </c>
      <c r="G509" t="s">
        <v>50</v>
      </c>
      <c r="H509" t="s">
        <v>47</v>
      </c>
      <c r="I509" t="s">
        <v>50</v>
      </c>
      <c r="J509" t="s">
        <v>51</v>
      </c>
      <c r="K509">
        <v>1</v>
      </c>
      <c r="L509">
        <v>4</v>
      </c>
      <c r="M509" t="s">
        <v>48</v>
      </c>
      <c r="N509" t="s">
        <v>61</v>
      </c>
      <c r="O509" t="s">
        <v>36</v>
      </c>
      <c r="P509" t="s">
        <v>43</v>
      </c>
      <c r="Q509">
        <v>20</v>
      </c>
      <c r="R509">
        <v>6</v>
      </c>
      <c r="S509">
        <v>17</v>
      </c>
      <c r="T509">
        <v>0</v>
      </c>
      <c r="U509">
        <v>3</v>
      </c>
      <c r="V509">
        <v>10</v>
      </c>
      <c r="W509">
        <v>98</v>
      </c>
      <c r="X509">
        <v>921</v>
      </c>
      <c r="Y509">
        <v>17663</v>
      </c>
      <c r="Z509">
        <v>3452</v>
      </c>
      <c r="AA509">
        <v>3</v>
      </c>
      <c r="AB509">
        <v>31333</v>
      </c>
      <c r="AC509" s="10">
        <v>43121</v>
      </c>
      <c r="AD509" s="10" t="s">
        <v>72</v>
      </c>
      <c r="AE509" t="s">
        <v>72</v>
      </c>
      <c r="AF509" t="s">
        <v>45</v>
      </c>
    </row>
    <row r="510" spans="1:32" x14ac:dyDescent="0.25">
      <c r="A510">
        <v>1409</v>
      </c>
      <c r="B510">
        <v>52</v>
      </c>
      <c r="C510" t="s">
        <v>43</v>
      </c>
      <c r="D510" t="s">
        <v>33</v>
      </c>
      <c r="E510" t="s">
        <v>34</v>
      </c>
      <c r="F510" t="s">
        <v>35</v>
      </c>
      <c r="G510" t="s">
        <v>50</v>
      </c>
      <c r="H510" t="s">
        <v>47</v>
      </c>
      <c r="I510" t="s">
        <v>50</v>
      </c>
      <c r="J510" t="s">
        <v>51</v>
      </c>
      <c r="K510">
        <v>1</v>
      </c>
      <c r="L510">
        <v>1</v>
      </c>
      <c r="M510" t="s">
        <v>40</v>
      </c>
      <c r="N510" t="s">
        <v>61</v>
      </c>
      <c r="O510" t="s">
        <v>42</v>
      </c>
      <c r="P510" t="s">
        <v>43</v>
      </c>
      <c r="Q510">
        <v>13</v>
      </c>
      <c r="R510">
        <v>9</v>
      </c>
      <c r="S510">
        <v>12</v>
      </c>
      <c r="T510">
        <v>0</v>
      </c>
      <c r="U510">
        <v>4</v>
      </c>
      <c r="V510">
        <v>8</v>
      </c>
      <c r="W510">
        <v>54</v>
      </c>
      <c r="X510">
        <v>258</v>
      </c>
      <c r="Y510">
        <v>17363</v>
      </c>
      <c r="Z510">
        <v>2950</v>
      </c>
      <c r="AA510">
        <v>2</v>
      </c>
      <c r="AB510">
        <v>25874</v>
      </c>
      <c r="AC510" s="10">
        <v>43146</v>
      </c>
      <c r="AD510" s="10" t="s">
        <v>72</v>
      </c>
      <c r="AE510" t="s">
        <v>72</v>
      </c>
      <c r="AF510" t="s">
        <v>55</v>
      </c>
    </row>
    <row r="511" spans="1:32" x14ac:dyDescent="0.25">
      <c r="A511">
        <v>2018</v>
      </c>
      <c r="B511">
        <v>25</v>
      </c>
      <c r="C511" t="s">
        <v>43</v>
      </c>
      <c r="D511" t="s">
        <v>33</v>
      </c>
      <c r="E511" t="s">
        <v>56</v>
      </c>
      <c r="F511" t="s">
        <v>67</v>
      </c>
      <c r="G511" t="s">
        <v>36</v>
      </c>
      <c r="H511" t="s">
        <v>47</v>
      </c>
      <c r="I511" t="s">
        <v>50</v>
      </c>
      <c r="J511" t="s">
        <v>57</v>
      </c>
      <c r="K511">
        <v>3</v>
      </c>
      <c r="L511">
        <v>4</v>
      </c>
      <c r="M511" t="s">
        <v>60</v>
      </c>
      <c r="N511" t="s">
        <v>52</v>
      </c>
      <c r="O511" t="s">
        <v>36</v>
      </c>
      <c r="P511" t="s">
        <v>32</v>
      </c>
      <c r="Q511">
        <v>22</v>
      </c>
      <c r="R511">
        <v>0</v>
      </c>
      <c r="S511">
        <v>6</v>
      </c>
      <c r="T511">
        <v>0</v>
      </c>
      <c r="U511">
        <v>4</v>
      </c>
      <c r="V511">
        <v>8</v>
      </c>
      <c r="W511">
        <v>85</v>
      </c>
      <c r="X511">
        <v>1382</v>
      </c>
      <c r="Y511">
        <v>13684</v>
      </c>
      <c r="Z511">
        <v>4907</v>
      </c>
      <c r="AA511">
        <v>3</v>
      </c>
      <c r="AB511">
        <v>35827</v>
      </c>
      <c r="AC511" s="10">
        <v>43174</v>
      </c>
      <c r="AD511" s="10" t="s">
        <v>72</v>
      </c>
      <c r="AE511" t="s">
        <v>72</v>
      </c>
      <c r="AF511" t="s">
        <v>45</v>
      </c>
    </row>
    <row r="512" spans="1:32" x14ac:dyDescent="0.25">
      <c r="A512">
        <v>1387</v>
      </c>
      <c r="B512">
        <v>28</v>
      </c>
      <c r="C512" t="s">
        <v>43</v>
      </c>
      <c r="D512" t="s">
        <v>33</v>
      </c>
      <c r="E512" t="s">
        <v>56</v>
      </c>
      <c r="F512" t="s">
        <v>49</v>
      </c>
      <c r="G512" t="s">
        <v>50</v>
      </c>
      <c r="H512" t="s">
        <v>37</v>
      </c>
      <c r="I512" t="s">
        <v>38</v>
      </c>
      <c r="J512" t="s">
        <v>57</v>
      </c>
      <c r="K512">
        <v>1</v>
      </c>
      <c r="L512">
        <v>1</v>
      </c>
      <c r="M512" t="s">
        <v>48</v>
      </c>
      <c r="N512" t="s">
        <v>61</v>
      </c>
      <c r="O512" t="s">
        <v>36</v>
      </c>
      <c r="P512" t="s">
        <v>43</v>
      </c>
      <c r="Q512">
        <v>11</v>
      </c>
      <c r="R512">
        <v>1</v>
      </c>
      <c r="S512">
        <v>5</v>
      </c>
      <c r="T512">
        <v>0</v>
      </c>
      <c r="U512">
        <v>4</v>
      </c>
      <c r="V512">
        <v>26</v>
      </c>
      <c r="W512">
        <v>48</v>
      </c>
      <c r="X512">
        <v>736</v>
      </c>
      <c r="Y512">
        <v>24232</v>
      </c>
      <c r="Z512">
        <v>4724</v>
      </c>
      <c r="AA512">
        <v>0</v>
      </c>
      <c r="AB512">
        <v>34851</v>
      </c>
      <c r="AC512" s="10">
        <v>43178</v>
      </c>
      <c r="AD512" s="10" t="s">
        <v>72</v>
      </c>
      <c r="AE512" t="s">
        <v>72</v>
      </c>
      <c r="AF512" t="s">
        <v>45</v>
      </c>
    </row>
    <row r="513" spans="1:32" x14ac:dyDescent="0.25">
      <c r="A513">
        <v>377</v>
      </c>
      <c r="B513">
        <v>28</v>
      </c>
      <c r="C513" t="s">
        <v>43</v>
      </c>
      <c r="D513" t="s">
        <v>33</v>
      </c>
      <c r="E513" t="s">
        <v>34</v>
      </c>
      <c r="F513" t="s">
        <v>49</v>
      </c>
      <c r="G513" t="s">
        <v>59</v>
      </c>
      <c r="H513" t="s">
        <v>37</v>
      </c>
      <c r="I513" t="s">
        <v>50</v>
      </c>
      <c r="J513" t="s">
        <v>39</v>
      </c>
      <c r="K513">
        <v>4</v>
      </c>
      <c r="L513">
        <v>4</v>
      </c>
      <c r="M513" t="s">
        <v>60</v>
      </c>
      <c r="N513" t="s">
        <v>61</v>
      </c>
      <c r="O513" t="s">
        <v>36</v>
      </c>
      <c r="P513" t="s">
        <v>43</v>
      </c>
      <c r="Q513">
        <v>23</v>
      </c>
      <c r="R513">
        <v>1</v>
      </c>
      <c r="S513">
        <v>5</v>
      </c>
      <c r="T513">
        <v>0</v>
      </c>
      <c r="U513">
        <v>4</v>
      </c>
      <c r="V513">
        <v>9</v>
      </c>
      <c r="W513">
        <v>94</v>
      </c>
      <c r="X513">
        <v>1158</v>
      </c>
      <c r="Y513">
        <v>2613</v>
      </c>
      <c r="Z513">
        <v>2070</v>
      </c>
      <c r="AA513">
        <v>3</v>
      </c>
      <c r="AB513">
        <v>34697</v>
      </c>
      <c r="AC513" s="10">
        <v>43196</v>
      </c>
      <c r="AD513" s="10" t="s">
        <v>72</v>
      </c>
      <c r="AE513" t="s">
        <v>72</v>
      </c>
      <c r="AF513" t="s">
        <v>45</v>
      </c>
    </row>
    <row r="514" spans="1:32" x14ac:dyDescent="0.25">
      <c r="A514">
        <v>1546</v>
      </c>
      <c r="B514">
        <v>45</v>
      </c>
      <c r="C514" t="s">
        <v>43</v>
      </c>
      <c r="D514" t="s">
        <v>33</v>
      </c>
      <c r="E514" t="s">
        <v>34</v>
      </c>
      <c r="F514" t="s">
        <v>49</v>
      </c>
      <c r="G514" t="s">
        <v>59</v>
      </c>
      <c r="H514" t="s">
        <v>37</v>
      </c>
      <c r="I514" t="s">
        <v>50</v>
      </c>
      <c r="J514" t="s">
        <v>39</v>
      </c>
      <c r="K514">
        <v>4</v>
      </c>
      <c r="L514">
        <v>4</v>
      </c>
      <c r="M514" t="s">
        <v>48</v>
      </c>
      <c r="N514" t="s">
        <v>61</v>
      </c>
      <c r="O514" t="s">
        <v>36</v>
      </c>
      <c r="P514" t="s">
        <v>43</v>
      </c>
      <c r="Q514">
        <v>20</v>
      </c>
      <c r="R514">
        <v>4</v>
      </c>
      <c r="S514">
        <v>8</v>
      </c>
      <c r="T514">
        <v>0</v>
      </c>
      <c r="U514">
        <v>3</v>
      </c>
      <c r="V514">
        <v>28</v>
      </c>
      <c r="W514">
        <v>97</v>
      </c>
      <c r="X514">
        <v>950</v>
      </c>
      <c r="Y514">
        <v>4585</v>
      </c>
      <c r="Z514">
        <v>2132</v>
      </c>
      <c r="AA514">
        <v>3</v>
      </c>
      <c r="AB514">
        <v>28541</v>
      </c>
      <c r="AC514" s="10">
        <v>43215</v>
      </c>
      <c r="AD514" s="10" t="s">
        <v>72</v>
      </c>
      <c r="AE514" t="s">
        <v>72</v>
      </c>
      <c r="AF514" t="s">
        <v>45</v>
      </c>
    </row>
    <row r="515" spans="1:32" x14ac:dyDescent="0.25">
      <c r="A515">
        <v>878</v>
      </c>
      <c r="B515">
        <v>36</v>
      </c>
      <c r="C515" t="s">
        <v>43</v>
      </c>
      <c r="D515" t="s">
        <v>33</v>
      </c>
      <c r="E515" t="s">
        <v>68</v>
      </c>
      <c r="F515" t="s">
        <v>49</v>
      </c>
      <c r="G515" t="s">
        <v>36</v>
      </c>
      <c r="H515" t="s">
        <v>37</v>
      </c>
      <c r="I515" t="s">
        <v>38</v>
      </c>
      <c r="J515" t="s">
        <v>68</v>
      </c>
      <c r="K515">
        <v>1</v>
      </c>
      <c r="L515">
        <v>4</v>
      </c>
      <c r="M515" t="s">
        <v>48</v>
      </c>
      <c r="N515" t="s">
        <v>61</v>
      </c>
      <c r="O515" t="s">
        <v>42</v>
      </c>
      <c r="P515" t="s">
        <v>43</v>
      </c>
      <c r="Q515">
        <v>21</v>
      </c>
      <c r="R515">
        <v>0</v>
      </c>
      <c r="S515">
        <v>6</v>
      </c>
      <c r="T515">
        <v>0</v>
      </c>
      <c r="U515">
        <v>3</v>
      </c>
      <c r="V515">
        <v>8</v>
      </c>
      <c r="W515">
        <v>77</v>
      </c>
      <c r="X515">
        <v>1278</v>
      </c>
      <c r="Y515">
        <v>8635</v>
      </c>
      <c r="Z515">
        <v>2342</v>
      </c>
      <c r="AA515">
        <v>3</v>
      </c>
      <c r="AB515">
        <v>31769</v>
      </c>
      <c r="AC515" s="10">
        <v>43217</v>
      </c>
      <c r="AD515" s="10" t="s">
        <v>72</v>
      </c>
      <c r="AE515" t="s">
        <v>72</v>
      </c>
      <c r="AF515" t="s">
        <v>55</v>
      </c>
    </row>
    <row r="516" spans="1:32" x14ac:dyDescent="0.25">
      <c r="A516">
        <v>1772</v>
      </c>
      <c r="B516">
        <v>41</v>
      </c>
      <c r="C516" t="s">
        <v>43</v>
      </c>
      <c r="D516" t="s">
        <v>33</v>
      </c>
      <c r="E516" t="s">
        <v>34</v>
      </c>
      <c r="F516" t="s">
        <v>35</v>
      </c>
      <c r="G516" t="s">
        <v>50</v>
      </c>
      <c r="H516" t="s">
        <v>37</v>
      </c>
      <c r="I516" t="s">
        <v>50</v>
      </c>
      <c r="J516" t="s">
        <v>51</v>
      </c>
      <c r="K516">
        <v>1</v>
      </c>
      <c r="L516">
        <v>4</v>
      </c>
      <c r="M516" t="s">
        <v>48</v>
      </c>
      <c r="N516" t="s">
        <v>52</v>
      </c>
      <c r="O516" t="s">
        <v>53</v>
      </c>
      <c r="P516" t="s">
        <v>43</v>
      </c>
      <c r="Q516">
        <v>20</v>
      </c>
      <c r="R516">
        <v>1</v>
      </c>
      <c r="S516">
        <v>5</v>
      </c>
      <c r="T516">
        <v>0</v>
      </c>
      <c r="U516">
        <v>4</v>
      </c>
      <c r="V516">
        <v>9</v>
      </c>
      <c r="W516">
        <v>94</v>
      </c>
      <c r="X516">
        <v>548</v>
      </c>
      <c r="Y516">
        <v>20520</v>
      </c>
      <c r="Z516">
        <v>2289</v>
      </c>
      <c r="AA516">
        <v>2</v>
      </c>
      <c r="AB516">
        <v>30108</v>
      </c>
      <c r="AC516" s="10">
        <v>43224</v>
      </c>
      <c r="AD516" s="10" t="s">
        <v>72</v>
      </c>
      <c r="AE516" t="s">
        <v>72</v>
      </c>
      <c r="AF516" t="s">
        <v>45</v>
      </c>
    </row>
    <row r="517" spans="1:32" x14ac:dyDescent="0.25">
      <c r="A517">
        <v>1768</v>
      </c>
      <c r="B517">
        <v>42</v>
      </c>
      <c r="C517" t="s">
        <v>43</v>
      </c>
      <c r="D517" t="s">
        <v>33</v>
      </c>
      <c r="E517" t="s">
        <v>34</v>
      </c>
      <c r="F517" t="s">
        <v>49</v>
      </c>
      <c r="G517" t="s">
        <v>38</v>
      </c>
      <c r="H517" t="s">
        <v>37</v>
      </c>
      <c r="I517" t="s">
        <v>50</v>
      </c>
      <c r="J517" t="s">
        <v>51</v>
      </c>
      <c r="K517">
        <v>2</v>
      </c>
      <c r="L517">
        <v>4</v>
      </c>
      <c r="M517" t="s">
        <v>60</v>
      </c>
      <c r="N517" t="s">
        <v>52</v>
      </c>
      <c r="O517" t="s">
        <v>50</v>
      </c>
      <c r="P517" t="s">
        <v>43</v>
      </c>
      <c r="Q517">
        <v>22</v>
      </c>
      <c r="R517">
        <v>8</v>
      </c>
      <c r="S517">
        <v>7</v>
      </c>
      <c r="T517">
        <v>0</v>
      </c>
      <c r="U517">
        <v>4</v>
      </c>
      <c r="V517">
        <v>12</v>
      </c>
      <c r="W517">
        <v>57</v>
      </c>
      <c r="X517">
        <v>855</v>
      </c>
      <c r="Y517">
        <v>8952</v>
      </c>
      <c r="Z517">
        <v>2766</v>
      </c>
      <c r="AA517">
        <v>6</v>
      </c>
      <c r="AB517">
        <v>29591</v>
      </c>
      <c r="AC517" s="10">
        <v>43227</v>
      </c>
      <c r="AD517" s="10" t="s">
        <v>72</v>
      </c>
      <c r="AE517" t="s">
        <v>72</v>
      </c>
      <c r="AF517" t="s">
        <v>45</v>
      </c>
    </row>
    <row r="518" spans="1:32" x14ac:dyDescent="0.25">
      <c r="A518">
        <v>94</v>
      </c>
      <c r="B518">
        <v>29</v>
      </c>
      <c r="C518" t="s">
        <v>43</v>
      </c>
      <c r="D518" t="s">
        <v>33</v>
      </c>
      <c r="E518" t="s">
        <v>34</v>
      </c>
      <c r="F518" t="s">
        <v>49</v>
      </c>
      <c r="G518" t="s">
        <v>50</v>
      </c>
      <c r="H518" t="s">
        <v>37</v>
      </c>
      <c r="I518" t="s">
        <v>50</v>
      </c>
      <c r="J518" t="s">
        <v>39</v>
      </c>
      <c r="K518">
        <v>2</v>
      </c>
      <c r="L518">
        <v>4</v>
      </c>
      <c r="M518" t="s">
        <v>48</v>
      </c>
      <c r="N518" t="s">
        <v>61</v>
      </c>
      <c r="O518" t="s">
        <v>36</v>
      </c>
      <c r="P518" t="s">
        <v>43</v>
      </c>
      <c r="Q518">
        <v>23</v>
      </c>
      <c r="R518">
        <v>0</v>
      </c>
      <c r="S518">
        <v>6</v>
      </c>
      <c r="T518">
        <v>0</v>
      </c>
      <c r="U518">
        <v>4</v>
      </c>
      <c r="V518">
        <v>2</v>
      </c>
      <c r="W518">
        <v>76</v>
      </c>
      <c r="X518">
        <v>1328</v>
      </c>
      <c r="Y518">
        <v>4956</v>
      </c>
      <c r="Z518">
        <v>2703</v>
      </c>
      <c r="AA518">
        <v>3</v>
      </c>
      <c r="AB518">
        <v>34266</v>
      </c>
      <c r="AC518" s="10">
        <v>43234</v>
      </c>
      <c r="AD518" s="10" t="s">
        <v>72</v>
      </c>
      <c r="AE518" t="s">
        <v>72</v>
      </c>
      <c r="AF518" t="s">
        <v>45</v>
      </c>
    </row>
    <row r="519" spans="1:32" x14ac:dyDescent="0.25">
      <c r="A519">
        <v>395</v>
      </c>
      <c r="B519">
        <v>28</v>
      </c>
      <c r="C519" t="s">
        <v>43</v>
      </c>
      <c r="D519" t="s">
        <v>33</v>
      </c>
      <c r="E519" t="s">
        <v>34</v>
      </c>
      <c r="F519" t="s">
        <v>67</v>
      </c>
      <c r="G519" t="s">
        <v>59</v>
      </c>
      <c r="H519" t="s">
        <v>47</v>
      </c>
      <c r="I519" t="s">
        <v>50</v>
      </c>
      <c r="J519" t="s">
        <v>39</v>
      </c>
      <c r="K519">
        <v>4</v>
      </c>
      <c r="L519">
        <v>4</v>
      </c>
      <c r="M519" t="s">
        <v>48</v>
      </c>
      <c r="N519" t="s">
        <v>41</v>
      </c>
      <c r="O519" t="s">
        <v>42</v>
      </c>
      <c r="P519" t="s">
        <v>43</v>
      </c>
      <c r="Q519">
        <v>21</v>
      </c>
      <c r="R519">
        <v>1</v>
      </c>
      <c r="S519">
        <v>5</v>
      </c>
      <c r="T519">
        <v>0</v>
      </c>
      <c r="U519">
        <v>2</v>
      </c>
      <c r="V519">
        <v>8</v>
      </c>
      <c r="W519">
        <v>66</v>
      </c>
      <c r="X519">
        <v>1117</v>
      </c>
      <c r="Y519">
        <v>4488</v>
      </c>
      <c r="Z519">
        <v>3310</v>
      </c>
      <c r="AA519">
        <v>3</v>
      </c>
      <c r="AB519">
        <v>34712</v>
      </c>
      <c r="AC519" s="10">
        <v>43237</v>
      </c>
      <c r="AD519" s="10" t="s">
        <v>72</v>
      </c>
      <c r="AE519" t="s">
        <v>72</v>
      </c>
      <c r="AF519" t="s">
        <v>45</v>
      </c>
    </row>
    <row r="520" spans="1:32" x14ac:dyDescent="0.25">
      <c r="A520">
        <v>613</v>
      </c>
      <c r="B520">
        <v>31</v>
      </c>
      <c r="C520" t="s">
        <v>43</v>
      </c>
      <c r="D520" t="s">
        <v>33</v>
      </c>
      <c r="E520" t="s">
        <v>56</v>
      </c>
      <c r="F520" t="s">
        <v>49</v>
      </c>
      <c r="G520" t="s">
        <v>50</v>
      </c>
      <c r="H520" t="s">
        <v>37</v>
      </c>
      <c r="I520" t="s">
        <v>38</v>
      </c>
      <c r="J520" t="s">
        <v>69</v>
      </c>
      <c r="K520">
        <v>4</v>
      </c>
      <c r="L520">
        <v>4</v>
      </c>
      <c r="M520" t="s">
        <v>60</v>
      </c>
      <c r="N520" t="s">
        <v>52</v>
      </c>
      <c r="O520" t="s">
        <v>36</v>
      </c>
      <c r="P520" t="s">
        <v>43</v>
      </c>
      <c r="Q520">
        <v>21</v>
      </c>
      <c r="R520">
        <v>9</v>
      </c>
      <c r="S520">
        <v>10</v>
      </c>
      <c r="T520">
        <v>0</v>
      </c>
      <c r="U520">
        <v>1</v>
      </c>
      <c r="V520">
        <v>7</v>
      </c>
      <c r="W520">
        <v>44</v>
      </c>
      <c r="X520">
        <v>688</v>
      </c>
      <c r="Y520">
        <v>25291</v>
      </c>
      <c r="Z520">
        <v>11557</v>
      </c>
      <c r="AA520">
        <v>3</v>
      </c>
      <c r="AB520">
        <v>33477</v>
      </c>
      <c r="AC520" s="10">
        <v>43249</v>
      </c>
      <c r="AD520" s="10" t="s">
        <v>72</v>
      </c>
      <c r="AE520" t="s">
        <v>72</v>
      </c>
      <c r="AF520" t="s">
        <v>45</v>
      </c>
    </row>
    <row r="521" spans="1:32" x14ac:dyDescent="0.25">
      <c r="A521">
        <v>1885</v>
      </c>
      <c r="B521">
        <v>37</v>
      </c>
      <c r="C521" t="s">
        <v>43</v>
      </c>
      <c r="D521" t="s">
        <v>33</v>
      </c>
      <c r="E521" t="s">
        <v>34</v>
      </c>
      <c r="F521" t="s">
        <v>35</v>
      </c>
      <c r="G521" t="s">
        <v>59</v>
      </c>
      <c r="H521" t="s">
        <v>37</v>
      </c>
      <c r="I521" t="s">
        <v>50</v>
      </c>
      <c r="J521" t="s">
        <v>39</v>
      </c>
      <c r="K521">
        <v>1</v>
      </c>
      <c r="L521">
        <v>4</v>
      </c>
      <c r="M521" t="s">
        <v>48</v>
      </c>
      <c r="N521" t="s">
        <v>61</v>
      </c>
      <c r="O521" t="s">
        <v>36</v>
      </c>
      <c r="P521" t="s">
        <v>32</v>
      </c>
      <c r="Q521">
        <v>22</v>
      </c>
      <c r="R521">
        <v>5</v>
      </c>
      <c r="S521">
        <v>16</v>
      </c>
      <c r="T521">
        <v>0</v>
      </c>
      <c r="U521">
        <v>4</v>
      </c>
      <c r="V521">
        <v>7</v>
      </c>
      <c r="W521">
        <v>78</v>
      </c>
      <c r="X521">
        <v>783</v>
      </c>
      <c r="Y521">
        <v>13588</v>
      </c>
      <c r="Z521">
        <v>4284</v>
      </c>
      <c r="AA521">
        <v>2</v>
      </c>
      <c r="AB521">
        <v>31560</v>
      </c>
      <c r="AC521" s="10">
        <v>43271</v>
      </c>
      <c r="AD521" s="10" t="s">
        <v>72</v>
      </c>
      <c r="AE521" t="s">
        <v>72</v>
      </c>
      <c r="AF521" t="s">
        <v>45</v>
      </c>
    </row>
    <row r="522" spans="1:32" x14ac:dyDescent="0.25">
      <c r="A522">
        <v>548</v>
      </c>
      <c r="B522">
        <v>30</v>
      </c>
      <c r="C522" t="s">
        <v>43</v>
      </c>
      <c r="D522" t="s">
        <v>33</v>
      </c>
      <c r="E522" t="s">
        <v>34</v>
      </c>
      <c r="F522" t="s">
        <v>49</v>
      </c>
      <c r="G522" t="s">
        <v>50</v>
      </c>
      <c r="H522" t="s">
        <v>47</v>
      </c>
      <c r="I522" t="s">
        <v>36</v>
      </c>
      <c r="J522" t="s">
        <v>65</v>
      </c>
      <c r="K522">
        <v>4</v>
      </c>
      <c r="L522">
        <v>4</v>
      </c>
      <c r="M522" t="s">
        <v>48</v>
      </c>
      <c r="N522" t="s">
        <v>41</v>
      </c>
      <c r="O522" t="s">
        <v>42</v>
      </c>
      <c r="P522" t="s">
        <v>43</v>
      </c>
      <c r="Q522">
        <v>20</v>
      </c>
      <c r="R522">
        <v>2</v>
      </c>
      <c r="S522">
        <v>11</v>
      </c>
      <c r="T522">
        <v>0</v>
      </c>
      <c r="U522">
        <v>2</v>
      </c>
      <c r="V522">
        <v>2</v>
      </c>
      <c r="W522">
        <v>43</v>
      </c>
      <c r="X522">
        <v>317</v>
      </c>
      <c r="Y522">
        <v>24793</v>
      </c>
      <c r="Z522">
        <v>6091</v>
      </c>
      <c r="AA522">
        <v>2</v>
      </c>
      <c r="AB522">
        <v>33917</v>
      </c>
      <c r="AC522" s="10">
        <v>43285</v>
      </c>
      <c r="AD522" s="10" t="s">
        <v>72</v>
      </c>
      <c r="AE522" t="s">
        <v>72</v>
      </c>
      <c r="AF522" t="s">
        <v>45</v>
      </c>
    </row>
    <row r="523" spans="1:32" x14ac:dyDescent="0.25">
      <c r="A523">
        <v>246</v>
      </c>
      <c r="B523">
        <v>31</v>
      </c>
      <c r="C523" t="s">
        <v>43</v>
      </c>
      <c r="D523" t="s">
        <v>33</v>
      </c>
      <c r="E523" t="s">
        <v>34</v>
      </c>
      <c r="F523" t="s">
        <v>64</v>
      </c>
      <c r="G523" t="s">
        <v>50</v>
      </c>
      <c r="H523" t="s">
        <v>47</v>
      </c>
      <c r="I523" t="s">
        <v>50</v>
      </c>
      <c r="J523" t="s">
        <v>39</v>
      </c>
      <c r="K523">
        <v>4</v>
      </c>
      <c r="L523">
        <v>4</v>
      </c>
      <c r="M523" t="s">
        <v>48</v>
      </c>
      <c r="N523" t="s">
        <v>61</v>
      </c>
      <c r="O523" t="s">
        <v>36</v>
      </c>
      <c r="P523" t="s">
        <v>32</v>
      </c>
      <c r="Q523">
        <v>23</v>
      </c>
      <c r="R523">
        <v>8</v>
      </c>
      <c r="S523">
        <v>7</v>
      </c>
      <c r="T523">
        <v>0</v>
      </c>
      <c r="U523">
        <v>2</v>
      </c>
      <c r="V523">
        <v>12</v>
      </c>
      <c r="W523">
        <v>95</v>
      </c>
      <c r="X523">
        <v>140</v>
      </c>
      <c r="Y523">
        <v>6984</v>
      </c>
      <c r="Z523">
        <v>3929</v>
      </c>
      <c r="AA523">
        <v>0</v>
      </c>
      <c r="AB523">
        <v>33793</v>
      </c>
      <c r="AC523" s="10">
        <v>43380</v>
      </c>
      <c r="AD523" s="10" t="s">
        <v>72</v>
      </c>
      <c r="AE523" t="s">
        <v>72</v>
      </c>
      <c r="AF523" t="s">
        <v>45</v>
      </c>
    </row>
    <row r="524" spans="1:32" x14ac:dyDescent="0.25">
      <c r="A524">
        <v>116</v>
      </c>
      <c r="B524">
        <v>51</v>
      </c>
      <c r="C524" t="s">
        <v>43</v>
      </c>
      <c r="D524" t="s">
        <v>33</v>
      </c>
      <c r="E524" t="s">
        <v>34</v>
      </c>
      <c r="F524" t="s">
        <v>35</v>
      </c>
      <c r="G524" t="s">
        <v>59</v>
      </c>
      <c r="H524" t="s">
        <v>37</v>
      </c>
      <c r="I524" t="s">
        <v>50</v>
      </c>
      <c r="J524" t="s">
        <v>51</v>
      </c>
      <c r="K524">
        <v>4</v>
      </c>
      <c r="L524">
        <v>4</v>
      </c>
      <c r="M524" t="s">
        <v>48</v>
      </c>
      <c r="N524" t="s">
        <v>61</v>
      </c>
      <c r="O524" t="s">
        <v>53</v>
      </c>
      <c r="P524" t="s">
        <v>43</v>
      </c>
      <c r="Q524">
        <v>23</v>
      </c>
      <c r="R524">
        <v>3</v>
      </c>
      <c r="S524">
        <v>10</v>
      </c>
      <c r="T524">
        <v>0</v>
      </c>
      <c r="U524">
        <v>3</v>
      </c>
      <c r="V524">
        <v>9</v>
      </c>
      <c r="W524">
        <v>96</v>
      </c>
      <c r="X524">
        <v>432</v>
      </c>
      <c r="Y524">
        <v>18725</v>
      </c>
      <c r="Z524">
        <v>2075</v>
      </c>
      <c r="AA524">
        <v>4</v>
      </c>
      <c r="AB524">
        <v>26164</v>
      </c>
      <c r="AC524" s="10">
        <v>43497</v>
      </c>
      <c r="AD524" s="10" t="s">
        <v>72</v>
      </c>
      <c r="AE524" t="s">
        <v>72</v>
      </c>
      <c r="AF524" t="s">
        <v>45</v>
      </c>
    </row>
    <row r="525" spans="1:32" x14ac:dyDescent="0.25">
      <c r="A525">
        <v>1631</v>
      </c>
      <c r="B525">
        <v>37</v>
      </c>
      <c r="C525" t="s">
        <v>43</v>
      </c>
      <c r="D525" t="s">
        <v>33</v>
      </c>
      <c r="E525" t="s">
        <v>34</v>
      </c>
      <c r="F525" t="s">
        <v>49</v>
      </c>
      <c r="G525" t="s">
        <v>50</v>
      </c>
      <c r="H525" t="s">
        <v>37</v>
      </c>
      <c r="I525" t="s">
        <v>50</v>
      </c>
      <c r="J525" t="s">
        <v>65</v>
      </c>
      <c r="K525">
        <v>3</v>
      </c>
      <c r="L525">
        <v>1</v>
      </c>
      <c r="M525" t="s">
        <v>60</v>
      </c>
      <c r="N525" t="s">
        <v>61</v>
      </c>
      <c r="O525" t="s">
        <v>50</v>
      </c>
      <c r="P525" t="s">
        <v>43</v>
      </c>
      <c r="Q525">
        <v>17</v>
      </c>
      <c r="R525">
        <v>3</v>
      </c>
      <c r="S525">
        <v>9</v>
      </c>
      <c r="T525">
        <v>0</v>
      </c>
      <c r="U525">
        <v>2</v>
      </c>
      <c r="V525">
        <v>19</v>
      </c>
      <c r="W525">
        <v>85</v>
      </c>
      <c r="X525">
        <v>671</v>
      </c>
      <c r="Y525">
        <v>26493</v>
      </c>
      <c r="Z525">
        <v>5768</v>
      </c>
      <c r="AA525">
        <v>2</v>
      </c>
      <c r="AB525">
        <v>31551</v>
      </c>
      <c r="AC525" s="10">
        <v>43505</v>
      </c>
      <c r="AD525" s="10" t="s">
        <v>72</v>
      </c>
      <c r="AE525" t="s">
        <v>72</v>
      </c>
      <c r="AF525" t="s">
        <v>45</v>
      </c>
    </row>
    <row r="526" spans="1:32" x14ac:dyDescent="0.25">
      <c r="A526">
        <v>453</v>
      </c>
      <c r="B526">
        <v>40</v>
      </c>
      <c r="C526" t="s">
        <v>43</v>
      </c>
      <c r="D526" t="s">
        <v>33</v>
      </c>
      <c r="E526" t="s">
        <v>56</v>
      </c>
      <c r="F526" t="s">
        <v>67</v>
      </c>
      <c r="G526" t="s">
        <v>38</v>
      </c>
      <c r="H526" t="s">
        <v>37</v>
      </c>
      <c r="I526" t="s">
        <v>36</v>
      </c>
      <c r="J526" t="s">
        <v>57</v>
      </c>
      <c r="K526">
        <v>4</v>
      </c>
      <c r="L526">
        <v>4</v>
      </c>
      <c r="M526" t="s">
        <v>60</v>
      </c>
      <c r="N526" t="s">
        <v>61</v>
      </c>
      <c r="O526" t="s">
        <v>50</v>
      </c>
      <c r="P526" t="s">
        <v>32</v>
      </c>
      <c r="Q526">
        <v>22</v>
      </c>
      <c r="R526">
        <v>2</v>
      </c>
      <c r="S526">
        <v>6</v>
      </c>
      <c r="T526">
        <v>0</v>
      </c>
      <c r="U526">
        <v>2</v>
      </c>
      <c r="V526">
        <v>1</v>
      </c>
      <c r="W526">
        <v>57</v>
      </c>
      <c r="X526">
        <v>1124</v>
      </c>
      <c r="Y526">
        <v>13273</v>
      </c>
      <c r="Z526">
        <v>7457</v>
      </c>
      <c r="AA526">
        <v>2</v>
      </c>
      <c r="AB526">
        <v>30227</v>
      </c>
      <c r="AC526" s="10">
        <v>43536</v>
      </c>
      <c r="AD526" s="10" t="s">
        <v>72</v>
      </c>
      <c r="AE526" t="s">
        <v>72</v>
      </c>
      <c r="AF526" t="s">
        <v>45</v>
      </c>
    </row>
    <row r="527" spans="1:32" x14ac:dyDescent="0.25">
      <c r="A527">
        <v>103</v>
      </c>
      <c r="B527">
        <v>46</v>
      </c>
      <c r="C527" t="s">
        <v>43</v>
      </c>
      <c r="D527" t="s">
        <v>33</v>
      </c>
      <c r="E527" t="s">
        <v>68</v>
      </c>
      <c r="F527" t="s">
        <v>67</v>
      </c>
      <c r="G527" t="s">
        <v>38</v>
      </c>
      <c r="H527" t="s">
        <v>37</v>
      </c>
      <c r="I527" t="s">
        <v>50</v>
      </c>
      <c r="J527" t="s">
        <v>68</v>
      </c>
      <c r="K527">
        <v>2</v>
      </c>
      <c r="L527">
        <v>4</v>
      </c>
      <c r="M527" t="s">
        <v>48</v>
      </c>
      <c r="N527" t="s">
        <v>52</v>
      </c>
      <c r="O527" t="s">
        <v>36</v>
      </c>
      <c r="P527" t="s">
        <v>32</v>
      </c>
      <c r="Q527">
        <v>22</v>
      </c>
      <c r="R527">
        <v>8</v>
      </c>
      <c r="S527">
        <v>16</v>
      </c>
      <c r="T527">
        <v>0</v>
      </c>
      <c r="U527">
        <v>2</v>
      </c>
      <c r="V527">
        <v>5</v>
      </c>
      <c r="W527">
        <v>80</v>
      </c>
      <c r="X527">
        <v>945</v>
      </c>
      <c r="Y527">
        <v>10425</v>
      </c>
      <c r="Z527">
        <v>5021</v>
      </c>
      <c r="AA527">
        <v>2</v>
      </c>
      <c r="AB527">
        <v>28161</v>
      </c>
      <c r="AC527" s="10">
        <v>43607</v>
      </c>
      <c r="AD527" s="10" t="s">
        <v>72</v>
      </c>
      <c r="AE527" t="s">
        <v>72</v>
      </c>
      <c r="AF527" t="s">
        <v>55</v>
      </c>
    </row>
    <row r="528" spans="1:32" x14ac:dyDescent="0.25">
      <c r="A528">
        <v>1361</v>
      </c>
      <c r="B528">
        <v>40</v>
      </c>
      <c r="C528" t="s">
        <v>43</v>
      </c>
      <c r="D528" t="s">
        <v>33</v>
      </c>
      <c r="E528" t="s">
        <v>34</v>
      </c>
      <c r="F528" t="s">
        <v>35</v>
      </c>
      <c r="G528" t="s">
        <v>38</v>
      </c>
      <c r="H528" t="s">
        <v>37</v>
      </c>
      <c r="I528" t="s">
        <v>50</v>
      </c>
      <c r="J528" t="s">
        <v>51</v>
      </c>
      <c r="K528">
        <v>2</v>
      </c>
      <c r="L528">
        <v>4</v>
      </c>
      <c r="M528" t="s">
        <v>48</v>
      </c>
      <c r="N528" t="s">
        <v>61</v>
      </c>
      <c r="O528" t="s">
        <v>36</v>
      </c>
      <c r="P528" t="s">
        <v>43</v>
      </c>
      <c r="Q528">
        <v>22</v>
      </c>
      <c r="R528">
        <v>3</v>
      </c>
      <c r="S528">
        <v>7</v>
      </c>
      <c r="T528">
        <v>0</v>
      </c>
      <c r="U528">
        <v>3</v>
      </c>
      <c r="V528">
        <v>1</v>
      </c>
      <c r="W528">
        <v>88</v>
      </c>
      <c r="X528">
        <v>329</v>
      </c>
      <c r="Y528">
        <v>6762</v>
      </c>
      <c r="Z528">
        <v>2387</v>
      </c>
      <c r="AA528">
        <v>3</v>
      </c>
      <c r="AB528">
        <v>30309</v>
      </c>
      <c r="AC528" s="10">
        <v>43625</v>
      </c>
      <c r="AD528" s="10" t="s">
        <v>72</v>
      </c>
      <c r="AE528" t="s">
        <v>72</v>
      </c>
      <c r="AF528" t="s">
        <v>45</v>
      </c>
    </row>
    <row r="529" spans="1:32" x14ac:dyDescent="0.25">
      <c r="A529">
        <v>1062</v>
      </c>
      <c r="B529">
        <v>37</v>
      </c>
      <c r="C529" t="s">
        <v>43</v>
      </c>
      <c r="D529" t="s">
        <v>33</v>
      </c>
      <c r="E529" t="s">
        <v>34</v>
      </c>
      <c r="F529" t="s">
        <v>49</v>
      </c>
      <c r="G529" t="s">
        <v>59</v>
      </c>
      <c r="H529" t="s">
        <v>47</v>
      </c>
      <c r="I529" t="s">
        <v>50</v>
      </c>
      <c r="J529" t="s">
        <v>62</v>
      </c>
      <c r="K529">
        <v>2</v>
      </c>
      <c r="L529">
        <v>2</v>
      </c>
      <c r="M529" t="s">
        <v>60</v>
      </c>
      <c r="N529" t="s">
        <v>41</v>
      </c>
      <c r="O529" t="s">
        <v>42</v>
      </c>
      <c r="P529" t="s">
        <v>43</v>
      </c>
      <c r="Q529">
        <v>15</v>
      </c>
      <c r="R529">
        <v>3</v>
      </c>
      <c r="S529">
        <v>8</v>
      </c>
      <c r="T529">
        <v>0</v>
      </c>
      <c r="U529">
        <v>1</v>
      </c>
      <c r="V529">
        <v>3</v>
      </c>
      <c r="W529">
        <v>35</v>
      </c>
      <c r="X529">
        <v>124</v>
      </c>
      <c r="Y529">
        <v>13848</v>
      </c>
      <c r="Z529">
        <v>4107</v>
      </c>
      <c r="AA529">
        <v>3</v>
      </c>
      <c r="AB529">
        <v>31615</v>
      </c>
      <c r="AC529" s="10">
        <v>43651</v>
      </c>
      <c r="AD529" s="10" t="s">
        <v>72</v>
      </c>
      <c r="AE529" t="s">
        <v>72</v>
      </c>
      <c r="AF529" t="s">
        <v>55</v>
      </c>
    </row>
    <row r="530" spans="1:32" x14ac:dyDescent="0.25">
      <c r="A530">
        <v>1802</v>
      </c>
      <c r="B530">
        <v>40</v>
      </c>
      <c r="C530" t="s">
        <v>43</v>
      </c>
      <c r="D530" t="s">
        <v>33</v>
      </c>
      <c r="E530" t="s">
        <v>34</v>
      </c>
      <c r="F530" t="s">
        <v>67</v>
      </c>
      <c r="G530" t="s">
        <v>50</v>
      </c>
      <c r="H530" t="s">
        <v>47</v>
      </c>
      <c r="I530" t="s">
        <v>50</v>
      </c>
      <c r="J530" t="s">
        <v>51</v>
      </c>
      <c r="K530">
        <v>1</v>
      </c>
      <c r="L530">
        <v>1</v>
      </c>
      <c r="M530" t="s">
        <v>60</v>
      </c>
      <c r="N530" t="s">
        <v>61</v>
      </c>
      <c r="O530" t="s">
        <v>36</v>
      </c>
      <c r="P530" t="s">
        <v>43</v>
      </c>
      <c r="Q530">
        <v>17</v>
      </c>
      <c r="R530">
        <v>4</v>
      </c>
      <c r="S530">
        <v>7</v>
      </c>
      <c r="T530">
        <v>0</v>
      </c>
      <c r="U530">
        <v>2</v>
      </c>
      <c r="V530">
        <v>2</v>
      </c>
      <c r="W530">
        <v>99</v>
      </c>
      <c r="X530">
        <v>616</v>
      </c>
      <c r="Y530">
        <v>25605</v>
      </c>
      <c r="Z530">
        <v>3377</v>
      </c>
      <c r="AA530">
        <v>5</v>
      </c>
      <c r="AB530">
        <v>30245</v>
      </c>
      <c r="AC530" s="10">
        <v>43654</v>
      </c>
      <c r="AD530" s="10" t="s">
        <v>72</v>
      </c>
      <c r="AE530" t="s">
        <v>72</v>
      </c>
      <c r="AF530" t="s">
        <v>45</v>
      </c>
    </row>
    <row r="531" spans="1:32" x14ac:dyDescent="0.25">
      <c r="A531">
        <v>1835</v>
      </c>
      <c r="B531">
        <v>38</v>
      </c>
      <c r="C531" t="s">
        <v>43</v>
      </c>
      <c r="D531" t="s">
        <v>33</v>
      </c>
      <c r="E531" t="s">
        <v>56</v>
      </c>
      <c r="F531" t="s">
        <v>35</v>
      </c>
      <c r="G531" t="s">
        <v>38</v>
      </c>
      <c r="H531" t="s">
        <v>47</v>
      </c>
      <c r="I531" t="s">
        <v>36</v>
      </c>
      <c r="J531" t="s">
        <v>66</v>
      </c>
      <c r="K531">
        <v>4</v>
      </c>
      <c r="L531">
        <v>4</v>
      </c>
      <c r="M531" t="s">
        <v>60</v>
      </c>
      <c r="N531" t="s">
        <v>61</v>
      </c>
      <c r="O531" t="s">
        <v>53</v>
      </c>
      <c r="P531" t="s">
        <v>32</v>
      </c>
      <c r="Q531">
        <v>20</v>
      </c>
      <c r="R531">
        <v>2</v>
      </c>
      <c r="S531">
        <v>20</v>
      </c>
      <c r="T531">
        <v>0</v>
      </c>
      <c r="U531">
        <v>3</v>
      </c>
      <c r="V531">
        <v>2</v>
      </c>
      <c r="W531">
        <v>77</v>
      </c>
      <c r="X531">
        <v>723</v>
      </c>
      <c r="Y531">
        <v>4244</v>
      </c>
      <c r="Z531">
        <v>5405</v>
      </c>
      <c r="AA531">
        <v>4</v>
      </c>
      <c r="AB531">
        <v>31103</v>
      </c>
      <c r="AC531" s="10">
        <v>43655</v>
      </c>
      <c r="AD531" s="10" t="s">
        <v>72</v>
      </c>
      <c r="AE531" t="s">
        <v>72</v>
      </c>
      <c r="AF531" t="s">
        <v>45</v>
      </c>
    </row>
    <row r="532" spans="1:32" x14ac:dyDescent="0.25">
      <c r="A532">
        <v>560</v>
      </c>
      <c r="B532">
        <v>26</v>
      </c>
      <c r="C532" t="s">
        <v>43</v>
      </c>
      <c r="D532" t="s">
        <v>33</v>
      </c>
      <c r="E532" t="s">
        <v>34</v>
      </c>
      <c r="F532" t="s">
        <v>49</v>
      </c>
      <c r="G532" t="s">
        <v>36</v>
      </c>
      <c r="H532" t="s">
        <v>47</v>
      </c>
      <c r="I532" t="s">
        <v>50</v>
      </c>
      <c r="J532" t="s">
        <v>39</v>
      </c>
      <c r="K532">
        <v>4</v>
      </c>
      <c r="L532">
        <v>4</v>
      </c>
      <c r="M532" t="s">
        <v>40</v>
      </c>
      <c r="N532" t="s">
        <v>52</v>
      </c>
      <c r="O532" t="s">
        <v>53</v>
      </c>
      <c r="P532" t="s">
        <v>43</v>
      </c>
      <c r="Q532">
        <v>22</v>
      </c>
      <c r="R532">
        <v>1</v>
      </c>
      <c r="S532">
        <v>5</v>
      </c>
      <c r="T532">
        <v>0</v>
      </c>
      <c r="U532">
        <v>2</v>
      </c>
      <c r="V532">
        <v>23</v>
      </c>
      <c r="W532">
        <v>90</v>
      </c>
      <c r="X532">
        <v>1349</v>
      </c>
      <c r="Y532">
        <v>3032</v>
      </c>
      <c r="Z532">
        <v>2886</v>
      </c>
      <c r="AA532">
        <v>3</v>
      </c>
      <c r="AB532">
        <v>35365</v>
      </c>
      <c r="AC532" s="10">
        <v>43670</v>
      </c>
      <c r="AD532" s="10" t="s">
        <v>72</v>
      </c>
      <c r="AE532" t="s">
        <v>72</v>
      </c>
      <c r="AF532" t="s">
        <v>45</v>
      </c>
    </row>
    <row r="533" spans="1:32" x14ac:dyDescent="0.25">
      <c r="A533">
        <v>1718</v>
      </c>
      <c r="B533">
        <v>26</v>
      </c>
      <c r="C533" t="s">
        <v>43</v>
      </c>
      <c r="D533" t="s">
        <v>33</v>
      </c>
      <c r="E533" t="s">
        <v>34</v>
      </c>
      <c r="F533" t="s">
        <v>35</v>
      </c>
      <c r="G533" t="s">
        <v>59</v>
      </c>
      <c r="H533" t="s">
        <v>37</v>
      </c>
      <c r="I533" t="s">
        <v>36</v>
      </c>
      <c r="J533" t="s">
        <v>51</v>
      </c>
      <c r="K533">
        <v>3</v>
      </c>
      <c r="L533">
        <v>2</v>
      </c>
      <c r="M533" t="s">
        <v>58</v>
      </c>
      <c r="N533" t="s">
        <v>61</v>
      </c>
      <c r="O533" t="s">
        <v>50</v>
      </c>
      <c r="P533" t="s">
        <v>43</v>
      </c>
      <c r="Q533">
        <v>15</v>
      </c>
      <c r="R533">
        <v>1</v>
      </c>
      <c r="S533">
        <v>3</v>
      </c>
      <c r="T533">
        <v>0</v>
      </c>
      <c r="U533">
        <v>2</v>
      </c>
      <c r="V533">
        <v>17</v>
      </c>
      <c r="W533">
        <v>62</v>
      </c>
      <c r="X533">
        <v>390</v>
      </c>
      <c r="Y533">
        <v>6217</v>
      </c>
      <c r="Z533">
        <v>2305</v>
      </c>
      <c r="AA533">
        <v>3</v>
      </c>
      <c r="AB533">
        <v>35479</v>
      </c>
      <c r="AC533" s="10">
        <v>43753</v>
      </c>
      <c r="AD533" s="10" t="s">
        <v>72</v>
      </c>
      <c r="AE533" t="s">
        <v>72</v>
      </c>
      <c r="AF533" t="s">
        <v>45</v>
      </c>
    </row>
    <row r="534" spans="1:32" x14ac:dyDescent="0.25">
      <c r="A534">
        <v>128</v>
      </c>
      <c r="B534">
        <v>24</v>
      </c>
      <c r="C534" t="s">
        <v>43</v>
      </c>
      <c r="D534" t="s">
        <v>33</v>
      </c>
      <c r="E534" t="s">
        <v>56</v>
      </c>
      <c r="F534" t="s">
        <v>67</v>
      </c>
      <c r="G534" t="s">
        <v>36</v>
      </c>
      <c r="H534" t="s">
        <v>47</v>
      </c>
      <c r="I534" t="s">
        <v>50</v>
      </c>
      <c r="J534" t="s">
        <v>57</v>
      </c>
      <c r="K534">
        <v>3</v>
      </c>
      <c r="L534">
        <v>4</v>
      </c>
      <c r="M534" t="s">
        <v>60</v>
      </c>
      <c r="N534" t="s">
        <v>61</v>
      </c>
      <c r="O534" t="s">
        <v>36</v>
      </c>
      <c r="P534" t="s">
        <v>43</v>
      </c>
      <c r="Q534">
        <v>21</v>
      </c>
      <c r="R534">
        <v>0</v>
      </c>
      <c r="S534">
        <v>4</v>
      </c>
      <c r="T534">
        <v>0</v>
      </c>
      <c r="U534">
        <v>2</v>
      </c>
      <c r="V534">
        <v>3</v>
      </c>
      <c r="W534">
        <v>33</v>
      </c>
      <c r="X534">
        <v>1353</v>
      </c>
      <c r="Y534">
        <v>17519</v>
      </c>
      <c r="Z534">
        <v>4999</v>
      </c>
      <c r="AA534">
        <v>2</v>
      </c>
      <c r="AB534">
        <v>36055</v>
      </c>
      <c r="AC534" s="10">
        <v>43769</v>
      </c>
      <c r="AD534" s="10" t="s">
        <v>72</v>
      </c>
      <c r="AE534" t="s">
        <v>72</v>
      </c>
      <c r="AF534" t="s">
        <v>45</v>
      </c>
    </row>
    <row r="535" spans="1:32" x14ac:dyDescent="0.25">
      <c r="A535">
        <v>249</v>
      </c>
      <c r="B535">
        <v>50</v>
      </c>
      <c r="C535" t="s">
        <v>43</v>
      </c>
      <c r="D535" t="s">
        <v>33</v>
      </c>
      <c r="E535" t="s">
        <v>34</v>
      </c>
      <c r="F535" t="s">
        <v>49</v>
      </c>
      <c r="G535" t="s">
        <v>50</v>
      </c>
      <c r="H535" t="s">
        <v>37</v>
      </c>
      <c r="I535" t="s">
        <v>38</v>
      </c>
      <c r="J535" t="s">
        <v>51</v>
      </c>
      <c r="K535">
        <v>3</v>
      </c>
      <c r="L535">
        <v>2</v>
      </c>
      <c r="M535" t="s">
        <v>60</v>
      </c>
      <c r="N535" t="s">
        <v>61</v>
      </c>
      <c r="O535" t="s">
        <v>36</v>
      </c>
      <c r="P535" t="s">
        <v>43</v>
      </c>
      <c r="Q535">
        <v>15</v>
      </c>
      <c r="R535">
        <v>2</v>
      </c>
      <c r="S535">
        <v>5</v>
      </c>
      <c r="T535">
        <v>0</v>
      </c>
      <c r="U535">
        <v>2</v>
      </c>
      <c r="V535">
        <v>1</v>
      </c>
      <c r="W535">
        <v>86</v>
      </c>
      <c r="X535">
        <v>328</v>
      </c>
      <c r="Y535">
        <v>3425</v>
      </c>
      <c r="Z535">
        <v>3690</v>
      </c>
      <c r="AA535">
        <v>2</v>
      </c>
      <c r="AB535">
        <v>26634</v>
      </c>
      <c r="AC535" s="10">
        <v>43841</v>
      </c>
      <c r="AD535" s="10" t="s">
        <v>72</v>
      </c>
      <c r="AE535" t="s">
        <v>72</v>
      </c>
      <c r="AF535" t="s">
        <v>45</v>
      </c>
    </row>
    <row r="536" spans="1:32" x14ac:dyDescent="0.25">
      <c r="A536">
        <v>1428</v>
      </c>
      <c r="B536">
        <v>30</v>
      </c>
      <c r="C536" t="s">
        <v>43</v>
      </c>
      <c r="D536" t="s">
        <v>33</v>
      </c>
      <c r="E536" t="s">
        <v>56</v>
      </c>
      <c r="F536" t="s">
        <v>35</v>
      </c>
      <c r="G536" t="s">
        <v>59</v>
      </c>
      <c r="H536" t="s">
        <v>47</v>
      </c>
      <c r="I536" t="s">
        <v>50</v>
      </c>
      <c r="J536" t="s">
        <v>57</v>
      </c>
      <c r="K536">
        <v>1</v>
      </c>
      <c r="L536">
        <v>2</v>
      </c>
      <c r="M536" t="s">
        <v>48</v>
      </c>
      <c r="N536" t="s">
        <v>52</v>
      </c>
      <c r="O536" t="s">
        <v>53</v>
      </c>
      <c r="P536" t="s">
        <v>43</v>
      </c>
      <c r="Q536">
        <v>14</v>
      </c>
      <c r="R536">
        <v>7</v>
      </c>
      <c r="S536">
        <v>8</v>
      </c>
      <c r="T536">
        <v>0</v>
      </c>
      <c r="U536">
        <v>2</v>
      </c>
      <c r="V536">
        <v>7</v>
      </c>
      <c r="W536">
        <v>73</v>
      </c>
      <c r="X536">
        <v>855</v>
      </c>
      <c r="Y536">
        <v>12761</v>
      </c>
      <c r="Z536">
        <v>4779</v>
      </c>
      <c r="AA536">
        <v>3</v>
      </c>
      <c r="AB536">
        <v>34049</v>
      </c>
      <c r="AC536" s="10">
        <v>43841</v>
      </c>
      <c r="AD536" s="10" t="s">
        <v>72</v>
      </c>
      <c r="AE536" t="s">
        <v>72</v>
      </c>
      <c r="AF536" t="s">
        <v>45</v>
      </c>
    </row>
    <row r="537" spans="1:32" x14ac:dyDescent="0.25">
      <c r="A537">
        <v>874</v>
      </c>
      <c r="B537">
        <v>44</v>
      </c>
      <c r="C537" t="s">
        <v>43</v>
      </c>
      <c r="D537" t="s">
        <v>33</v>
      </c>
      <c r="E537" t="s">
        <v>34</v>
      </c>
      <c r="F537" t="s">
        <v>35</v>
      </c>
      <c r="G537" t="s">
        <v>36</v>
      </c>
      <c r="H537" t="s">
        <v>37</v>
      </c>
      <c r="I537" t="s">
        <v>59</v>
      </c>
      <c r="J537" t="s">
        <v>51</v>
      </c>
      <c r="K537">
        <v>4</v>
      </c>
      <c r="L537">
        <v>4</v>
      </c>
      <c r="M537" t="s">
        <v>60</v>
      </c>
      <c r="N537" t="s">
        <v>61</v>
      </c>
      <c r="O537" t="s">
        <v>36</v>
      </c>
      <c r="P537" t="s">
        <v>32</v>
      </c>
      <c r="Q537">
        <v>24</v>
      </c>
      <c r="R537">
        <v>2</v>
      </c>
      <c r="S537">
        <v>10</v>
      </c>
      <c r="T537">
        <v>0</v>
      </c>
      <c r="U537">
        <v>2</v>
      </c>
      <c r="V537">
        <v>8</v>
      </c>
      <c r="W537">
        <v>62</v>
      </c>
      <c r="X537">
        <v>986</v>
      </c>
      <c r="Y537">
        <v>5044</v>
      </c>
      <c r="Z537">
        <v>2818</v>
      </c>
      <c r="AA537">
        <v>2</v>
      </c>
      <c r="AB537">
        <v>28863</v>
      </c>
      <c r="AC537" s="10">
        <v>43897</v>
      </c>
      <c r="AD537" s="10" t="s">
        <v>72</v>
      </c>
      <c r="AE537" t="s">
        <v>72</v>
      </c>
      <c r="AF537" t="s">
        <v>55</v>
      </c>
    </row>
    <row r="538" spans="1:32" x14ac:dyDescent="0.25">
      <c r="A538">
        <v>178</v>
      </c>
      <c r="B538">
        <v>36</v>
      </c>
      <c r="C538" t="s">
        <v>43</v>
      </c>
      <c r="D538" t="s">
        <v>33</v>
      </c>
      <c r="E538" t="s">
        <v>34</v>
      </c>
      <c r="F538" t="s">
        <v>67</v>
      </c>
      <c r="G538" t="s">
        <v>38</v>
      </c>
      <c r="H538" t="s">
        <v>37</v>
      </c>
      <c r="I538" t="s">
        <v>50</v>
      </c>
      <c r="J538" t="s">
        <v>65</v>
      </c>
      <c r="K538">
        <v>2</v>
      </c>
      <c r="L538">
        <v>4</v>
      </c>
      <c r="M538" t="s">
        <v>48</v>
      </c>
      <c r="N538" t="s">
        <v>52</v>
      </c>
      <c r="O538" t="s">
        <v>53</v>
      </c>
      <c r="P538" t="s">
        <v>43</v>
      </c>
      <c r="Q538">
        <v>20</v>
      </c>
      <c r="R538">
        <v>6</v>
      </c>
      <c r="S538">
        <v>7</v>
      </c>
      <c r="T538">
        <v>0</v>
      </c>
      <c r="U538">
        <v>1</v>
      </c>
      <c r="V538">
        <v>6</v>
      </c>
      <c r="W538">
        <v>84</v>
      </c>
      <c r="X538">
        <v>216</v>
      </c>
      <c r="Y538">
        <v>2819</v>
      </c>
      <c r="Z538">
        <v>4941</v>
      </c>
      <c r="AA538">
        <v>0</v>
      </c>
      <c r="AB538">
        <v>31699</v>
      </c>
      <c r="AC538" s="10">
        <v>43956</v>
      </c>
      <c r="AD538" s="10" t="s">
        <v>72</v>
      </c>
      <c r="AE538" t="s">
        <v>72</v>
      </c>
      <c r="AF538" t="s">
        <v>45</v>
      </c>
    </row>
    <row r="539" spans="1:32" x14ac:dyDescent="0.25">
      <c r="A539">
        <v>805</v>
      </c>
      <c r="B539">
        <v>35</v>
      </c>
      <c r="C539" t="s">
        <v>43</v>
      </c>
      <c r="D539" t="s">
        <v>33</v>
      </c>
      <c r="E539" t="s">
        <v>56</v>
      </c>
      <c r="F539" t="s">
        <v>35</v>
      </c>
      <c r="G539" t="s">
        <v>36</v>
      </c>
      <c r="H539" t="s">
        <v>47</v>
      </c>
      <c r="I539" t="s">
        <v>50</v>
      </c>
      <c r="J539" t="s">
        <v>66</v>
      </c>
      <c r="K539">
        <v>4</v>
      </c>
      <c r="L539">
        <v>2</v>
      </c>
      <c r="M539" t="s">
        <v>60</v>
      </c>
      <c r="N539" t="s">
        <v>61</v>
      </c>
      <c r="O539" t="s">
        <v>36</v>
      </c>
      <c r="P539" t="s">
        <v>43</v>
      </c>
      <c r="Q539">
        <v>16</v>
      </c>
      <c r="R539">
        <v>1</v>
      </c>
      <c r="S539">
        <v>3</v>
      </c>
      <c r="T539">
        <v>0</v>
      </c>
      <c r="U539">
        <v>2</v>
      </c>
      <c r="V539">
        <v>8</v>
      </c>
      <c r="W539">
        <v>72</v>
      </c>
      <c r="X539">
        <v>384</v>
      </c>
      <c r="Y539">
        <v>20317</v>
      </c>
      <c r="Z539">
        <v>2572</v>
      </c>
      <c r="AA539">
        <v>1</v>
      </c>
      <c r="AB539">
        <v>31992</v>
      </c>
      <c r="AC539" s="10">
        <v>43967</v>
      </c>
      <c r="AD539" s="10" t="s">
        <v>72</v>
      </c>
      <c r="AE539" t="s">
        <v>72</v>
      </c>
      <c r="AF539" t="s">
        <v>45</v>
      </c>
    </row>
    <row r="540" spans="1:32" x14ac:dyDescent="0.25">
      <c r="A540">
        <v>1195</v>
      </c>
      <c r="B540">
        <v>45</v>
      </c>
      <c r="C540" t="s">
        <v>43</v>
      </c>
      <c r="D540" t="s">
        <v>33</v>
      </c>
      <c r="E540" t="s">
        <v>34</v>
      </c>
      <c r="F540" t="s">
        <v>49</v>
      </c>
      <c r="G540" t="s">
        <v>36</v>
      </c>
      <c r="H540" t="s">
        <v>47</v>
      </c>
      <c r="I540" t="s">
        <v>50</v>
      </c>
      <c r="J540" t="s">
        <v>39</v>
      </c>
      <c r="K540">
        <v>3</v>
      </c>
      <c r="L540">
        <v>2</v>
      </c>
      <c r="M540" t="s">
        <v>60</v>
      </c>
      <c r="N540" t="s">
        <v>61</v>
      </c>
      <c r="O540" t="s">
        <v>36</v>
      </c>
      <c r="P540" t="s">
        <v>32</v>
      </c>
      <c r="Q540">
        <v>19</v>
      </c>
      <c r="R540">
        <v>4</v>
      </c>
      <c r="S540">
        <v>7</v>
      </c>
      <c r="T540">
        <v>0</v>
      </c>
      <c r="U540">
        <v>2</v>
      </c>
      <c r="V540">
        <v>7</v>
      </c>
      <c r="W540">
        <v>83</v>
      </c>
      <c r="X540">
        <v>1457</v>
      </c>
      <c r="Y540">
        <v>20100</v>
      </c>
      <c r="Z540">
        <v>4477</v>
      </c>
      <c r="AA540">
        <v>2</v>
      </c>
      <c r="AB540">
        <v>28499</v>
      </c>
      <c r="AC540" s="10">
        <v>43984</v>
      </c>
      <c r="AD540" s="10" t="s">
        <v>72</v>
      </c>
      <c r="AE540" t="s">
        <v>72</v>
      </c>
      <c r="AF540" t="s">
        <v>45</v>
      </c>
    </row>
    <row r="541" spans="1:32" x14ac:dyDescent="0.25">
      <c r="A541">
        <v>544</v>
      </c>
      <c r="B541">
        <v>45</v>
      </c>
      <c r="C541" t="s">
        <v>43</v>
      </c>
      <c r="D541" t="s">
        <v>33</v>
      </c>
      <c r="E541" t="s">
        <v>34</v>
      </c>
      <c r="F541" t="s">
        <v>67</v>
      </c>
      <c r="G541" t="s">
        <v>36</v>
      </c>
      <c r="H541" t="s">
        <v>37</v>
      </c>
      <c r="I541" t="s">
        <v>50</v>
      </c>
      <c r="J541" t="s">
        <v>39</v>
      </c>
      <c r="K541">
        <v>4</v>
      </c>
      <c r="L541">
        <v>4</v>
      </c>
      <c r="M541" t="s">
        <v>60</v>
      </c>
      <c r="N541" t="s">
        <v>61</v>
      </c>
      <c r="O541" t="s">
        <v>53</v>
      </c>
      <c r="P541" t="s">
        <v>43</v>
      </c>
      <c r="Q541">
        <v>21</v>
      </c>
      <c r="R541">
        <v>3</v>
      </c>
      <c r="S541">
        <v>8</v>
      </c>
      <c r="T541">
        <v>0</v>
      </c>
      <c r="U541">
        <v>2</v>
      </c>
      <c r="V541">
        <v>10</v>
      </c>
      <c r="W541">
        <v>69</v>
      </c>
      <c r="X541">
        <v>192</v>
      </c>
      <c r="Y541">
        <v>9655</v>
      </c>
      <c r="Z541">
        <v>2654</v>
      </c>
      <c r="AA541">
        <v>3</v>
      </c>
      <c r="AB541">
        <v>28571</v>
      </c>
      <c r="AC541" s="10">
        <v>44052</v>
      </c>
      <c r="AD541" s="10" t="s">
        <v>72</v>
      </c>
      <c r="AE541" t="s">
        <v>72</v>
      </c>
      <c r="AF541" t="s">
        <v>45</v>
      </c>
    </row>
    <row r="542" spans="1:32" x14ac:dyDescent="0.25">
      <c r="A542">
        <v>806</v>
      </c>
      <c r="B542">
        <v>30</v>
      </c>
      <c r="C542" t="s">
        <v>43</v>
      </c>
      <c r="D542" t="s">
        <v>33</v>
      </c>
      <c r="E542" t="s">
        <v>34</v>
      </c>
      <c r="F542" t="s">
        <v>49</v>
      </c>
      <c r="G542" t="s">
        <v>59</v>
      </c>
      <c r="H542" t="s">
        <v>37</v>
      </c>
      <c r="I542" t="s">
        <v>36</v>
      </c>
      <c r="J542" t="s">
        <v>51</v>
      </c>
      <c r="K542">
        <v>3</v>
      </c>
      <c r="L542">
        <v>4</v>
      </c>
      <c r="M542" t="s">
        <v>48</v>
      </c>
      <c r="N542" t="s">
        <v>61</v>
      </c>
      <c r="O542" t="s">
        <v>53</v>
      </c>
      <c r="P542" t="s">
        <v>43</v>
      </c>
      <c r="Q542">
        <v>21</v>
      </c>
      <c r="R542">
        <v>3</v>
      </c>
      <c r="S542">
        <v>7</v>
      </c>
      <c r="T542">
        <v>0</v>
      </c>
      <c r="U542">
        <v>2</v>
      </c>
      <c r="V542">
        <v>1</v>
      </c>
      <c r="W542">
        <v>38</v>
      </c>
      <c r="X542">
        <v>921</v>
      </c>
      <c r="Y542">
        <v>24375</v>
      </c>
      <c r="Z542">
        <v>3833</v>
      </c>
      <c r="AA542">
        <v>2</v>
      </c>
      <c r="AB542">
        <v>33871</v>
      </c>
      <c r="AC542" s="10">
        <v>44072</v>
      </c>
      <c r="AD542" s="10" t="s">
        <v>72</v>
      </c>
      <c r="AE542" t="s">
        <v>72</v>
      </c>
      <c r="AF542" t="s">
        <v>45</v>
      </c>
    </row>
    <row r="543" spans="1:32" x14ac:dyDescent="0.25">
      <c r="A543">
        <v>1992</v>
      </c>
      <c r="B543">
        <v>25</v>
      </c>
      <c r="C543" t="s">
        <v>43</v>
      </c>
      <c r="D543" t="s">
        <v>33</v>
      </c>
      <c r="E543" t="s">
        <v>34</v>
      </c>
      <c r="F543" t="s">
        <v>64</v>
      </c>
      <c r="G543" t="s">
        <v>59</v>
      </c>
      <c r="H543" t="s">
        <v>37</v>
      </c>
      <c r="I543" t="s">
        <v>50</v>
      </c>
      <c r="J543" t="s">
        <v>51</v>
      </c>
      <c r="K543">
        <v>3</v>
      </c>
      <c r="L543">
        <v>1</v>
      </c>
      <c r="M543" t="s">
        <v>60</v>
      </c>
      <c r="N543" t="s">
        <v>52</v>
      </c>
      <c r="O543" t="s">
        <v>36</v>
      </c>
      <c r="P543" t="s">
        <v>32</v>
      </c>
      <c r="Q543">
        <v>19</v>
      </c>
      <c r="R543">
        <v>6</v>
      </c>
      <c r="S543">
        <v>7</v>
      </c>
      <c r="T543">
        <v>0</v>
      </c>
      <c r="U543">
        <v>2</v>
      </c>
      <c r="V543">
        <v>2</v>
      </c>
      <c r="W543">
        <v>57</v>
      </c>
      <c r="X543">
        <v>977</v>
      </c>
      <c r="Y543">
        <v>7298</v>
      </c>
      <c r="Z543">
        <v>3977</v>
      </c>
      <c r="AA543">
        <v>2</v>
      </c>
      <c r="AB543">
        <v>35738</v>
      </c>
      <c r="AC543" s="10">
        <v>44072</v>
      </c>
      <c r="AD543" s="10" t="s">
        <v>72</v>
      </c>
      <c r="AE543" t="s">
        <v>72</v>
      </c>
      <c r="AF543" t="s">
        <v>45</v>
      </c>
    </row>
    <row r="544" spans="1:32" x14ac:dyDescent="0.25">
      <c r="A544">
        <v>1678</v>
      </c>
      <c r="B544">
        <v>41</v>
      </c>
      <c r="C544" t="s">
        <v>43</v>
      </c>
      <c r="D544" t="s">
        <v>33</v>
      </c>
      <c r="E544" t="s">
        <v>56</v>
      </c>
      <c r="F544" t="s">
        <v>67</v>
      </c>
      <c r="G544" t="s">
        <v>59</v>
      </c>
      <c r="H544" t="s">
        <v>37</v>
      </c>
      <c r="I544" t="s">
        <v>50</v>
      </c>
      <c r="J544" t="s">
        <v>57</v>
      </c>
      <c r="K544">
        <v>3</v>
      </c>
      <c r="L544">
        <v>1</v>
      </c>
      <c r="M544" t="s">
        <v>48</v>
      </c>
      <c r="N544" t="s">
        <v>41</v>
      </c>
      <c r="O544" t="s">
        <v>42</v>
      </c>
      <c r="P544" t="s">
        <v>32</v>
      </c>
      <c r="Q544">
        <v>16</v>
      </c>
      <c r="R544">
        <v>3</v>
      </c>
      <c r="S544">
        <v>21</v>
      </c>
      <c r="T544">
        <v>0</v>
      </c>
      <c r="U544">
        <v>1</v>
      </c>
      <c r="V544">
        <v>23</v>
      </c>
      <c r="W544">
        <v>80</v>
      </c>
      <c r="X544">
        <v>1206</v>
      </c>
      <c r="Y544">
        <v>11591</v>
      </c>
      <c r="Z544">
        <v>7082</v>
      </c>
      <c r="AA544">
        <v>2</v>
      </c>
      <c r="AB544">
        <v>30122</v>
      </c>
      <c r="AC544" s="10">
        <v>44279</v>
      </c>
      <c r="AD544" s="10" t="s">
        <v>72</v>
      </c>
      <c r="AE544" t="s">
        <v>72</v>
      </c>
      <c r="AF544" t="s">
        <v>45</v>
      </c>
    </row>
    <row r="545" spans="1:32" x14ac:dyDescent="0.25">
      <c r="A545">
        <v>1352</v>
      </c>
      <c r="B545">
        <v>51</v>
      </c>
      <c r="C545" t="s">
        <v>43</v>
      </c>
      <c r="D545" t="s">
        <v>33</v>
      </c>
      <c r="E545" t="s">
        <v>68</v>
      </c>
      <c r="F545" t="s">
        <v>49</v>
      </c>
      <c r="G545" t="s">
        <v>50</v>
      </c>
      <c r="H545" t="s">
        <v>37</v>
      </c>
      <c r="I545" t="s">
        <v>50</v>
      </c>
      <c r="J545" t="s">
        <v>69</v>
      </c>
      <c r="K545">
        <v>2</v>
      </c>
      <c r="L545">
        <v>3</v>
      </c>
      <c r="M545" t="s">
        <v>48</v>
      </c>
      <c r="N545" t="s">
        <v>52</v>
      </c>
      <c r="O545" t="s">
        <v>36</v>
      </c>
      <c r="P545" t="s">
        <v>32</v>
      </c>
      <c r="Q545">
        <v>11</v>
      </c>
      <c r="R545">
        <v>1</v>
      </c>
      <c r="S545">
        <v>33</v>
      </c>
      <c r="T545">
        <v>0</v>
      </c>
      <c r="U545">
        <v>10</v>
      </c>
      <c r="V545">
        <v>5</v>
      </c>
      <c r="W545">
        <v>84</v>
      </c>
      <c r="X545">
        <v>770</v>
      </c>
      <c r="Y545">
        <v>17588</v>
      </c>
      <c r="Z545">
        <v>14026</v>
      </c>
      <c r="AA545">
        <v>2</v>
      </c>
      <c r="AB545">
        <v>26205</v>
      </c>
      <c r="AC545" s="10">
        <v>32924</v>
      </c>
      <c r="AD545" s="10" t="s">
        <v>72</v>
      </c>
      <c r="AE545" t="s">
        <v>72</v>
      </c>
      <c r="AF545" t="s">
        <v>45</v>
      </c>
    </row>
    <row r="546" spans="1:32" x14ac:dyDescent="0.25">
      <c r="A546">
        <v>638</v>
      </c>
      <c r="B546">
        <v>49</v>
      </c>
      <c r="C546" t="s">
        <v>43</v>
      </c>
      <c r="D546" t="s">
        <v>33</v>
      </c>
      <c r="E546" t="s">
        <v>34</v>
      </c>
      <c r="F546" t="s">
        <v>35</v>
      </c>
      <c r="G546" t="s">
        <v>59</v>
      </c>
      <c r="H546" t="s">
        <v>37</v>
      </c>
      <c r="I546" t="s">
        <v>38</v>
      </c>
      <c r="J546" t="s">
        <v>71</v>
      </c>
      <c r="K546">
        <v>3</v>
      </c>
      <c r="L546">
        <v>3</v>
      </c>
      <c r="M546" t="s">
        <v>48</v>
      </c>
      <c r="N546" t="s">
        <v>52</v>
      </c>
      <c r="O546" t="s">
        <v>36</v>
      </c>
      <c r="P546" t="s">
        <v>32</v>
      </c>
      <c r="Q546">
        <v>17</v>
      </c>
      <c r="R546">
        <v>1</v>
      </c>
      <c r="S546">
        <v>31</v>
      </c>
      <c r="T546">
        <v>0</v>
      </c>
      <c r="U546">
        <v>9</v>
      </c>
      <c r="V546">
        <v>18</v>
      </c>
      <c r="W546">
        <v>58</v>
      </c>
      <c r="X546">
        <v>1245</v>
      </c>
      <c r="Y546">
        <v>2125</v>
      </c>
      <c r="Z546">
        <v>19502</v>
      </c>
      <c r="AA546">
        <v>5</v>
      </c>
      <c r="AB546">
        <v>27236</v>
      </c>
      <c r="AC546" s="10">
        <v>33615</v>
      </c>
      <c r="AD546" s="10" t="s">
        <v>72</v>
      </c>
      <c r="AE546" t="s">
        <v>72</v>
      </c>
      <c r="AF546" t="s">
        <v>45</v>
      </c>
    </row>
    <row r="547" spans="1:32" x14ac:dyDescent="0.25">
      <c r="A547">
        <v>1602</v>
      </c>
      <c r="B547">
        <v>46</v>
      </c>
      <c r="C547" t="s">
        <v>43</v>
      </c>
      <c r="D547" t="s">
        <v>33</v>
      </c>
      <c r="E547" t="s">
        <v>56</v>
      </c>
      <c r="F547" t="s">
        <v>35</v>
      </c>
      <c r="G547" t="s">
        <v>59</v>
      </c>
      <c r="H547" t="s">
        <v>37</v>
      </c>
      <c r="I547" t="s">
        <v>59</v>
      </c>
      <c r="J547" t="s">
        <v>69</v>
      </c>
      <c r="K547">
        <v>1</v>
      </c>
      <c r="L547">
        <v>3</v>
      </c>
      <c r="M547" t="s">
        <v>40</v>
      </c>
      <c r="N547" t="s">
        <v>41</v>
      </c>
      <c r="O547" t="s">
        <v>42</v>
      </c>
      <c r="P547" t="s">
        <v>43</v>
      </c>
      <c r="Q547">
        <v>15</v>
      </c>
      <c r="R547">
        <v>1</v>
      </c>
      <c r="S547">
        <v>27</v>
      </c>
      <c r="T547">
        <v>0</v>
      </c>
      <c r="U547">
        <v>12</v>
      </c>
      <c r="V547">
        <v>1</v>
      </c>
      <c r="W547">
        <v>56</v>
      </c>
      <c r="X547">
        <v>563</v>
      </c>
      <c r="Y547">
        <v>3156</v>
      </c>
      <c r="Z547">
        <v>17567</v>
      </c>
      <c r="AA547">
        <v>5</v>
      </c>
      <c r="AB547">
        <v>28168</v>
      </c>
      <c r="AC547" s="10">
        <v>35295</v>
      </c>
      <c r="AD547" s="10" t="s">
        <v>72</v>
      </c>
      <c r="AE547" t="s">
        <v>72</v>
      </c>
      <c r="AF547" t="s">
        <v>45</v>
      </c>
    </row>
    <row r="548" spans="1:32" x14ac:dyDescent="0.25">
      <c r="A548">
        <v>410</v>
      </c>
      <c r="B548">
        <v>41</v>
      </c>
      <c r="C548" t="s">
        <v>43</v>
      </c>
      <c r="D548" t="s">
        <v>33</v>
      </c>
      <c r="E548" t="s">
        <v>56</v>
      </c>
      <c r="F548" t="s">
        <v>35</v>
      </c>
      <c r="G548" t="s">
        <v>59</v>
      </c>
      <c r="H548" t="s">
        <v>37</v>
      </c>
      <c r="I548" t="s">
        <v>50</v>
      </c>
      <c r="J548" t="s">
        <v>69</v>
      </c>
      <c r="K548">
        <v>2</v>
      </c>
      <c r="L548">
        <v>3</v>
      </c>
      <c r="M548" t="s">
        <v>48</v>
      </c>
      <c r="N548" t="s">
        <v>41</v>
      </c>
      <c r="O548" t="s">
        <v>42</v>
      </c>
      <c r="P548" t="s">
        <v>43</v>
      </c>
      <c r="Q548">
        <v>19</v>
      </c>
      <c r="R548">
        <v>1</v>
      </c>
      <c r="S548">
        <v>22</v>
      </c>
      <c r="T548">
        <v>0</v>
      </c>
      <c r="U548">
        <v>4</v>
      </c>
      <c r="V548">
        <v>2</v>
      </c>
      <c r="W548">
        <v>88</v>
      </c>
      <c r="X548">
        <v>334</v>
      </c>
      <c r="Y548">
        <v>15896</v>
      </c>
      <c r="Z548">
        <v>16015</v>
      </c>
      <c r="AA548">
        <v>2</v>
      </c>
      <c r="AB548">
        <v>29878</v>
      </c>
      <c r="AC548" s="10">
        <v>37095</v>
      </c>
      <c r="AD548" s="10" t="s">
        <v>72</v>
      </c>
      <c r="AE548" t="s">
        <v>72</v>
      </c>
      <c r="AF548" t="s">
        <v>55</v>
      </c>
    </row>
    <row r="549" spans="1:32" x14ac:dyDescent="0.25">
      <c r="A549">
        <v>206</v>
      </c>
      <c r="B549">
        <v>45</v>
      </c>
      <c r="C549" t="s">
        <v>43</v>
      </c>
      <c r="D549" t="s">
        <v>33</v>
      </c>
      <c r="E549" t="s">
        <v>34</v>
      </c>
      <c r="F549" t="s">
        <v>49</v>
      </c>
      <c r="G549" t="s">
        <v>38</v>
      </c>
      <c r="H549" t="s">
        <v>37</v>
      </c>
      <c r="I549" t="s">
        <v>50</v>
      </c>
      <c r="J549" t="s">
        <v>51</v>
      </c>
      <c r="K549">
        <v>2</v>
      </c>
      <c r="L549">
        <v>3</v>
      </c>
      <c r="M549" t="s">
        <v>40</v>
      </c>
      <c r="N549" t="s">
        <v>52</v>
      </c>
      <c r="O549" t="s">
        <v>36</v>
      </c>
      <c r="P549" t="s">
        <v>43</v>
      </c>
      <c r="Q549">
        <v>18</v>
      </c>
      <c r="R549">
        <v>8</v>
      </c>
      <c r="S549">
        <v>20</v>
      </c>
      <c r="T549">
        <v>0</v>
      </c>
      <c r="U549">
        <v>15</v>
      </c>
      <c r="V549">
        <v>9</v>
      </c>
      <c r="W549">
        <v>60</v>
      </c>
      <c r="X549">
        <v>194</v>
      </c>
      <c r="Y549">
        <v>10901</v>
      </c>
      <c r="Z549">
        <v>2348</v>
      </c>
      <c r="AA549">
        <v>2</v>
      </c>
      <c r="AB549">
        <v>28534</v>
      </c>
      <c r="AC549" s="10">
        <v>38811</v>
      </c>
      <c r="AD549" s="10" t="s">
        <v>72</v>
      </c>
      <c r="AE549" t="s">
        <v>72</v>
      </c>
      <c r="AF549" t="s">
        <v>55</v>
      </c>
    </row>
    <row r="550" spans="1:32" x14ac:dyDescent="0.25">
      <c r="A550">
        <v>464</v>
      </c>
      <c r="B550">
        <v>35</v>
      </c>
      <c r="C550" t="s">
        <v>43</v>
      </c>
      <c r="D550" t="s">
        <v>33</v>
      </c>
      <c r="E550" t="s">
        <v>34</v>
      </c>
      <c r="F550" t="s">
        <v>35</v>
      </c>
      <c r="G550" t="s">
        <v>50</v>
      </c>
      <c r="H550" t="s">
        <v>37</v>
      </c>
      <c r="I550" t="s">
        <v>50</v>
      </c>
      <c r="J550" t="s">
        <v>65</v>
      </c>
      <c r="K550">
        <v>2</v>
      </c>
      <c r="L550">
        <v>3</v>
      </c>
      <c r="M550" t="s">
        <v>48</v>
      </c>
      <c r="N550" t="s">
        <v>41</v>
      </c>
      <c r="O550" t="s">
        <v>42</v>
      </c>
      <c r="P550" t="s">
        <v>43</v>
      </c>
      <c r="Q550">
        <v>13</v>
      </c>
      <c r="R550">
        <v>0</v>
      </c>
      <c r="S550">
        <v>17</v>
      </c>
      <c r="T550">
        <v>0</v>
      </c>
      <c r="U550">
        <v>13</v>
      </c>
      <c r="V550">
        <v>5</v>
      </c>
      <c r="W550">
        <v>62</v>
      </c>
      <c r="X550">
        <v>1296</v>
      </c>
      <c r="Y550">
        <v>18264</v>
      </c>
      <c r="Z550">
        <v>8095</v>
      </c>
      <c r="AA550">
        <v>5</v>
      </c>
      <c r="AB550">
        <v>32183</v>
      </c>
      <c r="AC550" s="10">
        <v>39110</v>
      </c>
      <c r="AD550" s="10" t="s">
        <v>72</v>
      </c>
      <c r="AE550" t="s">
        <v>72</v>
      </c>
      <c r="AF550" t="s">
        <v>45</v>
      </c>
    </row>
    <row r="551" spans="1:32" x14ac:dyDescent="0.25">
      <c r="A551">
        <v>1047</v>
      </c>
      <c r="B551">
        <v>34</v>
      </c>
      <c r="C551" t="s">
        <v>43</v>
      </c>
      <c r="D551" t="s">
        <v>33</v>
      </c>
      <c r="E551" t="s">
        <v>56</v>
      </c>
      <c r="F551" t="s">
        <v>35</v>
      </c>
      <c r="G551" t="s">
        <v>38</v>
      </c>
      <c r="H551" t="s">
        <v>37</v>
      </c>
      <c r="I551" t="s">
        <v>59</v>
      </c>
      <c r="J551" t="s">
        <v>57</v>
      </c>
      <c r="K551">
        <v>4</v>
      </c>
      <c r="L551">
        <v>3</v>
      </c>
      <c r="M551" t="s">
        <v>60</v>
      </c>
      <c r="N551" t="s">
        <v>52</v>
      </c>
      <c r="O551" t="s">
        <v>36</v>
      </c>
      <c r="P551" t="s">
        <v>43</v>
      </c>
      <c r="Q551">
        <v>11</v>
      </c>
      <c r="R551">
        <v>0</v>
      </c>
      <c r="S551">
        <v>16</v>
      </c>
      <c r="T551">
        <v>0</v>
      </c>
      <c r="U551">
        <v>9</v>
      </c>
      <c r="V551">
        <v>1</v>
      </c>
      <c r="W551">
        <v>75</v>
      </c>
      <c r="X551">
        <v>216</v>
      </c>
      <c r="Y551">
        <v>12278</v>
      </c>
      <c r="Z551">
        <v>9725</v>
      </c>
      <c r="AA551">
        <v>2</v>
      </c>
      <c r="AB551">
        <v>32495</v>
      </c>
      <c r="AC551" s="10">
        <v>39550</v>
      </c>
      <c r="AD551" s="10" t="s">
        <v>72</v>
      </c>
      <c r="AE551" t="s">
        <v>72</v>
      </c>
      <c r="AF551" t="s">
        <v>45</v>
      </c>
    </row>
    <row r="552" spans="1:32" x14ac:dyDescent="0.25">
      <c r="A552">
        <v>1280</v>
      </c>
      <c r="B552">
        <v>46</v>
      </c>
      <c r="C552" t="s">
        <v>43</v>
      </c>
      <c r="D552" t="s">
        <v>33</v>
      </c>
      <c r="E552" t="s">
        <v>56</v>
      </c>
      <c r="F552" t="s">
        <v>67</v>
      </c>
      <c r="G552" t="s">
        <v>59</v>
      </c>
      <c r="H552" t="s">
        <v>47</v>
      </c>
      <c r="I552" t="s">
        <v>38</v>
      </c>
      <c r="J552" t="s">
        <v>69</v>
      </c>
      <c r="K552">
        <v>2</v>
      </c>
      <c r="L552">
        <v>3</v>
      </c>
      <c r="M552" t="s">
        <v>48</v>
      </c>
      <c r="N552" t="s">
        <v>61</v>
      </c>
      <c r="O552" t="s">
        <v>36</v>
      </c>
      <c r="P552" t="s">
        <v>43</v>
      </c>
      <c r="Q552">
        <v>14</v>
      </c>
      <c r="R552">
        <v>2</v>
      </c>
      <c r="S552">
        <v>26</v>
      </c>
      <c r="T552">
        <v>0</v>
      </c>
      <c r="U552">
        <v>8</v>
      </c>
      <c r="V552">
        <v>4</v>
      </c>
      <c r="W552">
        <v>33</v>
      </c>
      <c r="X552">
        <v>168</v>
      </c>
      <c r="Y552">
        <v>9946</v>
      </c>
      <c r="Z552">
        <v>18789</v>
      </c>
      <c r="AA552">
        <v>2</v>
      </c>
      <c r="AB552">
        <v>28194</v>
      </c>
      <c r="AC552" s="10">
        <v>41033</v>
      </c>
      <c r="AD552" s="10" t="s">
        <v>72</v>
      </c>
      <c r="AE552" t="s">
        <v>72</v>
      </c>
      <c r="AF552" t="s">
        <v>45</v>
      </c>
    </row>
    <row r="553" spans="1:32" x14ac:dyDescent="0.25">
      <c r="A553">
        <v>534</v>
      </c>
      <c r="B553">
        <v>41</v>
      </c>
      <c r="C553" t="s">
        <v>43</v>
      </c>
      <c r="D553" t="s">
        <v>33</v>
      </c>
      <c r="E553" t="s">
        <v>56</v>
      </c>
      <c r="F553" t="s">
        <v>49</v>
      </c>
      <c r="G553" t="s">
        <v>38</v>
      </c>
      <c r="H553" t="s">
        <v>37</v>
      </c>
      <c r="I553" t="s">
        <v>59</v>
      </c>
      <c r="J553" t="s">
        <v>57</v>
      </c>
      <c r="K553">
        <v>1</v>
      </c>
      <c r="L553">
        <v>3</v>
      </c>
      <c r="M553" t="s">
        <v>48</v>
      </c>
      <c r="N553" t="s">
        <v>61</v>
      </c>
      <c r="O553" t="s">
        <v>36</v>
      </c>
      <c r="P553" t="s">
        <v>43</v>
      </c>
      <c r="Q553">
        <v>16</v>
      </c>
      <c r="R553">
        <v>1</v>
      </c>
      <c r="S553">
        <v>10</v>
      </c>
      <c r="T553">
        <v>0</v>
      </c>
      <c r="U553">
        <v>7</v>
      </c>
      <c r="V553">
        <v>1</v>
      </c>
      <c r="W553">
        <v>49</v>
      </c>
      <c r="X553">
        <v>645</v>
      </c>
      <c r="Y553">
        <v>19566</v>
      </c>
      <c r="Z553">
        <v>8392</v>
      </c>
      <c r="AA553">
        <v>2</v>
      </c>
      <c r="AB553">
        <v>29966</v>
      </c>
      <c r="AC553" s="10">
        <v>41134</v>
      </c>
      <c r="AD553" s="10" t="s">
        <v>72</v>
      </c>
      <c r="AE553" t="s">
        <v>72</v>
      </c>
      <c r="AF553" t="s">
        <v>45</v>
      </c>
    </row>
    <row r="554" spans="1:32" x14ac:dyDescent="0.25">
      <c r="A554">
        <v>722</v>
      </c>
      <c r="B554">
        <v>32</v>
      </c>
      <c r="C554" t="s">
        <v>43</v>
      </c>
      <c r="D554" t="s">
        <v>33</v>
      </c>
      <c r="E554" t="s">
        <v>56</v>
      </c>
      <c r="F554" t="s">
        <v>49</v>
      </c>
      <c r="G554" t="s">
        <v>59</v>
      </c>
      <c r="H554" t="s">
        <v>37</v>
      </c>
      <c r="I554" t="s">
        <v>50</v>
      </c>
      <c r="J554" t="s">
        <v>57</v>
      </c>
      <c r="K554">
        <v>4</v>
      </c>
      <c r="L554">
        <v>3</v>
      </c>
      <c r="M554" t="s">
        <v>60</v>
      </c>
      <c r="N554" t="s">
        <v>41</v>
      </c>
      <c r="O554" t="s">
        <v>42</v>
      </c>
      <c r="P554" t="s">
        <v>43</v>
      </c>
      <c r="Q554">
        <v>12</v>
      </c>
      <c r="R554">
        <v>1</v>
      </c>
      <c r="S554">
        <v>10</v>
      </c>
      <c r="T554">
        <v>0</v>
      </c>
      <c r="U554">
        <v>8</v>
      </c>
      <c r="V554">
        <v>10</v>
      </c>
      <c r="W554">
        <v>55</v>
      </c>
      <c r="X554">
        <v>929</v>
      </c>
      <c r="Y554">
        <v>21703</v>
      </c>
      <c r="Z554">
        <v>5396</v>
      </c>
      <c r="AA554">
        <v>2</v>
      </c>
      <c r="AB554">
        <v>33389</v>
      </c>
      <c r="AC554" s="10">
        <v>41139</v>
      </c>
      <c r="AD554" s="10" t="s">
        <v>72</v>
      </c>
      <c r="AE554" t="s">
        <v>72</v>
      </c>
      <c r="AF554" t="s">
        <v>45</v>
      </c>
    </row>
    <row r="555" spans="1:32" x14ac:dyDescent="0.25">
      <c r="A555">
        <v>1363</v>
      </c>
      <c r="B555">
        <v>48</v>
      </c>
      <c r="C555" t="s">
        <v>43</v>
      </c>
      <c r="D555" t="s">
        <v>33</v>
      </c>
      <c r="E555" t="s">
        <v>34</v>
      </c>
      <c r="F555" t="s">
        <v>49</v>
      </c>
      <c r="G555" t="s">
        <v>59</v>
      </c>
      <c r="H555" t="s">
        <v>37</v>
      </c>
      <c r="I555" t="s">
        <v>50</v>
      </c>
      <c r="J555" t="s">
        <v>65</v>
      </c>
      <c r="K555">
        <v>4</v>
      </c>
      <c r="L555">
        <v>3</v>
      </c>
      <c r="M555" t="s">
        <v>48</v>
      </c>
      <c r="N555" t="s">
        <v>41</v>
      </c>
      <c r="O555" t="s">
        <v>42</v>
      </c>
      <c r="P555" t="s">
        <v>43</v>
      </c>
      <c r="Q555">
        <v>11</v>
      </c>
      <c r="R555">
        <v>1</v>
      </c>
      <c r="S555">
        <v>11</v>
      </c>
      <c r="T555">
        <v>0</v>
      </c>
      <c r="U555">
        <v>8</v>
      </c>
      <c r="V555">
        <v>4</v>
      </c>
      <c r="W555">
        <v>54</v>
      </c>
      <c r="X555">
        <v>855</v>
      </c>
      <c r="Y555">
        <v>18706</v>
      </c>
      <c r="Z555">
        <v>7898</v>
      </c>
      <c r="AA555">
        <v>2</v>
      </c>
      <c r="AB555">
        <v>27519</v>
      </c>
      <c r="AC555" s="10">
        <v>41166</v>
      </c>
      <c r="AD555" s="10" t="s">
        <v>72</v>
      </c>
      <c r="AE555" t="s">
        <v>72</v>
      </c>
      <c r="AF555" t="s">
        <v>55</v>
      </c>
    </row>
    <row r="556" spans="1:32" x14ac:dyDescent="0.25">
      <c r="A556">
        <v>1971</v>
      </c>
      <c r="B556">
        <v>43</v>
      </c>
      <c r="C556" t="s">
        <v>43</v>
      </c>
      <c r="D556" t="s">
        <v>33</v>
      </c>
      <c r="E556" t="s">
        <v>34</v>
      </c>
      <c r="F556" t="s">
        <v>49</v>
      </c>
      <c r="G556" t="s">
        <v>36</v>
      </c>
      <c r="H556" t="s">
        <v>37</v>
      </c>
      <c r="I556" t="s">
        <v>50</v>
      </c>
      <c r="J556" t="s">
        <v>62</v>
      </c>
      <c r="K556">
        <v>3</v>
      </c>
      <c r="L556">
        <v>3</v>
      </c>
      <c r="M556" t="s">
        <v>48</v>
      </c>
      <c r="N556" t="s">
        <v>61</v>
      </c>
      <c r="O556" t="s">
        <v>36</v>
      </c>
      <c r="P556" t="s">
        <v>43</v>
      </c>
      <c r="Q556">
        <v>17</v>
      </c>
      <c r="R556">
        <v>1</v>
      </c>
      <c r="S556">
        <v>10</v>
      </c>
      <c r="T556">
        <v>0</v>
      </c>
      <c r="U556">
        <v>9</v>
      </c>
      <c r="V556">
        <v>11</v>
      </c>
      <c r="W556">
        <v>30</v>
      </c>
      <c r="X556">
        <v>574</v>
      </c>
      <c r="Y556">
        <v>16873</v>
      </c>
      <c r="Z556">
        <v>7510</v>
      </c>
      <c r="AA556">
        <v>1</v>
      </c>
      <c r="AB556">
        <v>29262</v>
      </c>
      <c r="AC556" s="10">
        <v>41169</v>
      </c>
      <c r="AD556" s="10" t="s">
        <v>72</v>
      </c>
      <c r="AE556" t="s">
        <v>72</v>
      </c>
      <c r="AF556" t="s">
        <v>45</v>
      </c>
    </row>
    <row r="557" spans="1:32" x14ac:dyDescent="0.25">
      <c r="A557">
        <v>564</v>
      </c>
      <c r="B557">
        <v>29</v>
      </c>
      <c r="C557" t="s">
        <v>43</v>
      </c>
      <c r="D557" t="s">
        <v>33</v>
      </c>
      <c r="E557" t="s">
        <v>34</v>
      </c>
      <c r="F557" t="s">
        <v>35</v>
      </c>
      <c r="G557" t="s">
        <v>38</v>
      </c>
      <c r="H557" t="s">
        <v>37</v>
      </c>
      <c r="I557" t="s">
        <v>38</v>
      </c>
      <c r="J557" t="s">
        <v>71</v>
      </c>
      <c r="K557">
        <v>3</v>
      </c>
      <c r="L557">
        <v>3</v>
      </c>
      <c r="M557" t="s">
        <v>48</v>
      </c>
      <c r="N557" t="s">
        <v>61</v>
      </c>
      <c r="O557" t="s">
        <v>42</v>
      </c>
      <c r="P557" t="s">
        <v>43</v>
      </c>
      <c r="Q557">
        <v>18</v>
      </c>
      <c r="R557">
        <v>1</v>
      </c>
      <c r="S557">
        <v>10</v>
      </c>
      <c r="T557">
        <v>0</v>
      </c>
      <c r="U557">
        <v>7</v>
      </c>
      <c r="V557">
        <v>3</v>
      </c>
      <c r="W557">
        <v>93</v>
      </c>
      <c r="X557">
        <v>986</v>
      </c>
      <c r="Y557">
        <v>21526</v>
      </c>
      <c r="Z557">
        <v>11935</v>
      </c>
      <c r="AA557">
        <v>2</v>
      </c>
      <c r="AB557">
        <v>34243</v>
      </c>
      <c r="AC557" s="10">
        <v>41175</v>
      </c>
      <c r="AD557" s="10" t="s">
        <v>72</v>
      </c>
      <c r="AE557" t="s">
        <v>72</v>
      </c>
      <c r="AF557" t="s">
        <v>55</v>
      </c>
    </row>
    <row r="558" spans="1:32" x14ac:dyDescent="0.25">
      <c r="A558">
        <v>1732</v>
      </c>
      <c r="B558">
        <v>46</v>
      </c>
      <c r="C558" t="s">
        <v>43</v>
      </c>
      <c r="D558" t="s">
        <v>33</v>
      </c>
      <c r="E558" t="s">
        <v>56</v>
      </c>
      <c r="F558" t="s">
        <v>49</v>
      </c>
      <c r="G558" t="s">
        <v>50</v>
      </c>
      <c r="H558" t="s">
        <v>37</v>
      </c>
      <c r="I558" t="s">
        <v>50</v>
      </c>
      <c r="J558" t="s">
        <v>57</v>
      </c>
      <c r="K558">
        <v>4</v>
      </c>
      <c r="L558">
        <v>3</v>
      </c>
      <c r="M558" t="s">
        <v>60</v>
      </c>
      <c r="N558" t="s">
        <v>52</v>
      </c>
      <c r="O558" t="s">
        <v>36</v>
      </c>
      <c r="P558" t="s">
        <v>32</v>
      </c>
      <c r="Q558">
        <v>12</v>
      </c>
      <c r="R558">
        <v>4</v>
      </c>
      <c r="S558">
        <v>13</v>
      </c>
      <c r="T558">
        <v>0</v>
      </c>
      <c r="U558">
        <v>3</v>
      </c>
      <c r="V558">
        <v>2</v>
      </c>
      <c r="W558">
        <v>74</v>
      </c>
      <c r="X558">
        <v>1277</v>
      </c>
      <c r="Y558">
        <v>5596</v>
      </c>
      <c r="Z558">
        <v>10368</v>
      </c>
      <c r="AA558">
        <v>5</v>
      </c>
      <c r="AB558">
        <v>28313</v>
      </c>
      <c r="AC558" s="10">
        <v>41203</v>
      </c>
      <c r="AD558" s="10" t="s">
        <v>72</v>
      </c>
      <c r="AE558" t="s">
        <v>72</v>
      </c>
      <c r="AF558" t="s">
        <v>55</v>
      </c>
    </row>
    <row r="559" spans="1:32" x14ac:dyDescent="0.25">
      <c r="A559">
        <v>1304</v>
      </c>
      <c r="B559">
        <v>32</v>
      </c>
      <c r="C559" t="s">
        <v>43</v>
      </c>
      <c r="D559" t="s">
        <v>33</v>
      </c>
      <c r="E559" t="s">
        <v>56</v>
      </c>
      <c r="F559" t="s">
        <v>49</v>
      </c>
      <c r="G559" t="s">
        <v>50</v>
      </c>
      <c r="H559" t="s">
        <v>37</v>
      </c>
      <c r="I559" t="s">
        <v>59</v>
      </c>
      <c r="J559" t="s">
        <v>57</v>
      </c>
      <c r="K559">
        <v>4</v>
      </c>
      <c r="L559">
        <v>3</v>
      </c>
      <c r="M559" t="s">
        <v>58</v>
      </c>
      <c r="N559" t="s">
        <v>61</v>
      </c>
      <c r="O559" t="s">
        <v>53</v>
      </c>
      <c r="P559" t="s">
        <v>43</v>
      </c>
      <c r="Q559">
        <v>15</v>
      </c>
      <c r="R559">
        <v>1</v>
      </c>
      <c r="S559">
        <v>10</v>
      </c>
      <c r="T559">
        <v>0</v>
      </c>
      <c r="U559">
        <v>8</v>
      </c>
      <c r="V559">
        <v>8</v>
      </c>
      <c r="W559">
        <v>56</v>
      </c>
      <c r="X559">
        <v>604</v>
      </c>
      <c r="Y559">
        <v>11693</v>
      </c>
      <c r="Z559">
        <v>6209</v>
      </c>
      <c r="AA559">
        <v>4</v>
      </c>
      <c r="AB559">
        <v>33275</v>
      </c>
      <c r="AC559" s="10">
        <v>41233</v>
      </c>
      <c r="AD559" s="10" t="s">
        <v>72</v>
      </c>
      <c r="AE559" t="s">
        <v>72</v>
      </c>
      <c r="AF559" t="s">
        <v>45</v>
      </c>
    </row>
    <row r="560" spans="1:32" x14ac:dyDescent="0.25">
      <c r="A560">
        <v>1497</v>
      </c>
      <c r="B560">
        <v>29</v>
      </c>
      <c r="C560" t="s">
        <v>43</v>
      </c>
      <c r="D560" t="s">
        <v>33</v>
      </c>
      <c r="E560" t="s">
        <v>56</v>
      </c>
      <c r="F560" t="s">
        <v>49</v>
      </c>
      <c r="G560" t="s">
        <v>50</v>
      </c>
      <c r="H560" t="s">
        <v>37</v>
      </c>
      <c r="I560" t="s">
        <v>38</v>
      </c>
      <c r="J560" t="s">
        <v>57</v>
      </c>
      <c r="K560">
        <v>3</v>
      </c>
      <c r="L560">
        <v>3</v>
      </c>
      <c r="M560" t="s">
        <v>48</v>
      </c>
      <c r="N560" t="s">
        <v>52</v>
      </c>
      <c r="O560" t="s">
        <v>53</v>
      </c>
      <c r="P560" t="s">
        <v>43</v>
      </c>
      <c r="Q560">
        <v>14</v>
      </c>
      <c r="R560">
        <v>1</v>
      </c>
      <c r="S560">
        <v>10</v>
      </c>
      <c r="T560">
        <v>0</v>
      </c>
      <c r="U560">
        <v>4</v>
      </c>
      <c r="V560">
        <v>19</v>
      </c>
      <c r="W560">
        <v>77</v>
      </c>
      <c r="X560">
        <v>1246</v>
      </c>
      <c r="Y560">
        <v>23757</v>
      </c>
      <c r="Z560">
        <v>8620</v>
      </c>
      <c r="AA560">
        <v>3</v>
      </c>
      <c r="AB560">
        <v>34284</v>
      </c>
      <c r="AC560" s="10">
        <v>41245</v>
      </c>
      <c r="AD560" s="10" t="s">
        <v>72</v>
      </c>
      <c r="AE560" t="s">
        <v>72</v>
      </c>
      <c r="AF560" t="s">
        <v>45</v>
      </c>
    </row>
    <row r="561" spans="1:32" x14ac:dyDescent="0.25">
      <c r="A561">
        <v>421</v>
      </c>
      <c r="B561">
        <v>38</v>
      </c>
      <c r="C561" t="s">
        <v>43</v>
      </c>
      <c r="D561" t="s">
        <v>33</v>
      </c>
      <c r="E561" t="s">
        <v>34</v>
      </c>
      <c r="F561" t="s">
        <v>67</v>
      </c>
      <c r="G561" t="s">
        <v>36</v>
      </c>
      <c r="H561" t="s">
        <v>47</v>
      </c>
      <c r="I561" t="s">
        <v>38</v>
      </c>
      <c r="J561" t="s">
        <v>71</v>
      </c>
      <c r="K561">
        <v>2</v>
      </c>
      <c r="L561">
        <v>3</v>
      </c>
      <c r="M561" t="s">
        <v>48</v>
      </c>
      <c r="N561" t="s">
        <v>61</v>
      </c>
      <c r="O561" t="s">
        <v>36</v>
      </c>
      <c r="P561" t="s">
        <v>43</v>
      </c>
      <c r="Q561">
        <v>17</v>
      </c>
      <c r="R561">
        <v>3</v>
      </c>
      <c r="S561">
        <v>19</v>
      </c>
      <c r="T561">
        <v>0</v>
      </c>
      <c r="U561">
        <v>1</v>
      </c>
      <c r="V561">
        <v>25</v>
      </c>
      <c r="W561">
        <v>81</v>
      </c>
      <c r="X561">
        <v>849</v>
      </c>
      <c r="Y561">
        <v>26707</v>
      </c>
      <c r="Z561">
        <v>12061</v>
      </c>
      <c r="AA561">
        <v>2</v>
      </c>
      <c r="AB561">
        <v>31112</v>
      </c>
      <c r="AC561" s="10">
        <v>41261</v>
      </c>
      <c r="AD561" s="10" t="s">
        <v>72</v>
      </c>
      <c r="AE561" t="s">
        <v>72</v>
      </c>
      <c r="AF561" t="s">
        <v>45</v>
      </c>
    </row>
    <row r="562" spans="1:32" x14ac:dyDescent="0.25">
      <c r="A562">
        <v>96</v>
      </c>
      <c r="B562">
        <v>32</v>
      </c>
      <c r="C562" t="s">
        <v>43</v>
      </c>
      <c r="D562" t="s">
        <v>33</v>
      </c>
      <c r="E562" t="s">
        <v>34</v>
      </c>
      <c r="F562" t="s">
        <v>49</v>
      </c>
      <c r="G562" t="s">
        <v>38</v>
      </c>
      <c r="H562" t="s">
        <v>37</v>
      </c>
      <c r="I562" t="s">
        <v>50</v>
      </c>
      <c r="J562" t="s">
        <v>39</v>
      </c>
      <c r="K562">
        <v>2</v>
      </c>
      <c r="L562">
        <v>3</v>
      </c>
      <c r="M562" t="s">
        <v>48</v>
      </c>
      <c r="N562" t="s">
        <v>61</v>
      </c>
      <c r="O562" t="s">
        <v>53</v>
      </c>
      <c r="P562" t="s">
        <v>43</v>
      </c>
      <c r="Q562">
        <v>17</v>
      </c>
      <c r="R562">
        <v>1</v>
      </c>
      <c r="S562">
        <v>10</v>
      </c>
      <c r="T562">
        <v>0</v>
      </c>
      <c r="U562">
        <v>9</v>
      </c>
      <c r="V562">
        <v>1</v>
      </c>
      <c r="W562">
        <v>66</v>
      </c>
      <c r="X562">
        <v>548</v>
      </c>
      <c r="Y562">
        <v>7346</v>
      </c>
      <c r="Z562">
        <v>6220</v>
      </c>
      <c r="AA562">
        <v>3</v>
      </c>
      <c r="AB562">
        <v>33235</v>
      </c>
      <c r="AC562" s="10">
        <v>41279</v>
      </c>
      <c r="AD562" s="10" t="s">
        <v>72</v>
      </c>
      <c r="AE562" t="s">
        <v>72</v>
      </c>
      <c r="AF562" t="s">
        <v>45</v>
      </c>
    </row>
    <row r="563" spans="1:32" x14ac:dyDescent="0.25">
      <c r="A563">
        <v>1729</v>
      </c>
      <c r="B563">
        <v>30</v>
      </c>
      <c r="C563" t="s">
        <v>43</v>
      </c>
      <c r="D563" t="s">
        <v>33</v>
      </c>
      <c r="E563" t="s">
        <v>34</v>
      </c>
      <c r="F563" t="s">
        <v>64</v>
      </c>
      <c r="G563" t="s">
        <v>38</v>
      </c>
      <c r="H563" t="s">
        <v>37</v>
      </c>
      <c r="I563" t="s">
        <v>50</v>
      </c>
      <c r="J563" t="s">
        <v>39</v>
      </c>
      <c r="K563">
        <v>4</v>
      </c>
      <c r="L563">
        <v>3</v>
      </c>
      <c r="M563" t="s">
        <v>60</v>
      </c>
      <c r="N563" t="s">
        <v>61</v>
      </c>
      <c r="O563" t="s">
        <v>36</v>
      </c>
      <c r="P563" t="s">
        <v>43</v>
      </c>
      <c r="Q563">
        <v>12</v>
      </c>
      <c r="R563">
        <v>1</v>
      </c>
      <c r="S563">
        <v>10</v>
      </c>
      <c r="T563">
        <v>0</v>
      </c>
      <c r="U563">
        <v>8</v>
      </c>
      <c r="V563">
        <v>16</v>
      </c>
      <c r="W563">
        <v>33</v>
      </c>
      <c r="X563">
        <v>793</v>
      </c>
      <c r="Y563">
        <v>3811</v>
      </c>
      <c r="Z563">
        <v>2862</v>
      </c>
      <c r="AA563">
        <v>2</v>
      </c>
      <c r="AB563">
        <v>34018</v>
      </c>
      <c r="AC563" s="10">
        <v>41326</v>
      </c>
      <c r="AD563" s="10" t="s">
        <v>72</v>
      </c>
      <c r="AE563" t="s">
        <v>72</v>
      </c>
      <c r="AF563" t="s">
        <v>45</v>
      </c>
    </row>
    <row r="564" spans="1:32" x14ac:dyDescent="0.25">
      <c r="A564">
        <v>1013</v>
      </c>
      <c r="B564">
        <v>54</v>
      </c>
      <c r="C564" t="s">
        <v>43</v>
      </c>
      <c r="D564" t="s">
        <v>33</v>
      </c>
      <c r="E564" t="s">
        <v>34</v>
      </c>
      <c r="F564" t="s">
        <v>49</v>
      </c>
      <c r="G564" t="s">
        <v>50</v>
      </c>
      <c r="H564" t="s">
        <v>47</v>
      </c>
      <c r="I564" t="s">
        <v>50</v>
      </c>
      <c r="J564" t="s">
        <v>65</v>
      </c>
      <c r="K564">
        <v>3</v>
      </c>
      <c r="L564">
        <v>3</v>
      </c>
      <c r="M564" t="s">
        <v>48</v>
      </c>
      <c r="N564" t="s">
        <v>61</v>
      </c>
      <c r="O564" t="s">
        <v>36</v>
      </c>
      <c r="P564" t="s">
        <v>43</v>
      </c>
      <c r="Q564">
        <v>11</v>
      </c>
      <c r="R564">
        <v>8</v>
      </c>
      <c r="S564">
        <v>22</v>
      </c>
      <c r="T564">
        <v>0</v>
      </c>
      <c r="U564">
        <v>8</v>
      </c>
      <c r="V564">
        <v>17</v>
      </c>
      <c r="W564">
        <v>56</v>
      </c>
      <c r="X564">
        <v>1441</v>
      </c>
      <c r="Y564">
        <v>13943</v>
      </c>
      <c r="Z564">
        <v>10739</v>
      </c>
      <c r="AA564">
        <v>2</v>
      </c>
      <c r="AB564">
        <v>25070</v>
      </c>
      <c r="AC564" s="10">
        <v>41341</v>
      </c>
      <c r="AD564" s="10" t="s">
        <v>72</v>
      </c>
      <c r="AE564" t="s">
        <v>72</v>
      </c>
      <c r="AF564" t="s">
        <v>45</v>
      </c>
    </row>
    <row r="565" spans="1:32" x14ac:dyDescent="0.25">
      <c r="A565">
        <v>1419</v>
      </c>
      <c r="B565">
        <v>29</v>
      </c>
      <c r="C565" t="s">
        <v>43</v>
      </c>
      <c r="D565" t="s">
        <v>33</v>
      </c>
      <c r="E565" t="s">
        <v>68</v>
      </c>
      <c r="F565" t="s">
        <v>49</v>
      </c>
      <c r="G565" t="s">
        <v>38</v>
      </c>
      <c r="H565" t="s">
        <v>37</v>
      </c>
      <c r="I565" t="s">
        <v>38</v>
      </c>
      <c r="J565" t="s">
        <v>68</v>
      </c>
      <c r="K565">
        <v>1</v>
      </c>
      <c r="L565">
        <v>3</v>
      </c>
      <c r="M565" t="s">
        <v>60</v>
      </c>
      <c r="N565" t="s">
        <v>41</v>
      </c>
      <c r="O565" t="s">
        <v>42</v>
      </c>
      <c r="P565" t="s">
        <v>43</v>
      </c>
      <c r="Q565">
        <v>13</v>
      </c>
      <c r="R565">
        <v>1</v>
      </c>
      <c r="S565">
        <v>10</v>
      </c>
      <c r="T565">
        <v>0</v>
      </c>
      <c r="U565">
        <v>9</v>
      </c>
      <c r="V565">
        <v>17</v>
      </c>
      <c r="W565">
        <v>51</v>
      </c>
      <c r="X565">
        <v>332</v>
      </c>
      <c r="Y565">
        <v>9769</v>
      </c>
      <c r="Z565">
        <v>7988</v>
      </c>
      <c r="AA565">
        <v>3</v>
      </c>
      <c r="AB565">
        <v>34418</v>
      </c>
      <c r="AC565" s="10">
        <v>41350</v>
      </c>
      <c r="AD565" s="10" t="s">
        <v>72</v>
      </c>
      <c r="AE565" t="s">
        <v>72</v>
      </c>
      <c r="AF565" t="s">
        <v>45</v>
      </c>
    </row>
    <row r="566" spans="1:32" x14ac:dyDescent="0.25">
      <c r="A566">
        <v>2008</v>
      </c>
      <c r="B566">
        <v>35</v>
      </c>
      <c r="C566" t="s">
        <v>43</v>
      </c>
      <c r="D566" t="s">
        <v>33</v>
      </c>
      <c r="E566" t="s">
        <v>34</v>
      </c>
      <c r="F566" t="s">
        <v>35</v>
      </c>
      <c r="G566" t="s">
        <v>38</v>
      </c>
      <c r="H566" t="s">
        <v>37</v>
      </c>
      <c r="I566" t="s">
        <v>50</v>
      </c>
      <c r="J566" t="s">
        <v>39</v>
      </c>
      <c r="K566">
        <v>3</v>
      </c>
      <c r="L566">
        <v>3</v>
      </c>
      <c r="M566" t="s">
        <v>48</v>
      </c>
      <c r="N566" t="s">
        <v>41</v>
      </c>
      <c r="O566" t="s">
        <v>42</v>
      </c>
      <c r="P566" t="s">
        <v>43</v>
      </c>
      <c r="Q566">
        <v>19</v>
      </c>
      <c r="R566">
        <v>1</v>
      </c>
      <c r="S566">
        <v>10</v>
      </c>
      <c r="T566">
        <v>0</v>
      </c>
      <c r="U566">
        <v>8</v>
      </c>
      <c r="V566">
        <v>9</v>
      </c>
      <c r="W566">
        <v>48</v>
      </c>
      <c r="X566">
        <v>1395</v>
      </c>
      <c r="Y566">
        <v>18698</v>
      </c>
      <c r="Z566">
        <v>5098</v>
      </c>
      <c r="AA566">
        <v>5</v>
      </c>
      <c r="AB566">
        <v>32087</v>
      </c>
      <c r="AC566" s="10">
        <v>41358</v>
      </c>
      <c r="AD566" s="10" t="s">
        <v>72</v>
      </c>
      <c r="AE566" t="s">
        <v>72</v>
      </c>
      <c r="AF566" t="s">
        <v>45</v>
      </c>
    </row>
    <row r="567" spans="1:32" x14ac:dyDescent="0.25">
      <c r="A567">
        <v>1727</v>
      </c>
      <c r="B567">
        <v>46</v>
      </c>
      <c r="C567" t="s">
        <v>43</v>
      </c>
      <c r="D567" t="s">
        <v>33</v>
      </c>
      <c r="E567" t="s">
        <v>34</v>
      </c>
      <c r="F567" t="s">
        <v>35</v>
      </c>
      <c r="G567" t="s">
        <v>50</v>
      </c>
      <c r="H567" t="s">
        <v>37</v>
      </c>
      <c r="I567" t="s">
        <v>50</v>
      </c>
      <c r="J567" t="s">
        <v>62</v>
      </c>
      <c r="K567">
        <v>2</v>
      </c>
      <c r="L567">
        <v>3</v>
      </c>
      <c r="M567" t="s">
        <v>48</v>
      </c>
      <c r="N567" t="s">
        <v>41</v>
      </c>
      <c r="O567" t="s">
        <v>42</v>
      </c>
      <c r="P567" t="s">
        <v>43</v>
      </c>
      <c r="Q567">
        <v>14</v>
      </c>
      <c r="R567">
        <v>6</v>
      </c>
      <c r="S567">
        <v>19</v>
      </c>
      <c r="T567">
        <v>0</v>
      </c>
      <c r="U567">
        <v>9</v>
      </c>
      <c r="V567">
        <v>13</v>
      </c>
      <c r="W567">
        <v>34</v>
      </c>
      <c r="X567">
        <v>717</v>
      </c>
      <c r="Y567">
        <v>9697</v>
      </c>
      <c r="Z567">
        <v>5562</v>
      </c>
      <c r="AA567">
        <v>3</v>
      </c>
      <c r="AB567">
        <v>28115</v>
      </c>
      <c r="AC567" s="10">
        <v>41363</v>
      </c>
      <c r="AD567" s="10" t="s">
        <v>72</v>
      </c>
      <c r="AE567" t="s">
        <v>72</v>
      </c>
      <c r="AF567" t="s">
        <v>45</v>
      </c>
    </row>
    <row r="568" spans="1:32" x14ac:dyDescent="0.25">
      <c r="A568">
        <v>1673</v>
      </c>
      <c r="B568">
        <v>31</v>
      </c>
      <c r="C568" t="s">
        <v>43</v>
      </c>
      <c r="D568" t="s">
        <v>33</v>
      </c>
      <c r="E568" t="s">
        <v>56</v>
      </c>
      <c r="F568" t="s">
        <v>35</v>
      </c>
      <c r="G568" t="s">
        <v>36</v>
      </c>
      <c r="H568" t="s">
        <v>47</v>
      </c>
      <c r="I568" t="s">
        <v>50</v>
      </c>
      <c r="J568" t="s">
        <v>57</v>
      </c>
      <c r="K568">
        <v>4</v>
      </c>
      <c r="L568">
        <v>3</v>
      </c>
      <c r="M568" t="s">
        <v>48</v>
      </c>
      <c r="N568" t="s">
        <v>61</v>
      </c>
      <c r="O568" t="s">
        <v>53</v>
      </c>
      <c r="P568" t="s">
        <v>43</v>
      </c>
      <c r="Q568">
        <v>11</v>
      </c>
      <c r="R568">
        <v>1</v>
      </c>
      <c r="S568">
        <v>10</v>
      </c>
      <c r="T568">
        <v>0</v>
      </c>
      <c r="U568">
        <v>2</v>
      </c>
      <c r="V568">
        <v>5</v>
      </c>
      <c r="W568">
        <v>67</v>
      </c>
      <c r="X568">
        <v>1112</v>
      </c>
      <c r="Y568">
        <v>22589</v>
      </c>
      <c r="Z568">
        <v>5476</v>
      </c>
      <c r="AA568">
        <v>2</v>
      </c>
      <c r="AB568">
        <v>33460</v>
      </c>
      <c r="AC568" s="10">
        <v>41370</v>
      </c>
      <c r="AD568" s="10" t="s">
        <v>72</v>
      </c>
      <c r="AE568" t="s">
        <v>72</v>
      </c>
      <c r="AF568" t="s">
        <v>45</v>
      </c>
    </row>
    <row r="569" spans="1:32" x14ac:dyDescent="0.25">
      <c r="A569">
        <v>1627</v>
      </c>
      <c r="B569">
        <v>39</v>
      </c>
      <c r="C569" t="s">
        <v>43</v>
      </c>
      <c r="D569" t="s">
        <v>33</v>
      </c>
      <c r="E569" t="s">
        <v>34</v>
      </c>
      <c r="F569" t="s">
        <v>67</v>
      </c>
      <c r="G569" t="s">
        <v>50</v>
      </c>
      <c r="H569" t="s">
        <v>37</v>
      </c>
      <c r="I569" t="s">
        <v>38</v>
      </c>
      <c r="J569" t="s">
        <v>51</v>
      </c>
      <c r="K569">
        <v>3</v>
      </c>
      <c r="L569">
        <v>3</v>
      </c>
      <c r="M569" t="s">
        <v>48</v>
      </c>
      <c r="N569" t="s">
        <v>52</v>
      </c>
      <c r="O569" t="s">
        <v>36</v>
      </c>
      <c r="P569" t="s">
        <v>43</v>
      </c>
      <c r="Q569">
        <v>15</v>
      </c>
      <c r="R569">
        <v>0</v>
      </c>
      <c r="S569">
        <v>11</v>
      </c>
      <c r="T569">
        <v>0</v>
      </c>
      <c r="U569">
        <v>7</v>
      </c>
      <c r="V569">
        <v>3</v>
      </c>
      <c r="W569">
        <v>76</v>
      </c>
      <c r="X569">
        <v>170</v>
      </c>
      <c r="Y569">
        <v>10302</v>
      </c>
      <c r="Z569">
        <v>3069</v>
      </c>
      <c r="AA569">
        <v>3</v>
      </c>
      <c r="AB569">
        <v>30884</v>
      </c>
      <c r="AC569" s="10">
        <v>41371</v>
      </c>
      <c r="AD569" s="10" t="s">
        <v>72</v>
      </c>
      <c r="AE569" t="s">
        <v>72</v>
      </c>
      <c r="AF569" t="s">
        <v>45</v>
      </c>
    </row>
    <row r="570" spans="1:32" x14ac:dyDescent="0.25">
      <c r="A570">
        <v>550</v>
      </c>
      <c r="B570">
        <v>46</v>
      </c>
      <c r="C570" t="s">
        <v>43</v>
      </c>
      <c r="D570" t="s">
        <v>33</v>
      </c>
      <c r="E570" t="s">
        <v>34</v>
      </c>
      <c r="F570" t="s">
        <v>49</v>
      </c>
      <c r="G570" t="s">
        <v>50</v>
      </c>
      <c r="H570" t="s">
        <v>47</v>
      </c>
      <c r="I570" t="s">
        <v>50</v>
      </c>
      <c r="J570" t="s">
        <v>65</v>
      </c>
      <c r="K570">
        <v>3</v>
      </c>
      <c r="L570">
        <v>3</v>
      </c>
      <c r="M570" t="s">
        <v>60</v>
      </c>
      <c r="N570" t="s">
        <v>52</v>
      </c>
      <c r="O570" t="s">
        <v>36</v>
      </c>
      <c r="P570" t="s">
        <v>43</v>
      </c>
      <c r="Q570">
        <v>14</v>
      </c>
      <c r="R570">
        <v>2</v>
      </c>
      <c r="S570">
        <v>19</v>
      </c>
      <c r="T570">
        <v>0</v>
      </c>
      <c r="U570">
        <v>8</v>
      </c>
      <c r="V570">
        <v>18</v>
      </c>
      <c r="W570">
        <v>87</v>
      </c>
      <c r="X570">
        <v>1485</v>
      </c>
      <c r="Y570">
        <v>26314</v>
      </c>
      <c r="Z570">
        <v>4810</v>
      </c>
      <c r="AA570">
        <v>5</v>
      </c>
      <c r="AB570">
        <v>28290</v>
      </c>
      <c r="AC570" s="10">
        <v>41377</v>
      </c>
      <c r="AD570" s="10" t="s">
        <v>72</v>
      </c>
      <c r="AE570" t="s">
        <v>72</v>
      </c>
      <c r="AF570" t="s">
        <v>45</v>
      </c>
    </row>
    <row r="571" spans="1:32" x14ac:dyDescent="0.25">
      <c r="A571">
        <v>389</v>
      </c>
      <c r="B571">
        <v>55</v>
      </c>
      <c r="C571" t="s">
        <v>43</v>
      </c>
      <c r="D571" t="s">
        <v>33</v>
      </c>
      <c r="E571" t="s">
        <v>34</v>
      </c>
      <c r="F571" t="s">
        <v>67</v>
      </c>
      <c r="G571" t="s">
        <v>38</v>
      </c>
      <c r="H571" t="s">
        <v>37</v>
      </c>
      <c r="I571" t="s">
        <v>50</v>
      </c>
      <c r="J571" t="s">
        <v>51</v>
      </c>
      <c r="K571">
        <v>4</v>
      </c>
      <c r="L571">
        <v>3</v>
      </c>
      <c r="M571" t="s">
        <v>48</v>
      </c>
      <c r="N571" t="s">
        <v>61</v>
      </c>
      <c r="O571" t="s">
        <v>36</v>
      </c>
      <c r="P571" t="s">
        <v>32</v>
      </c>
      <c r="Q571">
        <v>19</v>
      </c>
      <c r="R571">
        <v>3</v>
      </c>
      <c r="S571">
        <v>12</v>
      </c>
      <c r="T571">
        <v>0</v>
      </c>
      <c r="U571">
        <v>8</v>
      </c>
      <c r="V571">
        <v>20</v>
      </c>
      <c r="W571">
        <v>37</v>
      </c>
      <c r="X571">
        <v>147</v>
      </c>
      <c r="Y571">
        <v>15972</v>
      </c>
      <c r="Z571">
        <v>5415</v>
      </c>
      <c r="AA571">
        <v>4</v>
      </c>
      <c r="AB571">
        <v>24790</v>
      </c>
      <c r="AC571" s="10">
        <v>41394</v>
      </c>
      <c r="AD571" s="10" t="s">
        <v>72</v>
      </c>
      <c r="AE571" t="s">
        <v>72</v>
      </c>
      <c r="AF571" t="s">
        <v>45</v>
      </c>
    </row>
    <row r="572" spans="1:32" x14ac:dyDescent="0.25">
      <c r="A572">
        <v>1250</v>
      </c>
      <c r="B572">
        <v>54</v>
      </c>
      <c r="C572" t="s">
        <v>43</v>
      </c>
      <c r="D572" t="s">
        <v>33</v>
      </c>
      <c r="E572" t="s">
        <v>34</v>
      </c>
      <c r="F572" t="s">
        <v>49</v>
      </c>
      <c r="G572" t="s">
        <v>59</v>
      </c>
      <c r="H572" t="s">
        <v>37</v>
      </c>
      <c r="I572" t="s">
        <v>50</v>
      </c>
      <c r="J572" t="s">
        <v>71</v>
      </c>
      <c r="K572">
        <v>4</v>
      </c>
      <c r="L572">
        <v>3</v>
      </c>
      <c r="M572" t="s">
        <v>48</v>
      </c>
      <c r="N572" t="s">
        <v>61</v>
      </c>
      <c r="O572" t="s">
        <v>42</v>
      </c>
      <c r="P572" t="s">
        <v>43</v>
      </c>
      <c r="Q572">
        <v>14</v>
      </c>
      <c r="R572">
        <v>3</v>
      </c>
      <c r="S572">
        <v>36</v>
      </c>
      <c r="T572">
        <v>0</v>
      </c>
      <c r="U572">
        <v>9</v>
      </c>
      <c r="V572">
        <v>3</v>
      </c>
      <c r="W572">
        <v>85</v>
      </c>
      <c r="X572">
        <v>685</v>
      </c>
      <c r="Y572">
        <v>23474</v>
      </c>
      <c r="Z572">
        <v>17779</v>
      </c>
      <c r="AA572">
        <v>2</v>
      </c>
      <c r="AB572">
        <v>25227</v>
      </c>
      <c r="AC572" s="10">
        <v>41397</v>
      </c>
      <c r="AD572" s="10" t="s">
        <v>72</v>
      </c>
      <c r="AE572" t="s">
        <v>72</v>
      </c>
      <c r="AF572" t="s">
        <v>45</v>
      </c>
    </row>
    <row r="573" spans="1:32" x14ac:dyDescent="0.25">
      <c r="A573">
        <v>1962</v>
      </c>
      <c r="B573">
        <v>35</v>
      </c>
      <c r="C573" t="s">
        <v>43</v>
      </c>
      <c r="D573" t="s">
        <v>33</v>
      </c>
      <c r="E573" t="s">
        <v>56</v>
      </c>
      <c r="F573" t="s">
        <v>35</v>
      </c>
      <c r="G573" t="s">
        <v>50</v>
      </c>
      <c r="H573" t="s">
        <v>47</v>
      </c>
      <c r="I573" t="s">
        <v>50</v>
      </c>
      <c r="J573" t="s">
        <v>57</v>
      </c>
      <c r="K573">
        <v>4</v>
      </c>
      <c r="L573">
        <v>3</v>
      </c>
      <c r="M573" t="s">
        <v>48</v>
      </c>
      <c r="N573" t="s">
        <v>61</v>
      </c>
      <c r="O573" t="s">
        <v>42</v>
      </c>
      <c r="P573" t="s">
        <v>32</v>
      </c>
      <c r="Q573">
        <v>11</v>
      </c>
      <c r="R573">
        <v>1</v>
      </c>
      <c r="S573">
        <v>10</v>
      </c>
      <c r="T573">
        <v>0</v>
      </c>
      <c r="U573">
        <v>9</v>
      </c>
      <c r="V573">
        <v>7</v>
      </c>
      <c r="W573">
        <v>55</v>
      </c>
      <c r="X573">
        <v>1224</v>
      </c>
      <c r="Y573">
        <v>13586</v>
      </c>
      <c r="Z573">
        <v>5204</v>
      </c>
      <c r="AA573">
        <v>2</v>
      </c>
      <c r="AB573">
        <v>32033</v>
      </c>
      <c r="AC573" s="10">
        <v>41425</v>
      </c>
      <c r="AD573" s="10" t="s">
        <v>72</v>
      </c>
      <c r="AE573" t="s">
        <v>72</v>
      </c>
      <c r="AF573" t="s">
        <v>45</v>
      </c>
    </row>
    <row r="574" spans="1:32" x14ac:dyDescent="0.25">
      <c r="A574">
        <v>984</v>
      </c>
      <c r="B574">
        <v>35</v>
      </c>
      <c r="C574" t="s">
        <v>43</v>
      </c>
      <c r="D574" t="s">
        <v>33</v>
      </c>
      <c r="E574" t="s">
        <v>56</v>
      </c>
      <c r="F574" t="s">
        <v>35</v>
      </c>
      <c r="G574" t="s">
        <v>59</v>
      </c>
      <c r="H574" t="s">
        <v>37</v>
      </c>
      <c r="I574" t="s">
        <v>50</v>
      </c>
      <c r="J574" t="s">
        <v>57</v>
      </c>
      <c r="K574">
        <v>4</v>
      </c>
      <c r="L574">
        <v>3</v>
      </c>
      <c r="M574" t="s">
        <v>48</v>
      </c>
      <c r="N574" t="s">
        <v>52</v>
      </c>
      <c r="O574" t="s">
        <v>36</v>
      </c>
      <c r="P574" t="s">
        <v>43</v>
      </c>
      <c r="Q574">
        <v>13</v>
      </c>
      <c r="R574">
        <v>6</v>
      </c>
      <c r="S574">
        <v>12</v>
      </c>
      <c r="T574">
        <v>0</v>
      </c>
      <c r="U574">
        <v>8</v>
      </c>
      <c r="V574">
        <v>3</v>
      </c>
      <c r="W574">
        <v>92</v>
      </c>
      <c r="X574">
        <v>882</v>
      </c>
      <c r="Y574">
        <v>6812</v>
      </c>
      <c r="Z574">
        <v>7823</v>
      </c>
      <c r="AA574">
        <v>2</v>
      </c>
      <c r="AB574">
        <v>32286</v>
      </c>
      <c r="AC574" s="10">
        <v>41430</v>
      </c>
      <c r="AD574" s="10" t="s">
        <v>72</v>
      </c>
      <c r="AE574" t="s">
        <v>72</v>
      </c>
      <c r="AF574" t="s">
        <v>45</v>
      </c>
    </row>
    <row r="575" spans="1:32" x14ac:dyDescent="0.25">
      <c r="A575">
        <v>204</v>
      </c>
      <c r="B575">
        <v>35</v>
      </c>
      <c r="C575" t="s">
        <v>43</v>
      </c>
      <c r="D575" t="s">
        <v>33</v>
      </c>
      <c r="E575" t="s">
        <v>56</v>
      </c>
      <c r="F575" t="s">
        <v>70</v>
      </c>
      <c r="G575" t="s">
        <v>50</v>
      </c>
      <c r="H575" t="s">
        <v>37</v>
      </c>
      <c r="I575" t="s">
        <v>50</v>
      </c>
      <c r="J575" t="s">
        <v>57</v>
      </c>
      <c r="K575">
        <v>2</v>
      </c>
      <c r="L575">
        <v>3</v>
      </c>
      <c r="M575" t="s">
        <v>48</v>
      </c>
      <c r="N575" t="s">
        <v>61</v>
      </c>
      <c r="O575" t="s">
        <v>53</v>
      </c>
      <c r="P575" t="s">
        <v>43</v>
      </c>
      <c r="Q575">
        <v>13</v>
      </c>
      <c r="R575">
        <v>1</v>
      </c>
      <c r="S575">
        <v>10</v>
      </c>
      <c r="T575">
        <v>0</v>
      </c>
      <c r="U575">
        <v>6</v>
      </c>
      <c r="V575">
        <v>1</v>
      </c>
      <c r="W575">
        <v>94</v>
      </c>
      <c r="X575">
        <v>662</v>
      </c>
      <c r="Y575">
        <v>11439</v>
      </c>
      <c r="Z575">
        <v>7295</v>
      </c>
      <c r="AA575">
        <v>3</v>
      </c>
      <c r="AB575">
        <v>32164</v>
      </c>
      <c r="AC575" s="10">
        <v>41460</v>
      </c>
      <c r="AD575" s="10" t="s">
        <v>72</v>
      </c>
      <c r="AE575" t="s">
        <v>72</v>
      </c>
      <c r="AF575" t="s">
        <v>45</v>
      </c>
    </row>
    <row r="576" spans="1:32" x14ac:dyDescent="0.25">
      <c r="A576">
        <v>1924</v>
      </c>
      <c r="B576">
        <v>33</v>
      </c>
      <c r="C576" t="s">
        <v>43</v>
      </c>
      <c r="D576" t="s">
        <v>33</v>
      </c>
      <c r="E576" t="s">
        <v>56</v>
      </c>
      <c r="F576" t="s">
        <v>35</v>
      </c>
      <c r="G576" t="s">
        <v>38</v>
      </c>
      <c r="H576" t="s">
        <v>37</v>
      </c>
      <c r="I576" t="s">
        <v>50</v>
      </c>
      <c r="J576" t="s">
        <v>57</v>
      </c>
      <c r="K576">
        <v>3</v>
      </c>
      <c r="L576">
        <v>3</v>
      </c>
      <c r="M576" t="s">
        <v>60</v>
      </c>
      <c r="N576" t="s">
        <v>41</v>
      </c>
      <c r="O576" t="s">
        <v>42</v>
      </c>
      <c r="P576" t="s">
        <v>43</v>
      </c>
      <c r="Q576">
        <v>14</v>
      </c>
      <c r="R576">
        <v>1</v>
      </c>
      <c r="S576">
        <v>10</v>
      </c>
      <c r="T576">
        <v>0</v>
      </c>
      <c r="U576">
        <v>9</v>
      </c>
      <c r="V576">
        <v>10</v>
      </c>
      <c r="W576">
        <v>43</v>
      </c>
      <c r="X576">
        <v>217</v>
      </c>
      <c r="Y576">
        <v>10410</v>
      </c>
      <c r="Z576">
        <v>5487</v>
      </c>
      <c r="AA576">
        <v>2</v>
      </c>
      <c r="AB576">
        <v>32992</v>
      </c>
      <c r="AC576" s="10">
        <v>41466</v>
      </c>
      <c r="AD576" s="10" t="s">
        <v>72</v>
      </c>
      <c r="AE576" t="s">
        <v>72</v>
      </c>
      <c r="AF576" t="s">
        <v>45</v>
      </c>
    </row>
    <row r="577" spans="1:32" x14ac:dyDescent="0.25">
      <c r="A577">
        <v>1192</v>
      </c>
      <c r="B577">
        <v>29</v>
      </c>
      <c r="C577" t="s">
        <v>43</v>
      </c>
      <c r="D577" t="s">
        <v>33</v>
      </c>
      <c r="E577" t="s">
        <v>34</v>
      </c>
      <c r="F577" t="s">
        <v>64</v>
      </c>
      <c r="G577" t="s">
        <v>38</v>
      </c>
      <c r="H577" t="s">
        <v>47</v>
      </c>
      <c r="I577" t="s">
        <v>50</v>
      </c>
      <c r="J577" t="s">
        <v>51</v>
      </c>
      <c r="K577">
        <v>4</v>
      </c>
      <c r="L577">
        <v>3</v>
      </c>
      <c r="M577" t="s">
        <v>48</v>
      </c>
      <c r="N577" t="s">
        <v>61</v>
      </c>
      <c r="O577" t="s">
        <v>36</v>
      </c>
      <c r="P577" t="s">
        <v>43</v>
      </c>
      <c r="Q577">
        <v>13</v>
      </c>
      <c r="R577">
        <v>1</v>
      </c>
      <c r="S577">
        <v>10</v>
      </c>
      <c r="T577">
        <v>0</v>
      </c>
      <c r="U577">
        <v>8</v>
      </c>
      <c r="V577">
        <v>6</v>
      </c>
      <c r="W577">
        <v>54</v>
      </c>
      <c r="X577">
        <v>1401</v>
      </c>
      <c r="Y577">
        <v>26342</v>
      </c>
      <c r="Z577">
        <v>3131</v>
      </c>
      <c r="AA577">
        <v>5</v>
      </c>
      <c r="AB577">
        <v>34300</v>
      </c>
      <c r="AC577" s="10">
        <v>41474</v>
      </c>
      <c r="AD577" s="10" t="s">
        <v>72</v>
      </c>
      <c r="AE577" t="s">
        <v>72</v>
      </c>
      <c r="AF577" t="s">
        <v>45</v>
      </c>
    </row>
    <row r="578" spans="1:32" x14ac:dyDescent="0.25">
      <c r="A578">
        <v>844</v>
      </c>
      <c r="B578">
        <v>27</v>
      </c>
      <c r="C578" t="s">
        <v>43</v>
      </c>
      <c r="D578" t="s">
        <v>33</v>
      </c>
      <c r="E578" t="s">
        <v>34</v>
      </c>
      <c r="F578" t="s">
        <v>64</v>
      </c>
      <c r="G578" t="s">
        <v>50</v>
      </c>
      <c r="H578" t="s">
        <v>37</v>
      </c>
      <c r="I578" t="s">
        <v>38</v>
      </c>
      <c r="J578" t="s">
        <v>71</v>
      </c>
      <c r="K578">
        <v>4</v>
      </c>
      <c r="L578">
        <v>3</v>
      </c>
      <c r="M578" t="s">
        <v>48</v>
      </c>
      <c r="N578" t="s">
        <v>52</v>
      </c>
      <c r="O578" t="s">
        <v>36</v>
      </c>
      <c r="P578" t="s">
        <v>32</v>
      </c>
      <c r="Q578">
        <v>16</v>
      </c>
      <c r="R578">
        <v>1</v>
      </c>
      <c r="S578">
        <v>9</v>
      </c>
      <c r="T578">
        <v>0</v>
      </c>
      <c r="U578">
        <v>8</v>
      </c>
      <c r="V578">
        <v>5</v>
      </c>
      <c r="W578">
        <v>42</v>
      </c>
      <c r="X578">
        <v>269</v>
      </c>
      <c r="Y578">
        <v>8842</v>
      </c>
      <c r="Z578">
        <v>12808</v>
      </c>
      <c r="AA578">
        <v>3</v>
      </c>
      <c r="AB578">
        <v>34933</v>
      </c>
      <c r="AC578" s="10">
        <v>41560</v>
      </c>
      <c r="AD578" s="10" t="s">
        <v>72</v>
      </c>
      <c r="AE578" t="s">
        <v>72</v>
      </c>
      <c r="AF578" t="s">
        <v>55</v>
      </c>
    </row>
    <row r="579" spans="1:32" x14ac:dyDescent="0.25">
      <c r="A579">
        <v>1268</v>
      </c>
      <c r="B579">
        <v>33</v>
      </c>
      <c r="C579" t="s">
        <v>43</v>
      </c>
      <c r="D579" t="s">
        <v>33</v>
      </c>
      <c r="E579" t="s">
        <v>56</v>
      </c>
      <c r="F579" t="s">
        <v>70</v>
      </c>
      <c r="G579" t="s">
        <v>59</v>
      </c>
      <c r="H579" t="s">
        <v>37</v>
      </c>
      <c r="I579" t="s">
        <v>59</v>
      </c>
      <c r="J579" t="s">
        <v>57</v>
      </c>
      <c r="K579">
        <v>3</v>
      </c>
      <c r="L579">
        <v>3</v>
      </c>
      <c r="M579" t="s">
        <v>48</v>
      </c>
      <c r="N579" t="s">
        <v>52</v>
      </c>
      <c r="O579" t="s">
        <v>53</v>
      </c>
      <c r="P579" t="s">
        <v>32</v>
      </c>
      <c r="Q579">
        <v>14</v>
      </c>
      <c r="R579">
        <v>0</v>
      </c>
      <c r="S579">
        <v>10</v>
      </c>
      <c r="T579">
        <v>0</v>
      </c>
      <c r="U579">
        <v>8</v>
      </c>
      <c r="V579">
        <v>10</v>
      </c>
      <c r="W579">
        <v>82</v>
      </c>
      <c r="X579">
        <v>536</v>
      </c>
      <c r="Y579">
        <v>21708</v>
      </c>
      <c r="Z579">
        <v>8380</v>
      </c>
      <c r="AA579">
        <v>3</v>
      </c>
      <c r="AB579">
        <v>32982</v>
      </c>
      <c r="AC579" s="10">
        <v>41560</v>
      </c>
      <c r="AD579" s="10" t="s">
        <v>72</v>
      </c>
      <c r="AE579" t="s">
        <v>72</v>
      </c>
      <c r="AF579" t="s">
        <v>45</v>
      </c>
    </row>
    <row r="580" spans="1:32" x14ac:dyDescent="0.25">
      <c r="A580">
        <v>823</v>
      </c>
      <c r="B580">
        <v>36</v>
      </c>
      <c r="C580" t="s">
        <v>43</v>
      </c>
      <c r="D580" t="s">
        <v>33</v>
      </c>
      <c r="E580" t="s">
        <v>34</v>
      </c>
      <c r="F580" t="s">
        <v>49</v>
      </c>
      <c r="G580" t="s">
        <v>50</v>
      </c>
      <c r="H580" t="s">
        <v>47</v>
      </c>
      <c r="I580" t="s">
        <v>50</v>
      </c>
      <c r="J580" t="s">
        <v>65</v>
      </c>
      <c r="K580">
        <v>2</v>
      </c>
      <c r="L580">
        <v>3</v>
      </c>
      <c r="M580" t="s">
        <v>48</v>
      </c>
      <c r="N580" t="s">
        <v>61</v>
      </c>
      <c r="O580" t="s">
        <v>36</v>
      </c>
      <c r="P580" t="s">
        <v>43</v>
      </c>
      <c r="Q580">
        <v>15</v>
      </c>
      <c r="R580">
        <v>0</v>
      </c>
      <c r="S580">
        <v>10</v>
      </c>
      <c r="T580">
        <v>0</v>
      </c>
      <c r="U580">
        <v>5</v>
      </c>
      <c r="V580">
        <v>1</v>
      </c>
      <c r="W580">
        <v>35</v>
      </c>
      <c r="X580">
        <v>676</v>
      </c>
      <c r="Y580">
        <v>23361</v>
      </c>
      <c r="Z580">
        <v>5228</v>
      </c>
      <c r="AA580">
        <v>2</v>
      </c>
      <c r="AB580">
        <v>31627</v>
      </c>
      <c r="AC580" s="10">
        <v>41590</v>
      </c>
      <c r="AD580" s="10" t="s">
        <v>72</v>
      </c>
      <c r="AE580" t="s">
        <v>72</v>
      </c>
      <c r="AF580" t="s">
        <v>45</v>
      </c>
    </row>
    <row r="581" spans="1:32" x14ac:dyDescent="0.25">
      <c r="A581">
        <v>1003</v>
      </c>
      <c r="B581">
        <v>47</v>
      </c>
      <c r="C581" t="s">
        <v>43</v>
      </c>
      <c r="D581" t="s">
        <v>33</v>
      </c>
      <c r="E581" t="s">
        <v>56</v>
      </c>
      <c r="F581" t="s">
        <v>67</v>
      </c>
      <c r="G581" t="s">
        <v>59</v>
      </c>
      <c r="H581" t="s">
        <v>47</v>
      </c>
      <c r="I581" t="s">
        <v>50</v>
      </c>
      <c r="J581" t="s">
        <v>57</v>
      </c>
      <c r="K581">
        <v>4</v>
      </c>
      <c r="L581">
        <v>3</v>
      </c>
      <c r="M581" t="s">
        <v>48</v>
      </c>
      <c r="N581" t="s">
        <v>41</v>
      </c>
      <c r="O581" t="s">
        <v>42</v>
      </c>
      <c r="P581" t="s">
        <v>32</v>
      </c>
      <c r="Q581">
        <v>17</v>
      </c>
      <c r="R581">
        <v>1</v>
      </c>
      <c r="S581">
        <v>9</v>
      </c>
      <c r="T581">
        <v>0</v>
      </c>
      <c r="U581">
        <v>7</v>
      </c>
      <c r="V581">
        <v>4</v>
      </c>
      <c r="W581">
        <v>83</v>
      </c>
      <c r="X581">
        <v>955</v>
      </c>
      <c r="Y581">
        <v>8571</v>
      </c>
      <c r="Z581">
        <v>4163</v>
      </c>
      <c r="AA581">
        <v>0</v>
      </c>
      <c r="AB581">
        <v>27626</v>
      </c>
      <c r="AC581" s="10">
        <v>41691</v>
      </c>
      <c r="AD581" s="10" t="s">
        <v>72</v>
      </c>
      <c r="AE581" t="s">
        <v>72</v>
      </c>
      <c r="AF581" t="s">
        <v>45</v>
      </c>
    </row>
    <row r="582" spans="1:32" x14ac:dyDescent="0.25">
      <c r="A582">
        <v>176</v>
      </c>
      <c r="B582">
        <v>41</v>
      </c>
      <c r="C582" t="s">
        <v>43</v>
      </c>
      <c r="D582" t="s">
        <v>33</v>
      </c>
      <c r="E582" t="s">
        <v>56</v>
      </c>
      <c r="F582" t="s">
        <v>64</v>
      </c>
      <c r="G582" t="s">
        <v>50</v>
      </c>
      <c r="H582" t="s">
        <v>37</v>
      </c>
      <c r="I582" t="s">
        <v>50</v>
      </c>
      <c r="J582" t="s">
        <v>57</v>
      </c>
      <c r="K582">
        <v>3</v>
      </c>
      <c r="L582">
        <v>3</v>
      </c>
      <c r="M582" t="s">
        <v>48</v>
      </c>
      <c r="N582" t="s">
        <v>52</v>
      </c>
      <c r="O582" t="s">
        <v>36</v>
      </c>
      <c r="P582" t="s">
        <v>32</v>
      </c>
      <c r="Q582">
        <v>13</v>
      </c>
      <c r="R582">
        <v>3</v>
      </c>
      <c r="S582">
        <v>12</v>
      </c>
      <c r="T582">
        <v>0</v>
      </c>
      <c r="U582">
        <v>7</v>
      </c>
      <c r="V582">
        <v>9</v>
      </c>
      <c r="W582">
        <v>96</v>
      </c>
      <c r="X582">
        <v>802</v>
      </c>
      <c r="Y582">
        <v>21196</v>
      </c>
      <c r="Z582">
        <v>8189</v>
      </c>
      <c r="AA582">
        <v>2</v>
      </c>
      <c r="AB582">
        <v>30130</v>
      </c>
      <c r="AC582" s="10">
        <v>41708</v>
      </c>
      <c r="AD582" s="10" t="s">
        <v>72</v>
      </c>
      <c r="AE582" t="s">
        <v>72</v>
      </c>
      <c r="AF582" t="s">
        <v>45</v>
      </c>
    </row>
    <row r="583" spans="1:32" x14ac:dyDescent="0.25">
      <c r="A583">
        <v>412</v>
      </c>
      <c r="B583">
        <v>28</v>
      </c>
      <c r="C583" t="s">
        <v>43</v>
      </c>
      <c r="D583" t="s">
        <v>33</v>
      </c>
      <c r="E583" t="s">
        <v>34</v>
      </c>
      <c r="F583" t="s">
        <v>67</v>
      </c>
      <c r="G583" t="s">
        <v>38</v>
      </c>
      <c r="H583" t="s">
        <v>37</v>
      </c>
      <c r="I583" t="s">
        <v>59</v>
      </c>
      <c r="J583" t="s">
        <v>62</v>
      </c>
      <c r="K583">
        <v>1</v>
      </c>
      <c r="L583">
        <v>3</v>
      </c>
      <c r="M583" t="s">
        <v>48</v>
      </c>
      <c r="N583" t="s">
        <v>41</v>
      </c>
      <c r="O583" t="s">
        <v>42</v>
      </c>
      <c r="P583" t="s">
        <v>43</v>
      </c>
      <c r="Q583">
        <v>19</v>
      </c>
      <c r="R583">
        <v>0</v>
      </c>
      <c r="S583">
        <v>9</v>
      </c>
      <c r="T583">
        <v>0</v>
      </c>
      <c r="U583">
        <v>7</v>
      </c>
      <c r="V583">
        <v>16</v>
      </c>
      <c r="W583">
        <v>68</v>
      </c>
      <c r="X583">
        <v>1476</v>
      </c>
      <c r="Y583">
        <v>4824</v>
      </c>
      <c r="Z583">
        <v>5661</v>
      </c>
      <c r="AA583">
        <v>2</v>
      </c>
      <c r="AB583">
        <v>34729</v>
      </c>
      <c r="AC583" s="10">
        <v>41904</v>
      </c>
      <c r="AD583" s="10" t="s">
        <v>72</v>
      </c>
      <c r="AE583" t="s">
        <v>72</v>
      </c>
      <c r="AF583" t="s">
        <v>45</v>
      </c>
    </row>
    <row r="584" spans="1:32" x14ac:dyDescent="0.25">
      <c r="A584">
        <v>1255</v>
      </c>
      <c r="B584">
        <v>43</v>
      </c>
      <c r="C584" t="s">
        <v>43</v>
      </c>
      <c r="D584" t="s">
        <v>33</v>
      </c>
      <c r="E584" t="s">
        <v>34</v>
      </c>
      <c r="F584" t="s">
        <v>49</v>
      </c>
      <c r="G584" t="s">
        <v>50</v>
      </c>
      <c r="H584" t="s">
        <v>37</v>
      </c>
      <c r="I584" t="s">
        <v>36</v>
      </c>
      <c r="J584" t="s">
        <v>71</v>
      </c>
      <c r="K584">
        <v>4</v>
      </c>
      <c r="L584">
        <v>3</v>
      </c>
      <c r="M584" t="s">
        <v>48</v>
      </c>
      <c r="N584" t="s">
        <v>61</v>
      </c>
      <c r="O584" t="s">
        <v>36</v>
      </c>
      <c r="P584" t="s">
        <v>43</v>
      </c>
      <c r="Q584">
        <v>14</v>
      </c>
      <c r="R584">
        <v>3</v>
      </c>
      <c r="S584">
        <v>25</v>
      </c>
      <c r="T584">
        <v>0</v>
      </c>
      <c r="U584">
        <v>7</v>
      </c>
      <c r="V584">
        <v>3</v>
      </c>
      <c r="W584">
        <v>96</v>
      </c>
      <c r="X584">
        <v>920</v>
      </c>
      <c r="Y584">
        <v>18625</v>
      </c>
      <c r="Z584">
        <v>19740</v>
      </c>
      <c r="AA584">
        <v>2</v>
      </c>
      <c r="AB584">
        <v>29191</v>
      </c>
      <c r="AC584" s="10">
        <v>41935</v>
      </c>
      <c r="AD584" s="10" t="s">
        <v>72</v>
      </c>
      <c r="AE584" t="s">
        <v>72</v>
      </c>
      <c r="AF584" t="s">
        <v>45</v>
      </c>
    </row>
    <row r="585" spans="1:32" x14ac:dyDescent="0.25">
      <c r="A585">
        <v>1007</v>
      </c>
      <c r="B585">
        <v>46</v>
      </c>
      <c r="C585" t="s">
        <v>43</v>
      </c>
      <c r="D585" t="s">
        <v>33</v>
      </c>
      <c r="E585" t="s">
        <v>34</v>
      </c>
      <c r="F585" t="s">
        <v>67</v>
      </c>
      <c r="G585" t="s">
        <v>59</v>
      </c>
      <c r="H585" t="s">
        <v>37</v>
      </c>
      <c r="I585" t="s">
        <v>50</v>
      </c>
      <c r="J585" t="s">
        <v>65</v>
      </c>
      <c r="K585">
        <v>3</v>
      </c>
      <c r="L585">
        <v>3</v>
      </c>
      <c r="M585" t="s">
        <v>48</v>
      </c>
      <c r="N585" t="s">
        <v>52</v>
      </c>
      <c r="O585" t="s">
        <v>36</v>
      </c>
      <c r="P585" t="s">
        <v>43</v>
      </c>
      <c r="Q585">
        <v>13</v>
      </c>
      <c r="R585">
        <v>6</v>
      </c>
      <c r="S585">
        <v>13</v>
      </c>
      <c r="T585">
        <v>0</v>
      </c>
      <c r="U585">
        <v>7</v>
      </c>
      <c r="V585">
        <v>7</v>
      </c>
      <c r="W585">
        <v>75</v>
      </c>
      <c r="X585">
        <v>566</v>
      </c>
      <c r="Y585">
        <v>24208</v>
      </c>
      <c r="Z585">
        <v>10845</v>
      </c>
      <c r="AA585">
        <v>3</v>
      </c>
      <c r="AB585">
        <v>27975</v>
      </c>
      <c r="AC585" s="10">
        <v>41939</v>
      </c>
      <c r="AD585" s="10" t="s">
        <v>72</v>
      </c>
      <c r="AE585" t="s">
        <v>72</v>
      </c>
      <c r="AF585" t="s">
        <v>45</v>
      </c>
    </row>
    <row r="586" spans="1:32" x14ac:dyDescent="0.25">
      <c r="A586">
        <v>458</v>
      </c>
      <c r="B586">
        <v>27</v>
      </c>
      <c r="C586" t="s">
        <v>43</v>
      </c>
      <c r="D586" t="s">
        <v>33</v>
      </c>
      <c r="E586" t="s">
        <v>56</v>
      </c>
      <c r="F586" t="s">
        <v>35</v>
      </c>
      <c r="G586" t="s">
        <v>38</v>
      </c>
      <c r="H586" t="s">
        <v>47</v>
      </c>
      <c r="I586" t="s">
        <v>50</v>
      </c>
      <c r="J586" t="s">
        <v>57</v>
      </c>
      <c r="K586">
        <v>2</v>
      </c>
      <c r="L586">
        <v>3</v>
      </c>
      <c r="M586" t="s">
        <v>48</v>
      </c>
      <c r="N586" t="s">
        <v>61</v>
      </c>
      <c r="O586" t="s">
        <v>36</v>
      </c>
      <c r="P586" t="s">
        <v>43</v>
      </c>
      <c r="Q586">
        <v>18</v>
      </c>
      <c r="R586">
        <v>1</v>
      </c>
      <c r="S586">
        <v>8</v>
      </c>
      <c r="T586">
        <v>0</v>
      </c>
      <c r="U586">
        <v>7</v>
      </c>
      <c r="V586">
        <v>8</v>
      </c>
      <c r="W586">
        <v>56</v>
      </c>
      <c r="X586">
        <v>1130</v>
      </c>
      <c r="Y586">
        <v>3415</v>
      </c>
      <c r="Z586">
        <v>6214</v>
      </c>
      <c r="AA586">
        <v>3</v>
      </c>
      <c r="AB586">
        <v>34991</v>
      </c>
      <c r="AC586" s="10">
        <v>42007</v>
      </c>
      <c r="AD586" s="10" t="s">
        <v>72</v>
      </c>
      <c r="AE586" t="s">
        <v>72</v>
      </c>
      <c r="AF586" t="s">
        <v>45</v>
      </c>
    </row>
    <row r="587" spans="1:32" x14ac:dyDescent="0.25">
      <c r="A587">
        <v>1484</v>
      </c>
      <c r="B587">
        <v>49</v>
      </c>
      <c r="C587" t="s">
        <v>43</v>
      </c>
      <c r="D587" t="s">
        <v>33</v>
      </c>
      <c r="E587" t="s">
        <v>34</v>
      </c>
      <c r="F587" t="s">
        <v>35</v>
      </c>
      <c r="G587" t="s">
        <v>50</v>
      </c>
      <c r="H587" t="s">
        <v>37</v>
      </c>
      <c r="I587" t="s">
        <v>50</v>
      </c>
      <c r="J587" t="s">
        <v>62</v>
      </c>
      <c r="K587">
        <v>2</v>
      </c>
      <c r="L587">
        <v>3</v>
      </c>
      <c r="M587" t="s">
        <v>48</v>
      </c>
      <c r="N587" t="s">
        <v>52</v>
      </c>
      <c r="O587" t="s">
        <v>53</v>
      </c>
      <c r="P587" t="s">
        <v>43</v>
      </c>
      <c r="Q587">
        <v>14</v>
      </c>
      <c r="R587">
        <v>3</v>
      </c>
      <c r="S587">
        <v>29</v>
      </c>
      <c r="T587">
        <v>0</v>
      </c>
      <c r="U587">
        <v>7</v>
      </c>
      <c r="V587">
        <v>7</v>
      </c>
      <c r="W587">
        <v>35</v>
      </c>
      <c r="X587">
        <v>1490</v>
      </c>
      <c r="Y587">
        <v>20948</v>
      </c>
      <c r="Z587">
        <v>10466</v>
      </c>
      <c r="AA587">
        <v>3</v>
      </c>
      <c r="AB587">
        <v>26901</v>
      </c>
      <c r="AC587" s="10">
        <v>42016</v>
      </c>
      <c r="AD587" s="10" t="s">
        <v>72</v>
      </c>
      <c r="AE587" t="s">
        <v>72</v>
      </c>
      <c r="AF587" t="s">
        <v>45</v>
      </c>
    </row>
    <row r="588" spans="1:32" x14ac:dyDescent="0.25">
      <c r="A588">
        <v>471</v>
      </c>
      <c r="B588">
        <v>32</v>
      </c>
      <c r="C588" t="s">
        <v>43</v>
      </c>
      <c r="D588" t="s">
        <v>33</v>
      </c>
      <c r="E588" t="s">
        <v>34</v>
      </c>
      <c r="F588" t="s">
        <v>49</v>
      </c>
      <c r="G588" t="s">
        <v>50</v>
      </c>
      <c r="H588" t="s">
        <v>47</v>
      </c>
      <c r="I588" t="s">
        <v>50</v>
      </c>
      <c r="J588" t="s">
        <v>51</v>
      </c>
      <c r="K588">
        <v>2</v>
      </c>
      <c r="L588">
        <v>3</v>
      </c>
      <c r="M588" t="s">
        <v>48</v>
      </c>
      <c r="N588" t="s">
        <v>61</v>
      </c>
      <c r="O588" t="s">
        <v>36</v>
      </c>
      <c r="P588" t="s">
        <v>43</v>
      </c>
      <c r="Q588">
        <v>13</v>
      </c>
      <c r="R588">
        <v>1</v>
      </c>
      <c r="S588">
        <v>8</v>
      </c>
      <c r="T588">
        <v>0</v>
      </c>
      <c r="U588">
        <v>7</v>
      </c>
      <c r="V588">
        <v>2</v>
      </c>
      <c r="W588">
        <v>75</v>
      </c>
      <c r="X588">
        <v>1062</v>
      </c>
      <c r="Y588">
        <v>3956</v>
      </c>
      <c r="Z588">
        <v>2370</v>
      </c>
      <c r="AA588">
        <v>4</v>
      </c>
      <c r="AB588">
        <v>33317</v>
      </c>
      <c r="AC588" s="10">
        <v>42029</v>
      </c>
      <c r="AD588" s="10" t="s">
        <v>72</v>
      </c>
      <c r="AE588" t="s">
        <v>72</v>
      </c>
      <c r="AF588" t="s">
        <v>55</v>
      </c>
    </row>
    <row r="589" spans="1:32" x14ac:dyDescent="0.25">
      <c r="A589">
        <v>666</v>
      </c>
      <c r="B589">
        <v>34</v>
      </c>
      <c r="C589" t="s">
        <v>43</v>
      </c>
      <c r="D589" t="s">
        <v>33</v>
      </c>
      <c r="E589" t="s">
        <v>56</v>
      </c>
      <c r="F589" t="s">
        <v>49</v>
      </c>
      <c r="G589" t="s">
        <v>50</v>
      </c>
      <c r="H589" t="s">
        <v>47</v>
      </c>
      <c r="I589" t="s">
        <v>50</v>
      </c>
      <c r="J589" t="s">
        <v>66</v>
      </c>
      <c r="K589">
        <v>3</v>
      </c>
      <c r="L589">
        <v>3</v>
      </c>
      <c r="M589" t="s">
        <v>48</v>
      </c>
      <c r="N589" t="s">
        <v>52</v>
      </c>
      <c r="O589" t="s">
        <v>53</v>
      </c>
      <c r="P589" t="s">
        <v>32</v>
      </c>
      <c r="Q589">
        <v>18</v>
      </c>
      <c r="R589">
        <v>1</v>
      </c>
      <c r="S589">
        <v>8</v>
      </c>
      <c r="T589">
        <v>0</v>
      </c>
      <c r="U589">
        <v>6</v>
      </c>
      <c r="V589">
        <v>14</v>
      </c>
      <c r="W589">
        <v>31</v>
      </c>
      <c r="X589">
        <v>204</v>
      </c>
      <c r="Y589">
        <v>2912</v>
      </c>
      <c r="Z589">
        <v>2579</v>
      </c>
      <c r="AA589">
        <v>3</v>
      </c>
      <c r="AB589">
        <v>32356</v>
      </c>
      <c r="AC589" s="10">
        <v>42047</v>
      </c>
      <c r="AD589" s="10" t="s">
        <v>72</v>
      </c>
      <c r="AE589" t="s">
        <v>72</v>
      </c>
      <c r="AF589" t="s">
        <v>45</v>
      </c>
    </row>
    <row r="590" spans="1:32" x14ac:dyDescent="0.25">
      <c r="A590">
        <v>1898</v>
      </c>
      <c r="B590">
        <v>27</v>
      </c>
      <c r="C590" t="s">
        <v>43</v>
      </c>
      <c r="D590" t="s">
        <v>33</v>
      </c>
      <c r="E590" t="s">
        <v>56</v>
      </c>
      <c r="F590" t="s">
        <v>67</v>
      </c>
      <c r="G590" t="s">
        <v>36</v>
      </c>
      <c r="H590" t="s">
        <v>47</v>
      </c>
      <c r="I590" t="s">
        <v>59</v>
      </c>
      <c r="J590" t="s">
        <v>57</v>
      </c>
      <c r="K590">
        <v>3</v>
      </c>
      <c r="L590">
        <v>3</v>
      </c>
      <c r="M590" t="s">
        <v>60</v>
      </c>
      <c r="N590" t="s">
        <v>41</v>
      </c>
      <c r="O590" t="s">
        <v>42</v>
      </c>
      <c r="P590" t="s">
        <v>43</v>
      </c>
      <c r="Q590">
        <v>14</v>
      </c>
      <c r="R590">
        <v>0</v>
      </c>
      <c r="S590">
        <v>9</v>
      </c>
      <c r="T590">
        <v>0</v>
      </c>
      <c r="U590">
        <v>7</v>
      </c>
      <c r="V590">
        <v>2</v>
      </c>
      <c r="W590">
        <v>89</v>
      </c>
      <c r="X590">
        <v>511</v>
      </c>
      <c r="Y590">
        <v>26997</v>
      </c>
      <c r="Z590">
        <v>6500</v>
      </c>
      <c r="AA590">
        <v>5</v>
      </c>
      <c r="AB590">
        <v>35061</v>
      </c>
      <c r="AC590" s="10">
        <v>42137</v>
      </c>
      <c r="AD590" s="10" t="s">
        <v>72</v>
      </c>
      <c r="AE590" t="s">
        <v>72</v>
      </c>
      <c r="AF590" t="s">
        <v>45</v>
      </c>
    </row>
    <row r="591" spans="1:32" x14ac:dyDescent="0.25">
      <c r="A591">
        <v>1417</v>
      </c>
      <c r="B591">
        <v>26</v>
      </c>
      <c r="C591" t="s">
        <v>43</v>
      </c>
      <c r="D591" t="s">
        <v>33</v>
      </c>
      <c r="E591" t="s">
        <v>34</v>
      </c>
      <c r="F591" t="s">
        <v>49</v>
      </c>
      <c r="G591" t="s">
        <v>50</v>
      </c>
      <c r="H591" t="s">
        <v>37</v>
      </c>
      <c r="I591" t="s">
        <v>59</v>
      </c>
      <c r="J591" t="s">
        <v>51</v>
      </c>
      <c r="K591">
        <v>1</v>
      </c>
      <c r="L591">
        <v>3</v>
      </c>
      <c r="M591" t="s">
        <v>48</v>
      </c>
      <c r="N591" t="s">
        <v>41</v>
      </c>
      <c r="O591" t="s">
        <v>42</v>
      </c>
      <c r="P591" t="s">
        <v>43</v>
      </c>
      <c r="Q591">
        <v>12</v>
      </c>
      <c r="R591">
        <v>0</v>
      </c>
      <c r="S591">
        <v>8</v>
      </c>
      <c r="T591">
        <v>0</v>
      </c>
      <c r="U591">
        <v>7</v>
      </c>
      <c r="V591">
        <v>7</v>
      </c>
      <c r="W591">
        <v>100</v>
      </c>
      <c r="X591">
        <v>652</v>
      </c>
      <c r="Y591">
        <v>23577</v>
      </c>
      <c r="Z591">
        <v>3578</v>
      </c>
      <c r="AA591">
        <v>2</v>
      </c>
      <c r="AB591">
        <v>35284</v>
      </c>
      <c r="AC591" s="10">
        <v>42255</v>
      </c>
      <c r="AD591" s="10" t="s">
        <v>72</v>
      </c>
      <c r="AE591" t="s">
        <v>72</v>
      </c>
      <c r="AF591" t="s">
        <v>45</v>
      </c>
    </row>
    <row r="592" spans="1:32" x14ac:dyDescent="0.25">
      <c r="A592">
        <v>431</v>
      </c>
      <c r="B592">
        <v>49</v>
      </c>
      <c r="C592" t="s">
        <v>43</v>
      </c>
      <c r="D592" t="s">
        <v>33</v>
      </c>
      <c r="E592" t="s">
        <v>34</v>
      </c>
      <c r="F592" t="s">
        <v>67</v>
      </c>
      <c r="G592" t="s">
        <v>50</v>
      </c>
      <c r="H592" t="s">
        <v>47</v>
      </c>
      <c r="I592" t="s">
        <v>38</v>
      </c>
      <c r="J592" t="s">
        <v>62</v>
      </c>
      <c r="K592">
        <v>3</v>
      </c>
      <c r="L592">
        <v>3</v>
      </c>
      <c r="M592" t="s">
        <v>48</v>
      </c>
      <c r="N592" t="s">
        <v>41</v>
      </c>
      <c r="O592" t="s">
        <v>42</v>
      </c>
      <c r="P592" t="s">
        <v>32</v>
      </c>
      <c r="Q592">
        <v>12</v>
      </c>
      <c r="R592">
        <v>7</v>
      </c>
      <c r="S592">
        <v>25</v>
      </c>
      <c r="T592">
        <v>0</v>
      </c>
      <c r="U592">
        <v>7</v>
      </c>
      <c r="V592">
        <v>1</v>
      </c>
      <c r="W592">
        <v>90</v>
      </c>
      <c r="X592">
        <v>1091</v>
      </c>
      <c r="Y592">
        <v>17810</v>
      </c>
      <c r="Z592">
        <v>13964</v>
      </c>
      <c r="AA592">
        <v>2</v>
      </c>
      <c r="AB592">
        <v>27130</v>
      </c>
      <c r="AC592" s="10">
        <v>42303</v>
      </c>
      <c r="AD592" s="10" t="s">
        <v>72</v>
      </c>
      <c r="AE592" t="s">
        <v>72</v>
      </c>
      <c r="AF592" t="s">
        <v>45</v>
      </c>
    </row>
    <row r="593" spans="1:32" x14ac:dyDescent="0.25">
      <c r="A593">
        <v>323</v>
      </c>
      <c r="B593">
        <v>50</v>
      </c>
      <c r="C593" t="s">
        <v>43</v>
      </c>
      <c r="D593" t="s">
        <v>33</v>
      </c>
      <c r="E593" t="s">
        <v>56</v>
      </c>
      <c r="F593" t="s">
        <v>35</v>
      </c>
      <c r="G593" t="s">
        <v>59</v>
      </c>
      <c r="H593" t="s">
        <v>47</v>
      </c>
      <c r="I593" t="s">
        <v>50</v>
      </c>
      <c r="J593" t="s">
        <v>69</v>
      </c>
      <c r="K593">
        <v>4</v>
      </c>
      <c r="L593">
        <v>3</v>
      </c>
      <c r="M593" t="s">
        <v>60</v>
      </c>
      <c r="N593" t="s">
        <v>52</v>
      </c>
      <c r="O593" t="s">
        <v>36</v>
      </c>
      <c r="P593" t="s">
        <v>43</v>
      </c>
      <c r="Q593">
        <v>11</v>
      </c>
      <c r="R593">
        <v>3</v>
      </c>
      <c r="S593">
        <v>32</v>
      </c>
      <c r="T593">
        <v>0</v>
      </c>
      <c r="U593">
        <v>6</v>
      </c>
      <c r="V593">
        <v>1</v>
      </c>
      <c r="W593">
        <v>68</v>
      </c>
      <c r="X593">
        <v>854</v>
      </c>
      <c r="Y593">
        <v>24118</v>
      </c>
      <c r="Z593">
        <v>19517</v>
      </c>
      <c r="AA593">
        <v>3</v>
      </c>
      <c r="AB593">
        <v>26566</v>
      </c>
      <c r="AC593" s="10">
        <v>42358</v>
      </c>
      <c r="AD593" s="10" t="s">
        <v>72</v>
      </c>
      <c r="AE593" t="s">
        <v>72</v>
      </c>
      <c r="AF593" t="s">
        <v>45</v>
      </c>
    </row>
    <row r="594" spans="1:32" x14ac:dyDescent="0.25">
      <c r="A594">
        <v>1965</v>
      </c>
      <c r="B594">
        <v>27</v>
      </c>
      <c r="C594" t="s">
        <v>43</v>
      </c>
      <c r="D594" t="s">
        <v>33</v>
      </c>
      <c r="E594" t="s">
        <v>56</v>
      </c>
      <c r="F594" t="s">
        <v>49</v>
      </c>
      <c r="G594" t="s">
        <v>59</v>
      </c>
      <c r="H594" t="s">
        <v>37</v>
      </c>
      <c r="I594" t="s">
        <v>50</v>
      </c>
      <c r="J594" t="s">
        <v>57</v>
      </c>
      <c r="K594">
        <v>4</v>
      </c>
      <c r="L594">
        <v>3</v>
      </c>
      <c r="M594" t="s">
        <v>48</v>
      </c>
      <c r="N594" t="s">
        <v>41</v>
      </c>
      <c r="O594" t="s">
        <v>42</v>
      </c>
      <c r="P594" t="s">
        <v>43</v>
      </c>
      <c r="Q594">
        <v>14</v>
      </c>
      <c r="R594">
        <v>1</v>
      </c>
      <c r="S594">
        <v>7</v>
      </c>
      <c r="T594">
        <v>0</v>
      </c>
      <c r="U594">
        <v>7</v>
      </c>
      <c r="V594">
        <v>9</v>
      </c>
      <c r="W594">
        <v>44</v>
      </c>
      <c r="X594">
        <v>954</v>
      </c>
      <c r="Y594">
        <v>5099</v>
      </c>
      <c r="Z594">
        <v>4105</v>
      </c>
      <c r="AA594">
        <v>5</v>
      </c>
      <c r="AB594">
        <v>35150</v>
      </c>
      <c r="AC594" s="10">
        <v>42362</v>
      </c>
      <c r="AD594" s="10" t="s">
        <v>72</v>
      </c>
      <c r="AE594" t="s">
        <v>72</v>
      </c>
      <c r="AF594" t="s">
        <v>45</v>
      </c>
    </row>
    <row r="595" spans="1:32" x14ac:dyDescent="0.25">
      <c r="A595">
        <v>1816</v>
      </c>
      <c r="B595">
        <v>30</v>
      </c>
      <c r="C595" t="s">
        <v>43</v>
      </c>
      <c r="D595" t="s">
        <v>33</v>
      </c>
      <c r="E595" t="s">
        <v>34</v>
      </c>
      <c r="F595" t="s">
        <v>49</v>
      </c>
      <c r="G595" t="s">
        <v>36</v>
      </c>
      <c r="H595" t="s">
        <v>47</v>
      </c>
      <c r="I595" t="s">
        <v>50</v>
      </c>
      <c r="J595" t="s">
        <v>65</v>
      </c>
      <c r="K595">
        <v>3</v>
      </c>
      <c r="L595">
        <v>3</v>
      </c>
      <c r="M595" t="s">
        <v>48</v>
      </c>
      <c r="N595" t="s">
        <v>41</v>
      </c>
      <c r="O595" t="s">
        <v>42</v>
      </c>
      <c r="P595" t="s">
        <v>43</v>
      </c>
      <c r="Q595">
        <v>14</v>
      </c>
      <c r="R595">
        <v>9</v>
      </c>
      <c r="S595">
        <v>9</v>
      </c>
      <c r="T595">
        <v>0</v>
      </c>
      <c r="U595">
        <v>2</v>
      </c>
      <c r="V595">
        <v>10</v>
      </c>
      <c r="W595">
        <v>64</v>
      </c>
      <c r="X595">
        <v>1092</v>
      </c>
      <c r="Y595">
        <v>2739</v>
      </c>
      <c r="Z595">
        <v>9667</v>
      </c>
      <c r="AA595">
        <v>3</v>
      </c>
      <c r="AB595">
        <v>34057</v>
      </c>
      <c r="AC595" s="10">
        <v>42379</v>
      </c>
      <c r="AD595" s="10" t="s">
        <v>72</v>
      </c>
      <c r="AE595" t="s">
        <v>72</v>
      </c>
      <c r="AF595" t="s">
        <v>45</v>
      </c>
    </row>
    <row r="596" spans="1:32" x14ac:dyDescent="0.25">
      <c r="A596">
        <v>1544</v>
      </c>
      <c r="B596">
        <v>29</v>
      </c>
      <c r="C596" t="s">
        <v>43</v>
      </c>
      <c r="D596" t="s">
        <v>33</v>
      </c>
      <c r="E596" t="s">
        <v>34</v>
      </c>
      <c r="F596" t="s">
        <v>64</v>
      </c>
      <c r="G596" t="s">
        <v>50</v>
      </c>
      <c r="H596" t="s">
        <v>47</v>
      </c>
      <c r="I596" t="s">
        <v>36</v>
      </c>
      <c r="J596" t="s">
        <v>62</v>
      </c>
      <c r="K596">
        <v>1</v>
      </c>
      <c r="L596">
        <v>3</v>
      </c>
      <c r="M596" t="s">
        <v>48</v>
      </c>
      <c r="N596" t="s">
        <v>61</v>
      </c>
      <c r="O596" t="s">
        <v>36</v>
      </c>
      <c r="P596" t="s">
        <v>43</v>
      </c>
      <c r="Q596">
        <v>13</v>
      </c>
      <c r="R596">
        <v>3</v>
      </c>
      <c r="S596">
        <v>9</v>
      </c>
      <c r="T596">
        <v>0</v>
      </c>
      <c r="U596">
        <v>7</v>
      </c>
      <c r="V596">
        <v>8</v>
      </c>
      <c r="W596">
        <v>39</v>
      </c>
      <c r="X596">
        <v>441</v>
      </c>
      <c r="Y596">
        <v>7288</v>
      </c>
      <c r="Z596">
        <v>9715</v>
      </c>
      <c r="AA596">
        <v>3</v>
      </c>
      <c r="AB596">
        <v>34471</v>
      </c>
      <c r="AC596" s="10">
        <v>42394</v>
      </c>
      <c r="AD596" s="10" t="s">
        <v>72</v>
      </c>
      <c r="AE596" t="s">
        <v>72</v>
      </c>
      <c r="AF596" t="s">
        <v>45</v>
      </c>
    </row>
    <row r="597" spans="1:32" x14ac:dyDescent="0.25">
      <c r="A597">
        <v>439</v>
      </c>
      <c r="B597">
        <v>32</v>
      </c>
      <c r="C597" t="s">
        <v>43</v>
      </c>
      <c r="D597" t="s">
        <v>33</v>
      </c>
      <c r="E597" t="s">
        <v>34</v>
      </c>
      <c r="F597" t="s">
        <v>35</v>
      </c>
      <c r="G597" t="s">
        <v>36</v>
      </c>
      <c r="H597" t="s">
        <v>47</v>
      </c>
      <c r="I597" t="s">
        <v>59</v>
      </c>
      <c r="J597" t="s">
        <v>39</v>
      </c>
      <c r="K597">
        <v>4</v>
      </c>
      <c r="L597">
        <v>3</v>
      </c>
      <c r="M597" t="s">
        <v>60</v>
      </c>
      <c r="N597" t="s">
        <v>41</v>
      </c>
      <c r="O597" t="s">
        <v>42</v>
      </c>
      <c r="P597" t="s">
        <v>43</v>
      </c>
      <c r="Q597">
        <v>16</v>
      </c>
      <c r="R597">
        <v>7</v>
      </c>
      <c r="S597">
        <v>10</v>
      </c>
      <c r="T597">
        <v>0</v>
      </c>
      <c r="U597">
        <v>4</v>
      </c>
      <c r="V597">
        <v>2</v>
      </c>
      <c r="W597">
        <v>74</v>
      </c>
      <c r="X597">
        <v>1018</v>
      </c>
      <c r="Y597">
        <v>10557</v>
      </c>
      <c r="Z597">
        <v>5055</v>
      </c>
      <c r="AA597">
        <v>0</v>
      </c>
      <c r="AB597">
        <v>33271</v>
      </c>
      <c r="AC597" s="10">
        <v>42443</v>
      </c>
      <c r="AD597" s="10" t="s">
        <v>72</v>
      </c>
      <c r="AE597" t="s">
        <v>72</v>
      </c>
      <c r="AF597" t="s">
        <v>45</v>
      </c>
    </row>
    <row r="598" spans="1:32" x14ac:dyDescent="0.25">
      <c r="A598">
        <v>500</v>
      </c>
      <c r="B598">
        <v>51</v>
      </c>
      <c r="C598" t="s">
        <v>43</v>
      </c>
      <c r="D598" t="s">
        <v>33</v>
      </c>
      <c r="E598" t="s">
        <v>56</v>
      </c>
      <c r="F598" t="s">
        <v>67</v>
      </c>
      <c r="G598" t="s">
        <v>50</v>
      </c>
      <c r="H598" t="s">
        <v>47</v>
      </c>
      <c r="I598" t="s">
        <v>50</v>
      </c>
      <c r="J598" t="s">
        <v>57</v>
      </c>
      <c r="K598">
        <v>4</v>
      </c>
      <c r="L598">
        <v>3</v>
      </c>
      <c r="M598" t="s">
        <v>60</v>
      </c>
      <c r="N598" t="s">
        <v>61</v>
      </c>
      <c r="O598" t="s">
        <v>36</v>
      </c>
      <c r="P598" t="s">
        <v>43</v>
      </c>
      <c r="Q598">
        <v>11</v>
      </c>
      <c r="R598">
        <v>4</v>
      </c>
      <c r="S598">
        <v>18</v>
      </c>
      <c r="T598">
        <v>0</v>
      </c>
      <c r="U598">
        <v>3</v>
      </c>
      <c r="V598">
        <v>14</v>
      </c>
      <c r="W598">
        <v>87</v>
      </c>
      <c r="X598">
        <v>1178</v>
      </c>
      <c r="Y598">
        <v>14862</v>
      </c>
      <c r="Z598">
        <v>4936</v>
      </c>
      <c r="AA598">
        <v>2</v>
      </c>
      <c r="AB598">
        <v>26408</v>
      </c>
      <c r="AC598" s="10">
        <v>42457</v>
      </c>
      <c r="AD598" s="10" t="s">
        <v>72</v>
      </c>
      <c r="AE598" t="s">
        <v>72</v>
      </c>
      <c r="AF598" t="s">
        <v>45</v>
      </c>
    </row>
    <row r="599" spans="1:32" x14ac:dyDescent="0.25">
      <c r="A599">
        <v>498</v>
      </c>
      <c r="B599">
        <v>28</v>
      </c>
      <c r="C599" t="s">
        <v>43</v>
      </c>
      <c r="D599" t="s">
        <v>33</v>
      </c>
      <c r="E599" t="s">
        <v>56</v>
      </c>
      <c r="F599" t="s">
        <v>35</v>
      </c>
      <c r="G599" t="s">
        <v>38</v>
      </c>
      <c r="H599" t="s">
        <v>37</v>
      </c>
      <c r="I599" t="s">
        <v>50</v>
      </c>
      <c r="J599" t="s">
        <v>57</v>
      </c>
      <c r="K599">
        <v>4</v>
      </c>
      <c r="L599">
        <v>3</v>
      </c>
      <c r="M599" t="s">
        <v>48</v>
      </c>
      <c r="N599" t="s">
        <v>41</v>
      </c>
      <c r="O599" t="s">
        <v>42</v>
      </c>
      <c r="P599" t="s">
        <v>43</v>
      </c>
      <c r="Q599">
        <v>16</v>
      </c>
      <c r="R599">
        <v>1</v>
      </c>
      <c r="S599">
        <v>7</v>
      </c>
      <c r="T599">
        <v>0</v>
      </c>
      <c r="U599">
        <v>3</v>
      </c>
      <c r="V599">
        <v>9</v>
      </c>
      <c r="W599">
        <v>92</v>
      </c>
      <c r="X599">
        <v>304</v>
      </c>
      <c r="Y599">
        <v>20750</v>
      </c>
      <c r="Z599">
        <v>5253</v>
      </c>
      <c r="AA599">
        <v>1</v>
      </c>
      <c r="AB599">
        <v>34723</v>
      </c>
      <c r="AC599" s="10">
        <v>42471</v>
      </c>
      <c r="AD599" s="10" t="s">
        <v>72</v>
      </c>
      <c r="AE599" t="s">
        <v>72</v>
      </c>
      <c r="AF599" t="s">
        <v>45</v>
      </c>
    </row>
    <row r="600" spans="1:32" x14ac:dyDescent="0.25">
      <c r="A600">
        <v>645</v>
      </c>
      <c r="B600">
        <v>25</v>
      </c>
      <c r="C600" t="s">
        <v>43</v>
      </c>
      <c r="D600" t="s">
        <v>33</v>
      </c>
      <c r="E600" t="s">
        <v>56</v>
      </c>
      <c r="F600" t="s">
        <v>64</v>
      </c>
      <c r="G600" t="s">
        <v>38</v>
      </c>
      <c r="H600" t="s">
        <v>37</v>
      </c>
      <c r="I600" t="s">
        <v>50</v>
      </c>
      <c r="J600" t="s">
        <v>66</v>
      </c>
      <c r="K600">
        <v>3</v>
      </c>
      <c r="L600">
        <v>3</v>
      </c>
      <c r="M600" t="s">
        <v>48</v>
      </c>
      <c r="N600" t="s">
        <v>61</v>
      </c>
      <c r="O600" t="s">
        <v>42</v>
      </c>
      <c r="P600" t="s">
        <v>43</v>
      </c>
      <c r="Q600">
        <v>11</v>
      </c>
      <c r="R600">
        <v>1</v>
      </c>
      <c r="S600">
        <v>7</v>
      </c>
      <c r="T600">
        <v>0</v>
      </c>
      <c r="U600">
        <v>6</v>
      </c>
      <c r="V600">
        <v>13</v>
      </c>
      <c r="W600">
        <v>40</v>
      </c>
      <c r="X600">
        <v>622</v>
      </c>
      <c r="Y600">
        <v>26376</v>
      </c>
      <c r="Z600">
        <v>2096</v>
      </c>
      <c r="AA600">
        <v>1</v>
      </c>
      <c r="AB600">
        <v>35877</v>
      </c>
      <c r="AC600" s="10">
        <v>42499</v>
      </c>
      <c r="AD600" s="10" t="s">
        <v>72</v>
      </c>
      <c r="AE600" t="s">
        <v>72</v>
      </c>
      <c r="AF600" t="s">
        <v>45</v>
      </c>
    </row>
    <row r="601" spans="1:32" x14ac:dyDescent="0.25">
      <c r="A601">
        <v>1460</v>
      </c>
      <c r="B601">
        <v>45</v>
      </c>
      <c r="C601" t="s">
        <v>43</v>
      </c>
      <c r="D601" t="s">
        <v>33</v>
      </c>
      <c r="E601" t="s">
        <v>34</v>
      </c>
      <c r="F601" t="s">
        <v>49</v>
      </c>
      <c r="G601" t="s">
        <v>38</v>
      </c>
      <c r="H601" t="s">
        <v>37</v>
      </c>
      <c r="I601" t="s">
        <v>36</v>
      </c>
      <c r="J601" t="s">
        <v>62</v>
      </c>
      <c r="K601">
        <v>1</v>
      </c>
      <c r="L601">
        <v>3</v>
      </c>
      <c r="M601" t="s">
        <v>48</v>
      </c>
      <c r="N601" t="s">
        <v>52</v>
      </c>
      <c r="O601" t="s">
        <v>36</v>
      </c>
      <c r="P601" t="s">
        <v>32</v>
      </c>
      <c r="Q601">
        <v>18</v>
      </c>
      <c r="R601">
        <v>2</v>
      </c>
      <c r="S601">
        <v>24</v>
      </c>
      <c r="T601">
        <v>0</v>
      </c>
      <c r="U601">
        <v>6</v>
      </c>
      <c r="V601">
        <v>20</v>
      </c>
      <c r="W601">
        <v>95</v>
      </c>
      <c r="X601">
        <v>1038</v>
      </c>
      <c r="Y601">
        <v>19863</v>
      </c>
      <c r="Z601">
        <v>10851</v>
      </c>
      <c r="AA601">
        <v>2</v>
      </c>
      <c r="AB601">
        <v>28683</v>
      </c>
      <c r="AC601" s="10">
        <v>42508</v>
      </c>
      <c r="AD601" s="10" t="s">
        <v>72</v>
      </c>
      <c r="AE601" t="s">
        <v>72</v>
      </c>
      <c r="AF601" t="s">
        <v>45</v>
      </c>
    </row>
    <row r="602" spans="1:32" x14ac:dyDescent="0.25">
      <c r="A602">
        <v>77</v>
      </c>
      <c r="B602">
        <v>37</v>
      </c>
      <c r="C602" t="s">
        <v>43</v>
      </c>
      <c r="D602" t="s">
        <v>33</v>
      </c>
      <c r="E602" t="s">
        <v>34</v>
      </c>
      <c r="F602" t="s">
        <v>35</v>
      </c>
      <c r="G602" t="s">
        <v>36</v>
      </c>
      <c r="H602" t="s">
        <v>37</v>
      </c>
      <c r="I602" t="s">
        <v>38</v>
      </c>
      <c r="J602" t="s">
        <v>65</v>
      </c>
      <c r="K602">
        <v>3</v>
      </c>
      <c r="L602">
        <v>3</v>
      </c>
      <c r="M602" t="s">
        <v>58</v>
      </c>
      <c r="N602" t="s">
        <v>52</v>
      </c>
      <c r="O602" t="s">
        <v>36</v>
      </c>
      <c r="P602" t="s">
        <v>43</v>
      </c>
      <c r="Q602">
        <v>18</v>
      </c>
      <c r="R602">
        <v>1</v>
      </c>
      <c r="S602">
        <v>7</v>
      </c>
      <c r="T602">
        <v>0</v>
      </c>
      <c r="U602">
        <v>1</v>
      </c>
      <c r="V602">
        <v>1</v>
      </c>
      <c r="W602">
        <v>51</v>
      </c>
      <c r="X602">
        <v>1115</v>
      </c>
      <c r="Y602">
        <v>2689</v>
      </c>
      <c r="Z602">
        <v>5993</v>
      </c>
      <c r="AA602">
        <v>2</v>
      </c>
      <c r="AB602">
        <v>31393</v>
      </c>
      <c r="AC602" s="10">
        <v>42523</v>
      </c>
      <c r="AD602" s="10" t="s">
        <v>72</v>
      </c>
      <c r="AE602" t="s">
        <v>72</v>
      </c>
      <c r="AF602" t="s">
        <v>45</v>
      </c>
    </row>
    <row r="603" spans="1:32" x14ac:dyDescent="0.25">
      <c r="A603">
        <v>260</v>
      </c>
      <c r="B603">
        <v>27</v>
      </c>
      <c r="C603" t="s">
        <v>43</v>
      </c>
      <c r="D603" t="s">
        <v>33</v>
      </c>
      <c r="E603" t="s">
        <v>34</v>
      </c>
      <c r="F603" t="s">
        <v>49</v>
      </c>
      <c r="G603" t="s">
        <v>59</v>
      </c>
      <c r="H603" t="s">
        <v>47</v>
      </c>
      <c r="I603" t="s">
        <v>50</v>
      </c>
      <c r="J603" t="s">
        <v>39</v>
      </c>
      <c r="K603">
        <v>2</v>
      </c>
      <c r="L603">
        <v>3</v>
      </c>
      <c r="M603" t="s">
        <v>60</v>
      </c>
      <c r="N603" t="s">
        <v>41</v>
      </c>
      <c r="O603" t="s">
        <v>42</v>
      </c>
      <c r="P603" t="s">
        <v>43</v>
      </c>
      <c r="Q603">
        <v>16</v>
      </c>
      <c r="R603">
        <v>1</v>
      </c>
      <c r="S603">
        <v>7</v>
      </c>
      <c r="T603">
        <v>0</v>
      </c>
      <c r="U603">
        <v>3</v>
      </c>
      <c r="V603">
        <v>9</v>
      </c>
      <c r="W603">
        <v>99</v>
      </c>
      <c r="X603">
        <v>894</v>
      </c>
      <c r="Y603">
        <v>11781</v>
      </c>
      <c r="Z603">
        <v>2279</v>
      </c>
      <c r="AA603">
        <v>2</v>
      </c>
      <c r="AB603">
        <v>35241</v>
      </c>
      <c r="AC603" s="10">
        <v>42560</v>
      </c>
      <c r="AD603" s="10" t="s">
        <v>72</v>
      </c>
      <c r="AE603" t="s">
        <v>72</v>
      </c>
      <c r="AF603" t="s">
        <v>55</v>
      </c>
    </row>
    <row r="604" spans="1:32" x14ac:dyDescent="0.25">
      <c r="A604">
        <v>112</v>
      </c>
      <c r="B604">
        <v>56</v>
      </c>
      <c r="C604" t="s">
        <v>43</v>
      </c>
      <c r="D604" t="s">
        <v>33</v>
      </c>
      <c r="E604" t="s">
        <v>34</v>
      </c>
      <c r="F604" t="s">
        <v>49</v>
      </c>
      <c r="G604" t="s">
        <v>59</v>
      </c>
      <c r="H604" t="s">
        <v>37</v>
      </c>
      <c r="I604" t="s">
        <v>36</v>
      </c>
      <c r="J604" t="s">
        <v>65</v>
      </c>
      <c r="K604">
        <v>4</v>
      </c>
      <c r="L604">
        <v>3</v>
      </c>
      <c r="M604" t="s">
        <v>60</v>
      </c>
      <c r="N604" t="s">
        <v>41</v>
      </c>
      <c r="O604" t="s">
        <v>42</v>
      </c>
      <c r="P604" t="s">
        <v>43</v>
      </c>
      <c r="Q604">
        <v>11</v>
      </c>
      <c r="R604">
        <v>4</v>
      </c>
      <c r="S604">
        <v>37</v>
      </c>
      <c r="T604">
        <v>0</v>
      </c>
      <c r="U604">
        <v>2</v>
      </c>
      <c r="V604">
        <v>7</v>
      </c>
      <c r="W604">
        <v>49</v>
      </c>
      <c r="X604">
        <v>1400</v>
      </c>
      <c r="Y604">
        <v>21698</v>
      </c>
      <c r="Z604">
        <v>7260</v>
      </c>
      <c r="AA604">
        <v>3</v>
      </c>
      <c r="AB604">
        <v>24447</v>
      </c>
      <c r="AC604" s="10">
        <v>42593</v>
      </c>
      <c r="AD604" s="10" t="s">
        <v>72</v>
      </c>
      <c r="AE604" t="s">
        <v>72</v>
      </c>
      <c r="AF604" t="s">
        <v>45</v>
      </c>
    </row>
    <row r="605" spans="1:32" x14ac:dyDescent="0.25">
      <c r="A605">
        <v>1254</v>
      </c>
      <c r="B605">
        <v>59</v>
      </c>
      <c r="C605" t="s">
        <v>43</v>
      </c>
      <c r="D605" t="s">
        <v>33</v>
      </c>
      <c r="E605" t="s">
        <v>56</v>
      </c>
      <c r="F605" t="s">
        <v>49</v>
      </c>
      <c r="G605" t="s">
        <v>50</v>
      </c>
      <c r="H605" t="s">
        <v>47</v>
      </c>
      <c r="I605" t="s">
        <v>38</v>
      </c>
      <c r="J605" t="s">
        <v>57</v>
      </c>
      <c r="K605">
        <v>4</v>
      </c>
      <c r="L605">
        <v>3</v>
      </c>
      <c r="M605" t="s">
        <v>48</v>
      </c>
      <c r="N605" t="s">
        <v>41</v>
      </c>
      <c r="O605" t="s">
        <v>42</v>
      </c>
      <c r="P605" t="s">
        <v>43</v>
      </c>
      <c r="Q605">
        <v>17</v>
      </c>
      <c r="R605">
        <v>5</v>
      </c>
      <c r="S605">
        <v>13</v>
      </c>
      <c r="T605">
        <v>0</v>
      </c>
      <c r="U605">
        <v>5</v>
      </c>
      <c r="V605">
        <v>3</v>
      </c>
      <c r="W605">
        <v>48</v>
      </c>
      <c r="X605">
        <v>326</v>
      </c>
      <c r="Y605">
        <v>16490</v>
      </c>
      <c r="Z605">
        <v>5171</v>
      </c>
      <c r="AA605">
        <v>2</v>
      </c>
      <c r="AB605">
        <v>23484</v>
      </c>
      <c r="AC605" s="10">
        <v>42612</v>
      </c>
      <c r="AD605" s="10" t="s">
        <v>72</v>
      </c>
      <c r="AE605" t="s">
        <v>72</v>
      </c>
      <c r="AF605" t="s">
        <v>45</v>
      </c>
    </row>
    <row r="606" spans="1:32" x14ac:dyDescent="0.25">
      <c r="A606">
        <v>303</v>
      </c>
      <c r="B606">
        <v>54</v>
      </c>
      <c r="C606" t="s">
        <v>43</v>
      </c>
      <c r="D606" t="s">
        <v>33</v>
      </c>
      <c r="E606" t="s">
        <v>56</v>
      </c>
      <c r="F606" t="s">
        <v>49</v>
      </c>
      <c r="G606" t="s">
        <v>59</v>
      </c>
      <c r="H606" t="s">
        <v>47</v>
      </c>
      <c r="I606" t="s">
        <v>50</v>
      </c>
      <c r="J606" t="s">
        <v>57</v>
      </c>
      <c r="K606">
        <v>1</v>
      </c>
      <c r="L606">
        <v>3</v>
      </c>
      <c r="M606" t="s">
        <v>48</v>
      </c>
      <c r="N606" t="s">
        <v>61</v>
      </c>
      <c r="O606" t="s">
        <v>36</v>
      </c>
      <c r="P606" t="s">
        <v>43</v>
      </c>
      <c r="Q606">
        <v>14</v>
      </c>
      <c r="R606">
        <v>2</v>
      </c>
      <c r="S606">
        <v>16</v>
      </c>
      <c r="T606">
        <v>0</v>
      </c>
      <c r="U606">
        <v>5</v>
      </c>
      <c r="V606">
        <v>3</v>
      </c>
      <c r="W606">
        <v>52</v>
      </c>
      <c r="X606">
        <v>1147</v>
      </c>
      <c r="Y606">
        <v>17011</v>
      </c>
      <c r="Z606">
        <v>5940</v>
      </c>
      <c r="AA606">
        <v>4</v>
      </c>
      <c r="AB606">
        <v>25101</v>
      </c>
      <c r="AC606" s="10">
        <v>42616</v>
      </c>
      <c r="AD606" s="10" t="s">
        <v>72</v>
      </c>
      <c r="AE606" t="s">
        <v>72</v>
      </c>
      <c r="AF606" t="s">
        <v>45</v>
      </c>
    </row>
    <row r="607" spans="1:32" x14ac:dyDescent="0.25">
      <c r="A607">
        <v>192</v>
      </c>
      <c r="B607">
        <v>45</v>
      </c>
      <c r="C607" t="s">
        <v>43</v>
      </c>
      <c r="D607" t="s">
        <v>33</v>
      </c>
      <c r="E607" t="s">
        <v>34</v>
      </c>
      <c r="F607" t="s">
        <v>49</v>
      </c>
      <c r="G607" t="s">
        <v>50</v>
      </c>
      <c r="H607" t="s">
        <v>37</v>
      </c>
      <c r="I607" t="s">
        <v>50</v>
      </c>
      <c r="J607" t="s">
        <v>39</v>
      </c>
      <c r="K607">
        <v>4</v>
      </c>
      <c r="L607">
        <v>3</v>
      </c>
      <c r="M607" t="s">
        <v>60</v>
      </c>
      <c r="N607" t="s">
        <v>41</v>
      </c>
      <c r="O607" t="s">
        <v>42</v>
      </c>
      <c r="P607" t="s">
        <v>43</v>
      </c>
      <c r="Q607">
        <v>13</v>
      </c>
      <c r="R607">
        <v>5</v>
      </c>
      <c r="S607">
        <v>9</v>
      </c>
      <c r="T607">
        <v>0</v>
      </c>
      <c r="U607">
        <v>3</v>
      </c>
      <c r="V607">
        <v>29</v>
      </c>
      <c r="W607">
        <v>83</v>
      </c>
      <c r="X607">
        <v>1316</v>
      </c>
      <c r="Y607">
        <v>9752</v>
      </c>
      <c r="Z607">
        <v>3452</v>
      </c>
      <c r="AA607">
        <v>2</v>
      </c>
      <c r="AB607">
        <v>28538</v>
      </c>
      <c r="AC607" s="10">
        <v>42635</v>
      </c>
      <c r="AD607" s="10" t="s">
        <v>72</v>
      </c>
      <c r="AE607" t="s">
        <v>72</v>
      </c>
      <c r="AF607" t="s">
        <v>45</v>
      </c>
    </row>
    <row r="608" spans="1:32" x14ac:dyDescent="0.25">
      <c r="A608">
        <v>362</v>
      </c>
      <c r="B608">
        <v>32</v>
      </c>
      <c r="C608" t="s">
        <v>43</v>
      </c>
      <c r="D608" t="s">
        <v>33</v>
      </c>
      <c r="E608" t="s">
        <v>34</v>
      </c>
      <c r="F608" t="s">
        <v>64</v>
      </c>
      <c r="G608" t="s">
        <v>59</v>
      </c>
      <c r="H608" t="s">
        <v>37</v>
      </c>
      <c r="I608" t="s">
        <v>38</v>
      </c>
      <c r="J608" t="s">
        <v>51</v>
      </c>
      <c r="K608">
        <v>1</v>
      </c>
      <c r="L608">
        <v>3</v>
      </c>
      <c r="M608" t="s">
        <v>48</v>
      </c>
      <c r="N608" t="s">
        <v>41</v>
      </c>
      <c r="O608" t="s">
        <v>42</v>
      </c>
      <c r="P608" t="s">
        <v>43</v>
      </c>
      <c r="Q608">
        <v>13</v>
      </c>
      <c r="R608">
        <v>4</v>
      </c>
      <c r="S608">
        <v>9</v>
      </c>
      <c r="T608">
        <v>0</v>
      </c>
      <c r="U608">
        <v>4</v>
      </c>
      <c r="V608">
        <v>2</v>
      </c>
      <c r="W608">
        <v>84</v>
      </c>
      <c r="X608">
        <v>128</v>
      </c>
      <c r="Y608">
        <v>19737</v>
      </c>
      <c r="Z608">
        <v>2176</v>
      </c>
      <c r="AA608">
        <v>5</v>
      </c>
      <c r="AB608">
        <v>33383</v>
      </c>
      <c r="AC608" s="10">
        <v>42650</v>
      </c>
      <c r="AD608" s="10" t="s">
        <v>72</v>
      </c>
      <c r="AE608" t="s">
        <v>72</v>
      </c>
      <c r="AF608" t="s">
        <v>45</v>
      </c>
    </row>
    <row r="609" spans="1:32" x14ac:dyDescent="0.25">
      <c r="A609">
        <v>460</v>
      </c>
      <c r="B609">
        <v>37</v>
      </c>
      <c r="C609" t="s">
        <v>43</v>
      </c>
      <c r="D609" t="s">
        <v>33</v>
      </c>
      <c r="E609" t="s">
        <v>34</v>
      </c>
      <c r="F609" t="s">
        <v>67</v>
      </c>
      <c r="G609" t="s">
        <v>59</v>
      </c>
      <c r="H609" t="s">
        <v>37</v>
      </c>
      <c r="I609" t="s">
        <v>50</v>
      </c>
      <c r="J609" t="s">
        <v>65</v>
      </c>
      <c r="K609">
        <v>4</v>
      </c>
      <c r="L609">
        <v>3</v>
      </c>
      <c r="M609" t="s">
        <v>60</v>
      </c>
      <c r="N609" t="s">
        <v>52</v>
      </c>
      <c r="O609" t="s">
        <v>53</v>
      </c>
      <c r="P609" t="s">
        <v>43</v>
      </c>
      <c r="Q609">
        <v>16</v>
      </c>
      <c r="R609">
        <v>7</v>
      </c>
      <c r="S609">
        <v>8</v>
      </c>
      <c r="T609">
        <v>0</v>
      </c>
      <c r="U609">
        <v>4</v>
      </c>
      <c r="V609">
        <v>5</v>
      </c>
      <c r="W609">
        <v>61</v>
      </c>
      <c r="X609">
        <v>1192</v>
      </c>
      <c r="Y609">
        <v>23177</v>
      </c>
      <c r="Z609">
        <v>6347</v>
      </c>
      <c r="AA609">
        <v>2</v>
      </c>
      <c r="AB609">
        <v>31274</v>
      </c>
      <c r="AC609" s="10">
        <v>42691</v>
      </c>
      <c r="AD609" s="10" t="s">
        <v>72</v>
      </c>
      <c r="AE609" t="s">
        <v>72</v>
      </c>
      <c r="AF609" t="s">
        <v>45</v>
      </c>
    </row>
    <row r="610" spans="1:32" x14ac:dyDescent="0.25">
      <c r="A610">
        <v>679</v>
      </c>
      <c r="B610">
        <v>32</v>
      </c>
      <c r="C610" t="s">
        <v>43</v>
      </c>
      <c r="D610" t="s">
        <v>33</v>
      </c>
      <c r="E610" t="s">
        <v>34</v>
      </c>
      <c r="F610" t="s">
        <v>35</v>
      </c>
      <c r="G610" t="s">
        <v>36</v>
      </c>
      <c r="H610" t="s">
        <v>47</v>
      </c>
      <c r="I610" t="s">
        <v>50</v>
      </c>
      <c r="J610" t="s">
        <v>39</v>
      </c>
      <c r="K610">
        <v>4</v>
      </c>
      <c r="L610">
        <v>3</v>
      </c>
      <c r="M610" t="s">
        <v>60</v>
      </c>
      <c r="N610" t="s">
        <v>61</v>
      </c>
      <c r="O610" t="s">
        <v>36</v>
      </c>
      <c r="P610" t="s">
        <v>32</v>
      </c>
      <c r="Q610">
        <v>12</v>
      </c>
      <c r="R610">
        <v>1</v>
      </c>
      <c r="S610">
        <v>6</v>
      </c>
      <c r="T610">
        <v>0</v>
      </c>
      <c r="U610">
        <v>5</v>
      </c>
      <c r="V610">
        <v>9</v>
      </c>
      <c r="W610">
        <v>92</v>
      </c>
      <c r="X610">
        <v>646</v>
      </c>
      <c r="Y610">
        <v>18089</v>
      </c>
      <c r="Z610">
        <v>6322</v>
      </c>
      <c r="AA610">
        <v>2</v>
      </c>
      <c r="AB610">
        <v>33260</v>
      </c>
      <c r="AC610" s="10">
        <v>42712</v>
      </c>
      <c r="AD610" s="10" t="s">
        <v>72</v>
      </c>
      <c r="AE610" t="s">
        <v>72</v>
      </c>
      <c r="AF610" t="s">
        <v>45</v>
      </c>
    </row>
    <row r="611" spans="1:32" x14ac:dyDescent="0.25">
      <c r="A611">
        <v>1048</v>
      </c>
      <c r="B611">
        <v>59</v>
      </c>
      <c r="C611" t="s">
        <v>43</v>
      </c>
      <c r="D611" t="s">
        <v>33</v>
      </c>
      <c r="E611" t="s">
        <v>56</v>
      </c>
      <c r="F611" t="s">
        <v>67</v>
      </c>
      <c r="G611" t="s">
        <v>38</v>
      </c>
      <c r="H611" t="s">
        <v>37</v>
      </c>
      <c r="I611" t="s">
        <v>50</v>
      </c>
      <c r="J611" t="s">
        <v>69</v>
      </c>
      <c r="K611">
        <v>4</v>
      </c>
      <c r="L611">
        <v>3</v>
      </c>
      <c r="M611" t="s">
        <v>40</v>
      </c>
      <c r="N611" t="s">
        <v>61</v>
      </c>
      <c r="O611" t="s">
        <v>36</v>
      </c>
      <c r="P611" t="s">
        <v>32</v>
      </c>
      <c r="Q611">
        <v>14</v>
      </c>
      <c r="R611">
        <v>3</v>
      </c>
      <c r="S611">
        <v>14</v>
      </c>
      <c r="T611">
        <v>0</v>
      </c>
      <c r="U611">
        <v>4</v>
      </c>
      <c r="V611">
        <v>1</v>
      </c>
      <c r="W611">
        <v>66</v>
      </c>
      <c r="X611">
        <v>1089</v>
      </c>
      <c r="Y611">
        <v>11038</v>
      </c>
      <c r="Z611">
        <v>11904</v>
      </c>
      <c r="AA611">
        <v>1</v>
      </c>
      <c r="AB611">
        <v>23304</v>
      </c>
      <c r="AC611" s="10">
        <v>42767</v>
      </c>
      <c r="AD611" s="10" t="s">
        <v>72</v>
      </c>
      <c r="AE611" t="s">
        <v>72</v>
      </c>
      <c r="AF611" t="s">
        <v>55</v>
      </c>
    </row>
    <row r="612" spans="1:32" x14ac:dyDescent="0.25">
      <c r="A612">
        <v>604</v>
      </c>
      <c r="B612">
        <v>31</v>
      </c>
      <c r="C612" t="s">
        <v>43</v>
      </c>
      <c r="D612" t="s">
        <v>33</v>
      </c>
      <c r="E612" t="s">
        <v>56</v>
      </c>
      <c r="F612" t="s">
        <v>64</v>
      </c>
      <c r="G612" t="s">
        <v>38</v>
      </c>
      <c r="H612" t="s">
        <v>37</v>
      </c>
      <c r="I612" t="s">
        <v>50</v>
      </c>
      <c r="J612" t="s">
        <v>57</v>
      </c>
      <c r="K612">
        <v>4</v>
      </c>
      <c r="L612">
        <v>3</v>
      </c>
      <c r="M612" t="s">
        <v>58</v>
      </c>
      <c r="N612" t="s">
        <v>41</v>
      </c>
      <c r="O612" t="s">
        <v>42</v>
      </c>
      <c r="P612" t="s">
        <v>32</v>
      </c>
      <c r="Q612">
        <v>13</v>
      </c>
      <c r="R612">
        <v>4</v>
      </c>
      <c r="S612">
        <v>10</v>
      </c>
      <c r="T612">
        <v>0</v>
      </c>
      <c r="U612">
        <v>5</v>
      </c>
      <c r="V612">
        <v>2</v>
      </c>
      <c r="W612">
        <v>77</v>
      </c>
      <c r="X612">
        <v>828</v>
      </c>
      <c r="Y612">
        <v>8346</v>
      </c>
      <c r="Z612">
        <v>6582</v>
      </c>
      <c r="AA612">
        <v>2</v>
      </c>
      <c r="AB612">
        <v>33606</v>
      </c>
      <c r="AC612" s="10">
        <v>42785</v>
      </c>
      <c r="AD612" s="10" t="s">
        <v>72</v>
      </c>
      <c r="AE612" t="s">
        <v>72</v>
      </c>
      <c r="AF612" t="s">
        <v>45</v>
      </c>
    </row>
    <row r="613" spans="1:32" x14ac:dyDescent="0.25">
      <c r="A613">
        <v>612</v>
      </c>
      <c r="B613">
        <v>33</v>
      </c>
      <c r="C613" t="s">
        <v>43</v>
      </c>
      <c r="D613" t="s">
        <v>33</v>
      </c>
      <c r="E613" t="s">
        <v>34</v>
      </c>
      <c r="F613" t="s">
        <v>70</v>
      </c>
      <c r="G613" t="s">
        <v>36</v>
      </c>
      <c r="H613" t="s">
        <v>47</v>
      </c>
      <c r="I613" t="s">
        <v>59</v>
      </c>
      <c r="J613" t="s">
        <v>71</v>
      </c>
      <c r="K613">
        <v>3</v>
      </c>
      <c r="L613">
        <v>3</v>
      </c>
      <c r="M613" t="s">
        <v>48</v>
      </c>
      <c r="N613" t="s">
        <v>52</v>
      </c>
      <c r="O613" t="s">
        <v>36</v>
      </c>
      <c r="P613" t="s">
        <v>43</v>
      </c>
      <c r="Q613">
        <v>19</v>
      </c>
      <c r="R613">
        <v>4</v>
      </c>
      <c r="S613">
        <v>10</v>
      </c>
      <c r="T613">
        <v>0</v>
      </c>
      <c r="U613">
        <v>5</v>
      </c>
      <c r="V613">
        <v>1</v>
      </c>
      <c r="W613">
        <v>95</v>
      </c>
      <c r="X613">
        <v>922</v>
      </c>
      <c r="Y613">
        <v>22578</v>
      </c>
      <c r="Z613">
        <v>16184</v>
      </c>
      <c r="AA613">
        <v>2</v>
      </c>
      <c r="AB613">
        <v>32897</v>
      </c>
      <c r="AC613" s="10">
        <v>42811</v>
      </c>
      <c r="AD613" s="10" t="s">
        <v>72</v>
      </c>
      <c r="AE613" t="s">
        <v>72</v>
      </c>
      <c r="AF613" t="s">
        <v>45</v>
      </c>
    </row>
    <row r="614" spans="1:32" x14ac:dyDescent="0.25">
      <c r="A614">
        <v>21</v>
      </c>
      <c r="B614">
        <v>32</v>
      </c>
      <c r="C614" t="s">
        <v>43</v>
      </c>
      <c r="D614" t="s">
        <v>33</v>
      </c>
      <c r="E614" t="s">
        <v>34</v>
      </c>
      <c r="F614" t="s">
        <v>67</v>
      </c>
      <c r="G614" t="s">
        <v>36</v>
      </c>
      <c r="H614" t="s">
        <v>37</v>
      </c>
      <c r="I614" t="s">
        <v>59</v>
      </c>
      <c r="J614" t="s">
        <v>39</v>
      </c>
      <c r="K614">
        <v>2</v>
      </c>
      <c r="L614">
        <v>3</v>
      </c>
      <c r="M614" t="s">
        <v>60</v>
      </c>
      <c r="N614" t="s">
        <v>52</v>
      </c>
      <c r="O614" t="s">
        <v>53</v>
      </c>
      <c r="P614" t="s">
        <v>32</v>
      </c>
      <c r="Q614">
        <v>12</v>
      </c>
      <c r="R614">
        <v>0</v>
      </c>
      <c r="S614">
        <v>7</v>
      </c>
      <c r="T614">
        <v>0</v>
      </c>
      <c r="U614">
        <v>5</v>
      </c>
      <c r="V614">
        <v>5</v>
      </c>
      <c r="W614">
        <v>80</v>
      </c>
      <c r="X614">
        <v>334</v>
      </c>
      <c r="Y614">
        <v>15053</v>
      </c>
      <c r="Z614">
        <v>3298</v>
      </c>
      <c r="AA614">
        <v>5</v>
      </c>
      <c r="AB614">
        <v>33358</v>
      </c>
      <c r="AC614" s="10">
        <v>42827</v>
      </c>
      <c r="AD614" s="10" t="s">
        <v>72</v>
      </c>
      <c r="AE614" t="s">
        <v>72</v>
      </c>
      <c r="AF614" t="s">
        <v>45</v>
      </c>
    </row>
    <row r="615" spans="1:32" x14ac:dyDescent="0.25">
      <c r="A615">
        <v>1670</v>
      </c>
      <c r="B615">
        <v>33</v>
      </c>
      <c r="C615" t="s">
        <v>43</v>
      </c>
      <c r="D615" t="s">
        <v>33</v>
      </c>
      <c r="E615" t="s">
        <v>56</v>
      </c>
      <c r="F615" t="s">
        <v>35</v>
      </c>
      <c r="G615" t="s">
        <v>59</v>
      </c>
      <c r="H615" t="s">
        <v>37</v>
      </c>
      <c r="I615" t="s">
        <v>50</v>
      </c>
      <c r="J615" t="s">
        <v>57</v>
      </c>
      <c r="K615">
        <v>4</v>
      </c>
      <c r="L615">
        <v>3</v>
      </c>
      <c r="M615" t="s">
        <v>48</v>
      </c>
      <c r="N615" t="s">
        <v>52</v>
      </c>
      <c r="O615" t="s">
        <v>53</v>
      </c>
      <c r="P615" t="s">
        <v>43</v>
      </c>
      <c r="Q615">
        <v>14</v>
      </c>
      <c r="R615">
        <v>1</v>
      </c>
      <c r="S615">
        <v>6</v>
      </c>
      <c r="T615">
        <v>0</v>
      </c>
      <c r="U615">
        <v>4</v>
      </c>
      <c r="V615">
        <v>2</v>
      </c>
      <c r="W615">
        <v>93</v>
      </c>
      <c r="X615">
        <v>392</v>
      </c>
      <c r="Y615">
        <v>3921</v>
      </c>
      <c r="Z615">
        <v>5505</v>
      </c>
      <c r="AA615">
        <v>5</v>
      </c>
      <c r="AB615">
        <v>32831</v>
      </c>
      <c r="AC615" s="10">
        <v>42831</v>
      </c>
      <c r="AD615" s="10" t="s">
        <v>72</v>
      </c>
      <c r="AE615" t="s">
        <v>72</v>
      </c>
      <c r="AF615" t="s">
        <v>45</v>
      </c>
    </row>
    <row r="616" spans="1:32" x14ac:dyDescent="0.25">
      <c r="A616">
        <v>105</v>
      </c>
      <c r="B616">
        <v>35</v>
      </c>
      <c r="C616" t="s">
        <v>43</v>
      </c>
      <c r="D616" t="s">
        <v>33</v>
      </c>
      <c r="E616" t="s">
        <v>34</v>
      </c>
      <c r="F616" t="s">
        <v>49</v>
      </c>
      <c r="G616" t="s">
        <v>38</v>
      </c>
      <c r="H616" t="s">
        <v>37</v>
      </c>
      <c r="I616" t="s">
        <v>38</v>
      </c>
      <c r="J616" t="s">
        <v>39</v>
      </c>
      <c r="K616">
        <v>3</v>
      </c>
      <c r="L616">
        <v>3</v>
      </c>
      <c r="M616" t="s">
        <v>48</v>
      </c>
      <c r="N616" t="s">
        <v>41</v>
      </c>
      <c r="O616" t="s">
        <v>42</v>
      </c>
      <c r="P616" t="s">
        <v>43</v>
      </c>
      <c r="Q616">
        <v>18</v>
      </c>
      <c r="R616">
        <v>1</v>
      </c>
      <c r="S616">
        <v>6</v>
      </c>
      <c r="T616">
        <v>0</v>
      </c>
      <c r="U616">
        <v>4</v>
      </c>
      <c r="V616">
        <v>1</v>
      </c>
      <c r="W616">
        <v>30</v>
      </c>
      <c r="X616">
        <v>1214</v>
      </c>
      <c r="Y616">
        <v>26278</v>
      </c>
      <c r="Z616">
        <v>2859</v>
      </c>
      <c r="AA616">
        <v>3</v>
      </c>
      <c r="AB616">
        <v>32214</v>
      </c>
      <c r="AC616" s="10">
        <v>42925</v>
      </c>
      <c r="AD616" s="10" t="s">
        <v>72</v>
      </c>
      <c r="AE616" t="s">
        <v>72</v>
      </c>
      <c r="AF616" t="s">
        <v>45</v>
      </c>
    </row>
    <row r="617" spans="1:32" x14ac:dyDescent="0.25">
      <c r="A617">
        <v>940</v>
      </c>
      <c r="B617">
        <v>58</v>
      </c>
      <c r="C617" t="s">
        <v>43</v>
      </c>
      <c r="D617" t="s">
        <v>33</v>
      </c>
      <c r="E617" t="s">
        <v>34</v>
      </c>
      <c r="F617" t="s">
        <v>49</v>
      </c>
      <c r="G617" t="s">
        <v>50</v>
      </c>
      <c r="H617" t="s">
        <v>47</v>
      </c>
      <c r="I617" t="s">
        <v>38</v>
      </c>
      <c r="J617" t="s">
        <v>62</v>
      </c>
      <c r="K617">
        <v>2</v>
      </c>
      <c r="L617">
        <v>3</v>
      </c>
      <c r="M617" t="s">
        <v>48</v>
      </c>
      <c r="N617" t="s">
        <v>52</v>
      </c>
      <c r="O617" t="s">
        <v>36</v>
      </c>
      <c r="P617" t="s">
        <v>32</v>
      </c>
      <c r="Q617">
        <v>13</v>
      </c>
      <c r="R617">
        <v>2</v>
      </c>
      <c r="S617">
        <v>24</v>
      </c>
      <c r="T617">
        <v>0</v>
      </c>
      <c r="U617">
        <v>4</v>
      </c>
      <c r="V617">
        <v>5</v>
      </c>
      <c r="W617">
        <v>37</v>
      </c>
      <c r="X617">
        <v>1272</v>
      </c>
      <c r="Y617">
        <v>9255</v>
      </c>
      <c r="Z617">
        <v>10552</v>
      </c>
      <c r="AA617">
        <v>3</v>
      </c>
      <c r="AB617">
        <v>23599</v>
      </c>
      <c r="AC617" s="10">
        <v>42925</v>
      </c>
      <c r="AD617" s="10" t="s">
        <v>72</v>
      </c>
      <c r="AE617" t="s">
        <v>72</v>
      </c>
      <c r="AF617" t="s">
        <v>45</v>
      </c>
    </row>
    <row r="618" spans="1:32" x14ac:dyDescent="0.25">
      <c r="A618">
        <v>936</v>
      </c>
      <c r="B618">
        <v>42</v>
      </c>
      <c r="C618" t="s">
        <v>43</v>
      </c>
      <c r="D618" t="s">
        <v>33</v>
      </c>
      <c r="E618" t="s">
        <v>56</v>
      </c>
      <c r="F618" t="s">
        <v>67</v>
      </c>
      <c r="G618" t="s">
        <v>50</v>
      </c>
      <c r="H618" t="s">
        <v>47</v>
      </c>
      <c r="I618" t="s">
        <v>38</v>
      </c>
      <c r="J618" t="s">
        <v>57</v>
      </c>
      <c r="K618">
        <v>3</v>
      </c>
      <c r="L618">
        <v>3</v>
      </c>
      <c r="M618" t="s">
        <v>48</v>
      </c>
      <c r="N618" t="s">
        <v>41</v>
      </c>
      <c r="O618" t="s">
        <v>42</v>
      </c>
      <c r="P618" t="s">
        <v>43</v>
      </c>
      <c r="Q618">
        <v>17</v>
      </c>
      <c r="R618">
        <v>7</v>
      </c>
      <c r="S618">
        <v>10</v>
      </c>
      <c r="T618">
        <v>0</v>
      </c>
      <c r="U618">
        <v>3</v>
      </c>
      <c r="V618">
        <v>14</v>
      </c>
      <c r="W618">
        <v>68</v>
      </c>
      <c r="X618">
        <v>462</v>
      </c>
      <c r="Y618">
        <v>7824</v>
      </c>
      <c r="Z618">
        <v>6244</v>
      </c>
      <c r="AA618">
        <v>6</v>
      </c>
      <c r="AB618">
        <v>29670</v>
      </c>
      <c r="AC618" s="10">
        <v>42940</v>
      </c>
      <c r="AD618" s="10" t="s">
        <v>72</v>
      </c>
      <c r="AE618" t="s">
        <v>72</v>
      </c>
      <c r="AF618" t="s">
        <v>45</v>
      </c>
    </row>
    <row r="619" spans="1:32" x14ac:dyDescent="0.25">
      <c r="A619">
        <v>1545</v>
      </c>
      <c r="B619">
        <v>33</v>
      </c>
      <c r="C619" t="s">
        <v>43</v>
      </c>
      <c r="D619" t="s">
        <v>33</v>
      </c>
      <c r="E619" t="s">
        <v>34</v>
      </c>
      <c r="F619" t="s">
        <v>49</v>
      </c>
      <c r="G619" t="s">
        <v>59</v>
      </c>
      <c r="H619" t="s">
        <v>37</v>
      </c>
      <c r="I619" t="s">
        <v>38</v>
      </c>
      <c r="J619" t="s">
        <v>65</v>
      </c>
      <c r="K619">
        <v>2</v>
      </c>
      <c r="L619">
        <v>3</v>
      </c>
      <c r="M619" t="s">
        <v>48</v>
      </c>
      <c r="N619" t="s">
        <v>41</v>
      </c>
      <c r="O619" t="s">
        <v>42</v>
      </c>
      <c r="P619" t="s">
        <v>43</v>
      </c>
      <c r="Q619">
        <v>13</v>
      </c>
      <c r="R619">
        <v>1</v>
      </c>
      <c r="S619">
        <v>5</v>
      </c>
      <c r="T619">
        <v>0</v>
      </c>
      <c r="U619">
        <v>2</v>
      </c>
      <c r="V619">
        <v>25</v>
      </c>
      <c r="W619">
        <v>44</v>
      </c>
      <c r="X619">
        <v>575</v>
      </c>
      <c r="Y619">
        <v>24152</v>
      </c>
      <c r="Z619">
        <v>4320</v>
      </c>
      <c r="AA619">
        <v>2</v>
      </c>
      <c r="AB619">
        <v>33004</v>
      </c>
      <c r="AC619" s="10">
        <v>42950</v>
      </c>
      <c r="AD619" s="10" t="s">
        <v>72</v>
      </c>
      <c r="AE619" t="s">
        <v>72</v>
      </c>
      <c r="AF619" t="s">
        <v>45</v>
      </c>
    </row>
    <row r="620" spans="1:32" x14ac:dyDescent="0.25">
      <c r="A620">
        <v>2051</v>
      </c>
      <c r="B620">
        <v>40</v>
      </c>
      <c r="C620" t="s">
        <v>43</v>
      </c>
      <c r="D620" t="s">
        <v>33</v>
      </c>
      <c r="E620" t="s">
        <v>34</v>
      </c>
      <c r="F620" t="s">
        <v>35</v>
      </c>
      <c r="G620" t="s">
        <v>50</v>
      </c>
      <c r="H620" t="s">
        <v>47</v>
      </c>
      <c r="I620" t="s">
        <v>50</v>
      </c>
      <c r="J620" t="s">
        <v>39</v>
      </c>
      <c r="K620">
        <v>3</v>
      </c>
      <c r="L620">
        <v>3</v>
      </c>
      <c r="M620" t="s">
        <v>48</v>
      </c>
      <c r="N620" t="s">
        <v>61</v>
      </c>
      <c r="O620" t="s">
        <v>50</v>
      </c>
      <c r="P620" t="s">
        <v>43</v>
      </c>
      <c r="Q620">
        <v>14</v>
      </c>
      <c r="R620">
        <v>2</v>
      </c>
      <c r="S620">
        <v>20</v>
      </c>
      <c r="T620">
        <v>0</v>
      </c>
      <c r="U620">
        <v>2</v>
      </c>
      <c r="V620">
        <v>2</v>
      </c>
      <c r="W620">
        <v>98</v>
      </c>
      <c r="X620">
        <v>1194</v>
      </c>
      <c r="Y620">
        <v>12549</v>
      </c>
      <c r="Z620">
        <v>2001</v>
      </c>
      <c r="AA620">
        <v>2</v>
      </c>
      <c r="AB620">
        <v>30498</v>
      </c>
      <c r="AC620" s="10">
        <v>42969</v>
      </c>
      <c r="AD620" s="10" t="s">
        <v>72</v>
      </c>
      <c r="AE620" t="s">
        <v>72</v>
      </c>
      <c r="AF620" t="s">
        <v>45</v>
      </c>
    </row>
    <row r="621" spans="1:32" x14ac:dyDescent="0.25">
      <c r="A621">
        <v>1587</v>
      </c>
      <c r="B621">
        <v>35</v>
      </c>
      <c r="C621" t="s">
        <v>43</v>
      </c>
      <c r="D621" t="s">
        <v>33</v>
      </c>
      <c r="E621" t="s">
        <v>34</v>
      </c>
      <c r="F621" t="s">
        <v>35</v>
      </c>
      <c r="G621" t="s">
        <v>36</v>
      </c>
      <c r="H621" t="s">
        <v>47</v>
      </c>
      <c r="I621" t="s">
        <v>50</v>
      </c>
      <c r="J621" t="s">
        <v>62</v>
      </c>
      <c r="K621">
        <v>3</v>
      </c>
      <c r="L621">
        <v>3</v>
      </c>
      <c r="M621" t="s">
        <v>48</v>
      </c>
      <c r="N621" t="s">
        <v>41</v>
      </c>
      <c r="O621" t="s">
        <v>42</v>
      </c>
      <c r="P621" t="s">
        <v>32</v>
      </c>
      <c r="Q621">
        <v>16</v>
      </c>
      <c r="R621">
        <v>3</v>
      </c>
      <c r="S621">
        <v>10</v>
      </c>
      <c r="T621">
        <v>0</v>
      </c>
      <c r="U621">
        <v>4</v>
      </c>
      <c r="V621">
        <v>10</v>
      </c>
      <c r="W621">
        <v>51</v>
      </c>
      <c r="X621">
        <v>670</v>
      </c>
      <c r="Y621">
        <v>4223</v>
      </c>
      <c r="Z621">
        <v>6142</v>
      </c>
      <c r="AA621">
        <v>4</v>
      </c>
      <c r="AB621">
        <v>32121</v>
      </c>
      <c r="AC621" s="10">
        <v>42994</v>
      </c>
      <c r="AD621" s="10" t="s">
        <v>72</v>
      </c>
      <c r="AE621" t="s">
        <v>72</v>
      </c>
      <c r="AF621" t="s">
        <v>45</v>
      </c>
    </row>
    <row r="622" spans="1:32" x14ac:dyDescent="0.25">
      <c r="A622">
        <v>1638</v>
      </c>
      <c r="B622">
        <v>38</v>
      </c>
      <c r="C622" t="s">
        <v>43</v>
      </c>
      <c r="D622" t="s">
        <v>33</v>
      </c>
      <c r="E622" t="s">
        <v>34</v>
      </c>
      <c r="F622" t="s">
        <v>67</v>
      </c>
      <c r="G622" t="s">
        <v>59</v>
      </c>
      <c r="H622" t="s">
        <v>47</v>
      </c>
      <c r="I622" t="s">
        <v>38</v>
      </c>
      <c r="J622" t="s">
        <v>65</v>
      </c>
      <c r="K622">
        <v>3</v>
      </c>
      <c r="L622">
        <v>3</v>
      </c>
      <c r="M622" t="s">
        <v>58</v>
      </c>
      <c r="N622" t="s">
        <v>61</v>
      </c>
      <c r="O622" t="s">
        <v>36</v>
      </c>
      <c r="P622" t="s">
        <v>32</v>
      </c>
      <c r="Q622">
        <v>19</v>
      </c>
      <c r="R622">
        <v>3</v>
      </c>
      <c r="S622">
        <v>10</v>
      </c>
      <c r="T622">
        <v>0</v>
      </c>
      <c r="U622">
        <v>2</v>
      </c>
      <c r="V622">
        <v>2</v>
      </c>
      <c r="W622">
        <v>54</v>
      </c>
      <c r="X622">
        <v>397</v>
      </c>
      <c r="Y622">
        <v>14199</v>
      </c>
      <c r="Z622">
        <v>7756</v>
      </c>
      <c r="AA622">
        <v>6</v>
      </c>
      <c r="AB622">
        <v>31006</v>
      </c>
      <c r="AC622" s="10">
        <v>42994</v>
      </c>
      <c r="AD622" s="10" t="s">
        <v>72</v>
      </c>
      <c r="AE622" t="s">
        <v>72</v>
      </c>
      <c r="AF622" t="s">
        <v>45</v>
      </c>
    </row>
    <row r="623" spans="1:32" x14ac:dyDescent="0.25">
      <c r="A623">
        <v>1799</v>
      </c>
      <c r="B623">
        <v>28</v>
      </c>
      <c r="C623" t="s">
        <v>43</v>
      </c>
      <c r="D623" t="s">
        <v>33</v>
      </c>
      <c r="E623" t="s">
        <v>34</v>
      </c>
      <c r="F623" t="s">
        <v>49</v>
      </c>
      <c r="G623" t="s">
        <v>50</v>
      </c>
      <c r="H623" t="s">
        <v>37</v>
      </c>
      <c r="I623" t="s">
        <v>50</v>
      </c>
      <c r="J623" t="s">
        <v>39</v>
      </c>
      <c r="K623">
        <v>4</v>
      </c>
      <c r="L623">
        <v>3</v>
      </c>
      <c r="M623" t="s">
        <v>58</v>
      </c>
      <c r="N623" t="s">
        <v>61</v>
      </c>
      <c r="O623" t="s">
        <v>36</v>
      </c>
      <c r="P623" t="s">
        <v>43</v>
      </c>
      <c r="Q623">
        <v>11</v>
      </c>
      <c r="R623">
        <v>1</v>
      </c>
      <c r="S623">
        <v>5</v>
      </c>
      <c r="T623">
        <v>0</v>
      </c>
      <c r="U623">
        <v>3</v>
      </c>
      <c r="V623">
        <v>1</v>
      </c>
      <c r="W623">
        <v>82</v>
      </c>
      <c r="X623">
        <v>1181</v>
      </c>
      <c r="Y623">
        <v>5531</v>
      </c>
      <c r="Z623">
        <v>2044</v>
      </c>
      <c r="AA623">
        <v>6</v>
      </c>
      <c r="AB623">
        <v>34817</v>
      </c>
      <c r="AC623" s="10">
        <v>42996</v>
      </c>
      <c r="AD623" s="10" t="s">
        <v>72</v>
      </c>
      <c r="AE623" t="s">
        <v>72</v>
      </c>
      <c r="AF623" t="s">
        <v>45</v>
      </c>
    </row>
    <row r="624" spans="1:32" x14ac:dyDescent="0.25">
      <c r="A624">
        <v>194</v>
      </c>
      <c r="B624">
        <v>30</v>
      </c>
      <c r="C624" t="s">
        <v>43</v>
      </c>
      <c r="D624" t="s">
        <v>33</v>
      </c>
      <c r="E624" t="s">
        <v>34</v>
      </c>
      <c r="F624" t="s">
        <v>49</v>
      </c>
      <c r="G624" t="s">
        <v>36</v>
      </c>
      <c r="H624" t="s">
        <v>47</v>
      </c>
      <c r="I624" t="s">
        <v>50</v>
      </c>
      <c r="J624" t="s">
        <v>39</v>
      </c>
      <c r="K624">
        <v>3</v>
      </c>
      <c r="L624">
        <v>3</v>
      </c>
      <c r="M624" t="s">
        <v>60</v>
      </c>
      <c r="N624" t="s">
        <v>41</v>
      </c>
      <c r="O624" t="s">
        <v>42</v>
      </c>
      <c r="P624" t="s">
        <v>43</v>
      </c>
      <c r="Q624">
        <v>14</v>
      </c>
      <c r="R624">
        <v>1</v>
      </c>
      <c r="S624">
        <v>5</v>
      </c>
      <c r="T624">
        <v>0</v>
      </c>
      <c r="U624">
        <v>4</v>
      </c>
      <c r="V624">
        <v>18</v>
      </c>
      <c r="W624">
        <v>75</v>
      </c>
      <c r="X624">
        <v>438</v>
      </c>
      <c r="Y624">
        <v>23910</v>
      </c>
      <c r="Z624">
        <v>2632</v>
      </c>
      <c r="AA624">
        <v>4</v>
      </c>
      <c r="AB624">
        <v>33919</v>
      </c>
      <c r="AC624" s="10">
        <v>43009</v>
      </c>
      <c r="AD624" s="10" t="s">
        <v>72</v>
      </c>
      <c r="AE624" t="s">
        <v>72</v>
      </c>
      <c r="AF624" t="s">
        <v>55</v>
      </c>
    </row>
    <row r="625" spans="1:32" x14ac:dyDescent="0.25">
      <c r="A625">
        <v>378</v>
      </c>
      <c r="B625">
        <v>37</v>
      </c>
      <c r="C625" t="s">
        <v>43</v>
      </c>
      <c r="D625" t="s">
        <v>33</v>
      </c>
      <c r="E625" t="s">
        <v>56</v>
      </c>
      <c r="F625" t="s">
        <v>35</v>
      </c>
      <c r="G625" t="s">
        <v>50</v>
      </c>
      <c r="H625" t="s">
        <v>37</v>
      </c>
      <c r="I625" t="s">
        <v>50</v>
      </c>
      <c r="J625" t="s">
        <v>57</v>
      </c>
      <c r="K625">
        <v>4</v>
      </c>
      <c r="L625">
        <v>3</v>
      </c>
      <c r="M625" t="s">
        <v>58</v>
      </c>
      <c r="N625" t="s">
        <v>61</v>
      </c>
      <c r="O625" t="s">
        <v>36</v>
      </c>
      <c r="P625" t="s">
        <v>43</v>
      </c>
      <c r="Q625">
        <v>14</v>
      </c>
      <c r="R625">
        <v>4</v>
      </c>
      <c r="S625">
        <v>7</v>
      </c>
      <c r="T625">
        <v>0</v>
      </c>
      <c r="U625">
        <v>1</v>
      </c>
      <c r="V625">
        <v>6</v>
      </c>
      <c r="W625">
        <v>98</v>
      </c>
      <c r="X625">
        <v>228</v>
      </c>
      <c r="Y625">
        <v>22825</v>
      </c>
      <c r="Z625">
        <v>6502</v>
      </c>
      <c r="AA625">
        <v>5</v>
      </c>
      <c r="AB625">
        <v>31522</v>
      </c>
      <c r="AC625" s="10">
        <v>43015</v>
      </c>
      <c r="AD625" s="10" t="s">
        <v>72</v>
      </c>
      <c r="AE625" t="s">
        <v>72</v>
      </c>
      <c r="AF625" t="s">
        <v>45</v>
      </c>
    </row>
    <row r="626" spans="1:32" x14ac:dyDescent="0.25">
      <c r="A626">
        <v>1259</v>
      </c>
      <c r="B626">
        <v>27</v>
      </c>
      <c r="C626" t="s">
        <v>43</v>
      </c>
      <c r="D626" t="s">
        <v>33</v>
      </c>
      <c r="E626" t="s">
        <v>34</v>
      </c>
      <c r="F626" t="s">
        <v>67</v>
      </c>
      <c r="G626" t="s">
        <v>36</v>
      </c>
      <c r="H626" t="s">
        <v>37</v>
      </c>
      <c r="I626" t="s">
        <v>50</v>
      </c>
      <c r="J626" t="s">
        <v>39</v>
      </c>
      <c r="K626">
        <v>3</v>
      </c>
      <c r="L626">
        <v>3</v>
      </c>
      <c r="M626" t="s">
        <v>48</v>
      </c>
      <c r="N626" t="s">
        <v>52</v>
      </c>
      <c r="O626" t="s">
        <v>50</v>
      </c>
      <c r="P626" t="s">
        <v>43</v>
      </c>
      <c r="Q626">
        <v>11</v>
      </c>
      <c r="R626">
        <v>1</v>
      </c>
      <c r="S626">
        <v>5</v>
      </c>
      <c r="T626">
        <v>0</v>
      </c>
      <c r="U626">
        <v>3</v>
      </c>
      <c r="V626">
        <v>4</v>
      </c>
      <c r="W626">
        <v>76</v>
      </c>
      <c r="X626">
        <v>1167</v>
      </c>
      <c r="Y626">
        <v>3208</v>
      </c>
      <c r="Z626">
        <v>2517</v>
      </c>
      <c r="AA626">
        <v>2</v>
      </c>
      <c r="AB626">
        <v>35133</v>
      </c>
      <c r="AC626" s="10">
        <v>43018</v>
      </c>
      <c r="AD626" s="10" t="s">
        <v>72</v>
      </c>
      <c r="AE626" t="s">
        <v>72</v>
      </c>
      <c r="AF626" t="s">
        <v>55</v>
      </c>
    </row>
    <row r="627" spans="1:32" x14ac:dyDescent="0.25">
      <c r="A627">
        <v>1502</v>
      </c>
      <c r="B627">
        <v>33</v>
      </c>
      <c r="C627" t="s">
        <v>43</v>
      </c>
      <c r="D627" t="s">
        <v>33</v>
      </c>
      <c r="E627" t="s">
        <v>34</v>
      </c>
      <c r="F627" t="s">
        <v>35</v>
      </c>
      <c r="G627" t="s">
        <v>36</v>
      </c>
      <c r="H627" t="s">
        <v>47</v>
      </c>
      <c r="I627" t="s">
        <v>38</v>
      </c>
      <c r="J627" t="s">
        <v>51</v>
      </c>
      <c r="K627">
        <v>2</v>
      </c>
      <c r="L627">
        <v>3</v>
      </c>
      <c r="M627" t="s">
        <v>48</v>
      </c>
      <c r="N627" t="s">
        <v>61</v>
      </c>
      <c r="O627" t="s">
        <v>42</v>
      </c>
      <c r="P627" t="s">
        <v>43</v>
      </c>
      <c r="Q627">
        <v>11</v>
      </c>
      <c r="R627">
        <v>8</v>
      </c>
      <c r="S627">
        <v>8</v>
      </c>
      <c r="T627">
        <v>0</v>
      </c>
      <c r="U627">
        <v>2</v>
      </c>
      <c r="V627">
        <v>4</v>
      </c>
      <c r="W627">
        <v>82</v>
      </c>
      <c r="X627">
        <v>1099</v>
      </c>
      <c r="Y627">
        <v>8192</v>
      </c>
      <c r="Z627">
        <v>3838</v>
      </c>
      <c r="AA627">
        <v>5</v>
      </c>
      <c r="AB627">
        <v>32931</v>
      </c>
      <c r="AC627" s="10">
        <v>43018</v>
      </c>
      <c r="AD627" s="10" t="s">
        <v>72</v>
      </c>
      <c r="AE627" t="s">
        <v>72</v>
      </c>
      <c r="AF627" t="s">
        <v>45</v>
      </c>
    </row>
    <row r="628" spans="1:32" x14ac:dyDescent="0.25">
      <c r="A628">
        <v>423</v>
      </c>
      <c r="B628">
        <v>31</v>
      </c>
      <c r="C628" t="s">
        <v>43</v>
      </c>
      <c r="D628" t="s">
        <v>33</v>
      </c>
      <c r="E628" t="s">
        <v>34</v>
      </c>
      <c r="F628" t="s">
        <v>35</v>
      </c>
      <c r="G628" t="s">
        <v>50</v>
      </c>
      <c r="H628" t="s">
        <v>37</v>
      </c>
      <c r="I628" t="s">
        <v>50</v>
      </c>
      <c r="J628" t="s">
        <v>39</v>
      </c>
      <c r="K628">
        <v>4</v>
      </c>
      <c r="L628">
        <v>3</v>
      </c>
      <c r="M628" t="s">
        <v>48</v>
      </c>
      <c r="N628" t="s">
        <v>61</v>
      </c>
      <c r="O628" t="s">
        <v>36</v>
      </c>
      <c r="P628" t="s">
        <v>32</v>
      </c>
      <c r="Q628">
        <v>12</v>
      </c>
      <c r="R628">
        <v>0</v>
      </c>
      <c r="S628">
        <v>6</v>
      </c>
      <c r="T628">
        <v>0</v>
      </c>
      <c r="U628">
        <v>3</v>
      </c>
      <c r="V628">
        <v>5</v>
      </c>
      <c r="W628">
        <v>86</v>
      </c>
      <c r="X628">
        <v>691</v>
      </c>
      <c r="Y628">
        <v>10077</v>
      </c>
      <c r="Z628">
        <v>4821</v>
      </c>
      <c r="AA628">
        <v>4</v>
      </c>
      <c r="AB628">
        <v>33801</v>
      </c>
      <c r="AC628" s="10">
        <v>43028</v>
      </c>
      <c r="AD628" s="10" t="s">
        <v>72</v>
      </c>
      <c r="AE628" t="s">
        <v>72</v>
      </c>
      <c r="AF628" t="s">
        <v>45</v>
      </c>
    </row>
    <row r="629" spans="1:32" x14ac:dyDescent="0.25">
      <c r="A629">
        <v>909</v>
      </c>
      <c r="B629">
        <v>39</v>
      </c>
      <c r="C629" t="s">
        <v>43</v>
      </c>
      <c r="D629" t="s">
        <v>33</v>
      </c>
      <c r="E629" t="s">
        <v>68</v>
      </c>
      <c r="F629" t="s">
        <v>49</v>
      </c>
      <c r="G629" t="s">
        <v>59</v>
      </c>
      <c r="H629" t="s">
        <v>47</v>
      </c>
      <c r="I629" t="s">
        <v>38</v>
      </c>
      <c r="J629" t="s">
        <v>68</v>
      </c>
      <c r="K629">
        <v>4</v>
      </c>
      <c r="L629">
        <v>3</v>
      </c>
      <c r="M629" t="s">
        <v>48</v>
      </c>
      <c r="N629" t="s">
        <v>61</v>
      </c>
      <c r="O629" t="s">
        <v>53</v>
      </c>
      <c r="P629" t="s">
        <v>43</v>
      </c>
      <c r="Q629">
        <v>11</v>
      </c>
      <c r="R629">
        <v>8</v>
      </c>
      <c r="S629">
        <v>13</v>
      </c>
      <c r="T629">
        <v>0</v>
      </c>
      <c r="U629">
        <v>4</v>
      </c>
      <c r="V629">
        <v>2</v>
      </c>
      <c r="W629">
        <v>42</v>
      </c>
      <c r="X629">
        <v>1383</v>
      </c>
      <c r="Y629">
        <v>7790</v>
      </c>
      <c r="Z629">
        <v>5204</v>
      </c>
      <c r="AA629">
        <v>2</v>
      </c>
      <c r="AB629">
        <v>30556</v>
      </c>
      <c r="AC629" s="10">
        <v>43032</v>
      </c>
      <c r="AD629" s="10" t="s">
        <v>72</v>
      </c>
      <c r="AE629" t="s">
        <v>72</v>
      </c>
      <c r="AF629" t="s">
        <v>45</v>
      </c>
    </row>
    <row r="630" spans="1:32" x14ac:dyDescent="0.25">
      <c r="A630">
        <v>507</v>
      </c>
      <c r="B630">
        <v>24</v>
      </c>
      <c r="C630" t="s">
        <v>43</v>
      </c>
      <c r="D630" t="s">
        <v>33</v>
      </c>
      <c r="E630" t="s">
        <v>56</v>
      </c>
      <c r="F630" t="s">
        <v>35</v>
      </c>
      <c r="G630" t="s">
        <v>59</v>
      </c>
      <c r="H630" t="s">
        <v>47</v>
      </c>
      <c r="I630" t="s">
        <v>50</v>
      </c>
      <c r="J630" t="s">
        <v>57</v>
      </c>
      <c r="K630">
        <v>3</v>
      </c>
      <c r="L630">
        <v>3</v>
      </c>
      <c r="M630" t="s">
        <v>58</v>
      </c>
      <c r="N630" t="s">
        <v>52</v>
      </c>
      <c r="O630" t="s">
        <v>36</v>
      </c>
      <c r="P630" t="s">
        <v>32</v>
      </c>
      <c r="Q630">
        <v>12</v>
      </c>
      <c r="R630">
        <v>1</v>
      </c>
      <c r="S630">
        <v>5</v>
      </c>
      <c r="T630">
        <v>0</v>
      </c>
      <c r="U630">
        <v>3</v>
      </c>
      <c r="V630">
        <v>10</v>
      </c>
      <c r="W630">
        <v>77</v>
      </c>
      <c r="X630">
        <v>1371</v>
      </c>
      <c r="Y630">
        <v>5915</v>
      </c>
      <c r="Z630">
        <v>4260</v>
      </c>
      <c r="AA630">
        <v>2</v>
      </c>
      <c r="AB630">
        <v>36306</v>
      </c>
      <c r="AC630" s="10">
        <v>43033</v>
      </c>
      <c r="AD630" s="10" t="s">
        <v>72</v>
      </c>
      <c r="AE630" t="s">
        <v>72</v>
      </c>
      <c r="AF630" t="s">
        <v>55</v>
      </c>
    </row>
    <row r="631" spans="1:32" x14ac:dyDescent="0.25">
      <c r="A631">
        <v>102</v>
      </c>
      <c r="B631">
        <v>37</v>
      </c>
      <c r="C631" t="s">
        <v>43</v>
      </c>
      <c r="D631" t="s">
        <v>33</v>
      </c>
      <c r="E631" t="s">
        <v>34</v>
      </c>
      <c r="F631" t="s">
        <v>35</v>
      </c>
      <c r="G631" t="s">
        <v>36</v>
      </c>
      <c r="H631" t="s">
        <v>37</v>
      </c>
      <c r="I631" t="s">
        <v>50</v>
      </c>
      <c r="J631" t="s">
        <v>71</v>
      </c>
      <c r="K631">
        <v>3</v>
      </c>
      <c r="L631">
        <v>3</v>
      </c>
      <c r="M631" t="s">
        <v>58</v>
      </c>
      <c r="N631" t="s">
        <v>41</v>
      </c>
      <c r="O631" t="s">
        <v>42</v>
      </c>
      <c r="P631" t="s">
        <v>43</v>
      </c>
      <c r="Q631">
        <v>13</v>
      </c>
      <c r="R631">
        <v>4</v>
      </c>
      <c r="S631">
        <v>16</v>
      </c>
      <c r="T631">
        <v>0</v>
      </c>
      <c r="U631">
        <v>2</v>
      </c>
      <c r="V631">
        <v>7</v>
      </c>
      <c r="W631">
        <v>30</v>
      </c>
      <c r="X631">
        <v>397</v>
      </c>
      <c r="Y631">
        <v>25258</v>
      </c>
      <c r="Z631">
        <v>13664</v>
      </c>
      <c r="AA631">
        <v>3</v>
      </c>
      <c r="AB631">
        <v>31283</v>
      </c>
      <c r="AC631" s="10">
        <v>43038</v>
      </c>
      <c r="AD631" s="10" t="s">
        <v>72</v>
      </c>
      <c r="AE631" t="s">
        <v>72</v>
      </c>
      <c r="AF631" t="s">
        <v>45</v>
      </c>
    </row>
    <row r="632" spans="1:32" x14ac:dyDescent="0.25">
      <c r="A632">
        <v>497</v>
      </c>
      <c r="B632">
        <v>27</v>
      </c>
      <c r="C632" t="s">
        <v>43</v>
      </c>
      <c r="D632" t="s">
        <v>33</v>
      </c>
      <c r="E632" t="s">
        <v>34</v>
      </c>
      <c r="F632" t="s">
        <v>67</v>
      </c>
      <c r="G632" t="s">
        <v>59</v>
      </c>
      <c r="H632" t="s">
        <v>37</v>
      </c>
      <c r="I632" t="s">
        <v>50</v>
      </c>
      <c r="J632" t="s">
        <v>51</v>
      </c>
      <c r="K632">
        <v>2</v>
      </c>
      <c r="L632">
        <v>3</v>
      </c>
      <c r="M632" t="s">
        <v>48</v>
      </c>
      <c r="N632" t="s">
        <v>52</v>
      </c>
      <c r="O632" t="s">
        <v>36</v>
      </c>
      <c r="P632" t="s">
        <v>43</v>
      </c>
      <c r="Q632">
        <v>11</v>
      </c>
      <c r="R632">
        <v>1</v>
      </c>
      <c r="S632">
        <v>5</v>
      </c>
      <c r="T632">
        <v>0</v>
      </c>
      <c r="U632">
        <v>4</v>
      </c>
      <c r="V632">
        <v>1</v>
      </c>
      <c r="W632">
        <v>82</v>
      </c>
      <c r="X632">
        <v>1469</v>
      </c>
      <c r="Y632">
        <v>17881</v>
      </c>
      <c r="Z632">
        <v>3816</v>
      </c>
      <c r="AA632">
        <v>2</v>
      </c>
      <c r="AB632">
        <v>34951</v>
      </c>
      <c r="AC632" s="10">
        <v>43040</v>
      </c>
      <c r="AD632" s="10" t="s">
        <v>72</v>
      </c>
      <c r="AE632" t="s">
        <v>72</v>
      </c>
      <c r="AF632" t="s">
        <v>45</v>
      </c>
    </row>
    <row r="633" spans="1:32" x14ac:dyDescent="0.25">
      <c r="A633">
        <v>1782</v>
      </c>
      <c r="B633">
        <v>38</v>
      </c>
      <c r="C633" t="s">
        <v>43</v>
      </c>
      <c r="D633" t="s">
        <v>33</v>
      </c>
      <c r="E633" t="s">
        <v>34</v>
      </c>
      <c r="F633" t="s">
        <v>67</v>
      </c>
      <c r="G633" t="s">
        <v>59</v>
      </c>
      <c r="H633" t="s">
        <v>47</v>
      </c>
      <c r="I633" t="s">
        <v>38</v>
      </c>
      <c r="J633" t="s">
        <v>51</v>
      </c>
      <c r="K633">
        <v>3</v>
      </c>
      <c r="L633">
        <v>3</v>
      </c>
      <c r="M633" t="s">
        <v>48</v>
      </c>
      <c r="N633" t="s">
        <v>61</v>
      </c>
      <c r="O633" t="s">
        <v>36</v>
      </c>
      <c r="P633" t="s">
        <v>43</v>
      </c>
      <c r="Q633">
        <v>11</v>
      </c>
      <c r="R633">
        <v>1</v>
      </c>
      <c r="S633">
        <v>5</v>
      </c>
      <c r="T633">
        <v>0</v>
      </c>
      <c r="U633">
        <v>4</v>
      </c>
      <c r="V633">
        <v>6</v>
      </c>
      <c r="W633">
        <v>40</v>
      </c>
      <c r="X633">
        <v>1153</v>
      </c>
      <c r="Y633">
        <v>16376</v>
      </c>
      <c r="Z633">
        <v>3702</v>
      </c>
      <c r="AA633">
        <v>3</v>
      </c>
      <c r="AB633">
        <v>30942</v>
      </c>
      <c r="AC633" s="10">
        <v>43044</v>
      </c>
      <c r="AD633" s="10" t="s">
        <v>72</v>
      </c>
      <c r="AE633" t="s">
        <v>72</v>
      </c>
      <c r="AF633" t="s">
        <v>45</v>
      </c>
    </row>
    <row r="634" spans="1:32" x14ac:dyDescent="0.25">
      <c r="A634">
        <v>1447</v>
      </c>
      <c r="B634">
        <v>34</v>
      </c>
      <c r="C634" t="s">
        <v>43</v>
      </c>
      <c r="D634" t="s">
        <v>33</v>
      </c>
      <c r="E634" t="s">
        <v>34</v>
      </c>
      <c r="F634" t="s">
        <v>49</v>
      </c>
      <c r="G634" t="s">
        <v>59</v>
      </c>
      <c r="H634" t="s">
        <v>47</v>
      </c>
      <c r="I634" t="s">
        <v>38</v>
      </c>
      <c r="J634" t="s">
        <v>51</v>
      </c>
      <c r="K634">
        <v>2</v>
      </c>
      <c r="L634">
        <v>3</v>
      </c>
      <c r="M634" t="s">
        <v>60</v>
      </c>
      <c r="N634" t="s">
        <v>61</v>
      </c>
      <c r="O634" t="s">
        <v>36</v>
      </c>
      <c r="P634" t="s">
        <v>43</v>
      </c>
      <c r="Q634">
        <v>17</v>
      </c>
      <c r="R634">
        <v>5</v>
      </c>
      <c r="S634">
        <v>7</v>
      </c>
      <c r="T634">
        <v>0</v>
      </c>
      <c r="U634">
        <v>2</v>
      </c>
      <c r="V634">
        <v>1</v>
      </c>
      <c r="W634">
        <v>86</v>
      </c>
      <c r="X634">
        <v>401</v>
      </c>
      <c r="Y634">
        <v>3708</v>
      </c>
      <c r="Z634">
        <v>3294</v>
      </c>
      <c r="AA634">
        <v>2</v>
      </c>
      <c r="AB634">
        <v>32641</v>
      </c>
      <c r="AC634" s="10">
        <v>43047</v>
      </c>
      <c r="AD634" s="10" t="s">
        <v>72</v>
      </c>
      <c r="AE634" t="s">
        <v>72</v>
      </c>
      <c r="AF634" t="s">
        <v>55</v>
      </c>
    </row>
    <row r="635" spans="1:32" x14ac:dyDescent="0.25">
      <c r="A635">
        <v>885</v>
      </c>
      <c r="B635">
        <v>25</v>
      </c>
      <c r="C635" t="s">
        <v>43</v>
      </c>
      <c r="D635" t="s">
        <v>33</v>
      </c>
      <c r="E635" t="s">
        <v>56</v>
      </c>
      <c r="F635" t="s">
        <v>64</v>
      </c>
      <c r="G635" t="s">
        <v>50</v>
      </c>
      <c r="H635" t="s">
        <v>37</v>
      </c>
      <c r="I635" t="s">
        <v>38</v>
      </c>
      <c r="J635" t="s">
        <v>57</v>
      </c>
      <c r="K635">
        <v>1</v>
      </c>
      <c r="L635">
        <v>3</v>
      </c>
      <c r="M635" t="s">
        <v>58</v>
      </c>
      <c r="N635" t="s">
        <v>61</v>
      </c>
      <c r="O635" t="s">
        <v>42</v>
      </c>
      <c r="P635" t="s">
        <v>43</v>
      </c>
      <c r="Q635">
        <v>12</v>
      </c>
      <c r="R635">
        <v>1</v>
      </c>
      <c r="S635">
        <v>5</v>
      </c>
      <c r="T635">
        <v>0</v>
      </c>
      <c r="U635">
        <v>3</v>
      </c>
      <c r="V635">
        <v>4</v>
      </c>
      <c r="W635">
        <v>87</v>
      </c>
      <c r="X635">
        <v>583</v>
      </c>
      <c r="Y635">
        <v>18154</v>
      </c>
      <c r="Z635">
        <v>4256</v>
      </c>
      <c r="AA635">
        <v>1</v>
      </c>
      <c r="AB635">
        <v>35726</v>
      </c>
      <c r="AC635" s="10">
        <v>43051</v>
      </c>
      <c r="AD635" s="10" t="s">
        <v>72</v>
      </c>
      <c r="AE635" t="s">
        <v>72</v>
      </c>
      <c r="AF635" t="s">
        <v>45</v>
      </c>
    </row>
    <row r="636" spans="1:32" x14ac:dyDescent="0.25">
      <c r="A636">
        <v>1757</v>
      </c>
      <c r="B636">
        <v>49</v>
      </c>
      <c r="C636" t="s">
        <v>43</v>
      </c>
      <c r="D636" t="s">
        <v>33</v>
      </c>
      <c r="E636" t="s">
        <v>56</v>
      </c>
      <c r="F636" t="s">
        <v>35</v>
      </c>
      <c r="G636" t="s">
        <v>59</v>
      </c>
      <c r="H636" t="s">
        <v>47</v>
      </c>
      <c r="I636" t="s">
        <v>50</v>
      </c>
      <c r="J636" t="s">
        <v>57</v>
      </c>
      <c r="K636">
        <v>4</v>
      </c>
      <c r="L636">
        <v>3</v>
      </c>
      <c r="M636" t="s">
        <v>58</v>
      </c>
      <c r="N636" t="s">
        <v>41</v>
      </c>
      <c r="O636" t="s">
        <v>42</v>
      </c>
      <c r="P636" t="s">
        <v>43</v>
      </c>
      <c r="Q636">
        <v>12</v>
      </c>
      <c r="R636">
        <v>3</v>
      </c>
      <c r="S636">
        <v>8</v>
      </c>
      <c r="T636">
        <v>0</v>
      </c>
      <c r="U636">
        <v>4</v>
      </c>
      <c r="V636">
        <v>11</v>
      </c>
      <c r="W636">
        <v>80</v>
      </c>
      <c r="X636">
        <v>1313</v>
      </c>
      <c r="Y636">
        <v>8191</v>
      </c>
      <c r="Z636">
        <v>4507</v>
      </c>
      <c r="AA636">
        <v>1</v>
      </c>
      <c r="AB636">
        <v>27135</v>
      </c>
      <c r="AC636" s="10">
        <v>43067</v>
      </c>
      <c r="AD636" s="10" t="s">
        <v>72</v>
      </c>
      <c r="AE636" t="s">
        <v>72</v>
      </c>
      <c r="AF636" t="s">
        <v>45</v>
      </c>
    </row>
    <row r="637" spans="1:32" x14ac:dyDescent="0.25">
      <c r="A637">
        <v>620</v>
      </c>
      <c r="B637">
        <v>35</v>
      </c>
      <c r="C637" t="s">
        <v>43</v>
      </c>
      <c r="D637" t="s">
        <v>33</v>
      </c>
      <c r="E637" t="s">
        <v>56</v>
      </c>
      <c r="F637" t="s">
        <v>49</v>
      </c>
      <c r="G637" t="s">
        <v>36</v>
      </c>
      <c r="H637" t="s">
        <v>47</v>
      </c>
      <c r="I637" t="s">
        <v>50</v>
      </c>
      <c r="J637" t="s">
        <v>57</v>
      </c>
      <c r="K637">
        <v>3</v>
      </c>
      <c r="L637">
        <v>3</v>
      </c>
      <c r="M637" t="s">
        <v>48</v>
      </c>
      <c r="N637" t="s">
        <v>41</v>
      </c>
      <c r="O637" t="s">
        <v>42</v>
      </c>
      <c r="P637" t="s">
        <v>43</v>
      </c>
      <c r="Q637">
        <v>16</v>
      </c>
      <c r="R637">
        <v>1</v>
      </c>
      <c r="S637">
        <v>5</v>
      </c>
      <c r="T637">
        <v>0</v>
      </c>
      <c r="U637">
        <v>3</v>
      </c>
      <c r="V637">
        <v>1</v>
      </c>
      <c r="W637">
        <v>80</v>
      </c>
      <c r="X637">
        <v>195</v>
      </c>
      <c r="Y637">
        <v>6698</v>
      </c>
      <c r="Z637">
        <v>4859</v>
      </c>
      <c r="AA637">
        <v>3</v>
      </c>
      <c r="AB637">
        <v>32241</v>
      </c>
      <c r="AC637" s="10">
        <v>43076</v>
      </c>
      <c r="AD637" s="10" t="s">
        <v>72</v>
      </c>
      <c r="AE637" t="s">
        <v>72</v>
      </c>
      <c r="AF637" t="s">
        <v>45</v>
      </c>
    </row>
    <row r="638" spans="1:32" x14ac:dyDescent="0.25">
      <c r="A638">
        <v>574</v>
      </c>
      <c r="B638">
        <v>47</v>
      </c>
      <c r="C638" t="s">
        <v>43</v>
      </c>
      <c r="D638" t="s">
        <v>33</v>
      </c>
      <c r="E638" t="s">
        <v>34</v>
      </c>
      <c r="F638" t="s">
        <v>67</v>
      </c>
      <c r="G638" t="s">
        <v>36</v>
      </c>
      <c r="H638" t="s">
        <v>47</v>
      </c>
      <c r="I638" t="s">
        <v>50</v>
      </c>
      <c r="J638" t="s">
        <v>65</v>
      </c>
      <c r="K638">
        <v>4</v>
      </c>
      <c r="L638">
        <v>3</v>
      </c>
      <c r="M638" t="s">
        <v>48</v>
      </c>
      <c r="N638" t="s">
        <v>52</v>
      </c>
      <c r="O638" t="s">
        <v>50</v>
      </c>
      <c r="P638" t="s">
        <v>43</v>
      </c>
      <c r="Q638">
        <v>13</v>
      </c>
      <c r="R638">
        <v>5</v>
      </c>
      <c r="S638">
        <v>20</v>
      </c>
      <c r="T638">
        <v>0</v>
      </c>
      <c r="U638">
        <v>4</v>
      </c>
      <c r="V638">
        <v>2</v>
      </c>
      <c r="W638">
        <v>65</v>
      </c>
      <c r="X638">
        <v>983</v>
      </c>
      <c r="Y638">
        <v>7389</v>
      </c>
      <c r="Z638">
        <v>5070</v>
      </c>
      <c r="AA638">
        <v>2</v>
      </c>
      <c r="AB638">
        <v>27864</v>
      </c>
      <c r="AC638" s="10">
        <v>43098</v>
      </c>
      <c r="AD638" s="10" t="s">
        <v>72</v>
      </c>
      <c r="AE638" t="s">
        <v>72</v>
      </c>
      <c r="AF638" t="s">
        <v>45</v>
      </c>
    </row>
    <row r="639" spans="1:32" x14ac:dyDescent="0.25">
      <c r="A639">
        <v>655</v>
      </c>
      <c r="B639">
        <v>27</v>
      </c>
      <c r="C639" t="s">
        <v>43</v>
      </c>
      <c r="D639" t="s">
        <v>33</v>
      </c>
      <c r="E639" t="s">
        <v>34</v>
      </c>
      <c r="F639" t="s">
        <v>35</v>
      </c>
      <c r="G639" t="s">
        <v>36</v>
      </c>
      <c r="H639" t="s">
        <v>47</v>
      </c>
      <c r="I639" t="s">
        <v>38</v>
      </c>
      <c r="J639" t="s">
        <v>39</v>
      </c>
      <c r="K639">
        <v>3</v>
      </c>
      <c r="L639">
        <v>3</v>
      </c>
      <c r="M639" t="s">
        <v>60</v>
      </c>
      <c r="N639" t="s">
        <v>52</v>
      </c>
      <c r="O639" t="s">
        <v>53</v>
      </c>
      <c r="P639" t="s">
        <v>43</v>
      </c>
      <c r="Q639">
        <v>12</v>
      </c>
      <c r="R639">
        <v>0</v>
      </c>
      <c r="S639">
        <v>6</v>
      </c>
      <c r="T639">
        <v>0</v>
      </c>
      <c r="U639">
        <v>3</v>
      </c>
      <c r="V639">
        <v>6</v>
      </c>
      <c r="W639">
        <v>66</v>
      </c>
      <c r="X639">
        <v>798</v>
      </c>
      <c r="Y639">
        <v>5013</v>
      </c>
      <c r="Z639">
        <v>2187</v>
      </c>
      <c r="AA639">
        <v>5</v>
      </c>
      <c r="AB639">
        <v>34956</v>
      </c>
      <c r="AC639" s="10">
        <v>43099</v>
      </c>
      <c r="AD639" s="10" t="s">
        <v>72</v>
      </c>
      <c r="AE639" t="s">
        <v>72</v>
      </c>
      <c r="AF639" t="s">
        <v>45</v>
      </c>
    </row>
    <row r="640" spans="1:32" x14ac:dyDescent="0.25">
      <c r="A640">
        <v>879</v>
      </c>
      <c r="B640">
        <v>25</v>
      </c>
      <c r="C640" t="s">
        <v>43</v>
      </c>
      <c r="D640" t="s">
        <v>33</v>
      </c>
      <c r="E640" t="s">
        <v>56</v>
      </c>
      <c r="F640" t="s">
        <v>64</v>
      </c>
      <c r="G640" t="s">
        <v>50</v>
      </c>
      <c r="H640" t="s">
        <v>37</v>
      </c>
      <c r="I640" t="s">
        <v>50</v>
      </c>
      <c r="J640" t="s">
        <v>57</v>
      </c>
      <c r="K640">
        <v>1</v>
      </c>
      <c r="L640">
        <v>3</v>
      </c>
      <c r="M640" t="s">
        <v>48</v>
      </c>
      <c r="N640" t="s">
        <v>61</v>
      </c>
      <c r="O640" t="s">
        <v>42</v>
      </c>
      <c r="P640" t="s">
        <v>32</v>
      </c>
      <c r="Q640">
        <v>18</v>
      </c>
      <c r="R640">
        <v>1</v>
      </c>
      <c r="S640">
        <v>5</v>
      </c>
      <c r="T640">
        <v>0</v>
      </c>
      <c r="U640">
        <v>3</v>
      </c>
      <c r="V640">
        <v>3</v>
      </c>
      <c r="W640">
        <v>98</v>
      </c>
      <c r="X640">
        <v>141</v>
      </c>
      <c r="Y640">
        <v>14363</v>
      </c>
      <c r="Z640">
        <v>4194</v>
      </c>
      <c r="AA640">
        <v>3</v>
      </c>
      <c r="AB640">
        <v>35699</v>
      </c>
      <c r="AC640" s="10">
        <v>43108</v>
      </c>
      <c r="AD640" s="10" t="s">
        <v>72</v>
      </c>
      <c r="AE640" t="s">
        <v>72</v>
      </c>
      <c r="AF640" t="s">
        <v>55</v>
      </c>
    </row>
    <row r="641" spans="1:32" x14ac:dyDescent="0.25">
      <c r="A641">
        <v>1787</v>
      </c>
      <c r="B641">
        <v>37</v>
      </c>
      <c r="C641" t="s">
        <v>43</v>
      </c>
      <c r="D641" t="s">
        <v>33</v>
      </c>
      <c r="E641" t="s">
        <v>56</v>
      </c>
      <c r="F641" t="s">
        <v>67</v>
      </c>
      <c r="G641" t="s">
        <v>38</v>
      </c>
      <c r="H641" t="s">
        <v>37</v>
      </c>
      <c r="I641" t="s">
        <v>38</v>
      </c>
      <c r="J641" t="s">
        <v>57</v>
      </c>
      <c r="K641">
        <v>2</v>
      </c>
      <c r="L641">
        <v>3</v>
      </c>
      <c r="M641" t="s">
        <v>48</v>
      </c>
      <c r="N641" t="s">
        <v>61</v>
      </c>
      <c r="O641" t="s">
        <v>53</v>
      </c>
      <c r="P641" t="s">
        <v>43</v>
      </c>
      <c r="Q641">
        <v>14</v>
      </c>
      <c r="R641">
        <v>1</v>
      </c>
      <c r="S641">
        <v>5</v>
      </c>
      <c r="T641">
        <v>0</v>
      </c>
      <c r="U641">
        <v>3</v>
      </c>
      <c r="V641">
        <v>9</v>
      </c>
      <c r="W641">
        <v>46</v>
      </c>
      <c r="X641">
        <v>589</v>
      </c>
      <c r="Y641">
        <v>8800</v>
      </c>
      <c r="Z641">
        <v>4189</v>
      </c>
      <c r="AA641">
        <v>2</v>
      </c>
      <c r="AB641">
        <v>31465</v>
      </c>
      <c r="AC641" s="10">
        <v>43108</v>
      </c>
      <c r="AD641" s="10" t="s">
        <v>72</v>
      </c>
      <c r="AE641" t="s">
        <v>72</v>
      </c>
      <c r="AF641" t="s">
        <v>45</v>
      </c>
    </row>
    <row r="642" spans="1:32" x14ac:dyDescent="0.25">
      <c r="A642">
        <v>526</v>
      </c>
      <c r="B642">
        <v>43</v>
      </c>
      <c r="C642" t="s">
        <v>43</v>
      </c>
      <c r="D642" t="s">
        <v>33</v>
      </c>
      <c r="E642" t="s">
        <v>34</v>
      </c>
      <c r="F642" t="s">
        <v>35</v>
      </c>
      <c r="G642" t="s">
        <v>50</v>
      </c>
      <c r="H642" t="s">
        <v>47</v>
      </c>
      <c r="I642" t="s">
        <v>50</v>
      </c>
      <c r="J642" t="s">
        <v>62</v>
      </c>
      <c r="K642">
        <v>3</v>
      </c>
      <c r="L642">
        <v>3</v>
      </c>
      <c r="M642" t="s">
        <v>48</v>
      </c>
      <c r="N642" t="s">
        <v>52</v>
      </c>
      <c r="O642" t="s">
        <v>42</v>
      </c>
      <c r="P642" t="s">
        <v>32</v>
      </c>
      <c r="Q642">
        <v>14</v>
      </c>
      <c r="R642">
        <v>4</v>
      </c>
      <c r="S642">
        <v>8</v>
      </c>
      <c r="T642">
        <v>0</v>
      </c>
      <c r="U642">
        <v>2</v>
      </c>
      <c r="V642">
        <v>8</v>
      </c>
      <c r="W642">
        <v>74</v>
      </c>
      <c r="X642">
        <v>1473</v>
      </c>
      <c r="Y642">
        <v>2227</v>
      </c>
      <c r="Z642">
        <v>4522</v>
      </c>
      <c r="AA642">
        <v>3</v>
      </c>
      <c r="AB642">
        <v>29144</v>
      </c>
      <c r="AC642" s="10">
        <v>43111</v>
      </c>
      <c r="AD642" s="10" t="s">
        <v>72</v>
      </c>
      <c r="AE642" t="s">
        <v>72</v>
      </c>
      <c r="AF642" t="s">
        <v>45</v>
      </c>
    </row>
    <row r="643" spans="1:32" x14ac:dyDescent="0.25">
      <c r="A643">
        <v>1826</v>
      </c>
      <c r="B643">
        <v>35</v>
      </c>
      <c r="C643" t="s">
        <v>43</v>
      </c>
      <c r="D643" t="s">
        <v>33</v>
      </c>
      <c r="E643" t="s">
        <v>34</v>
      </c>
      <c r="F643" t="s">
        <v>35</v>
      </c>
      <c r="G643" t="s">
        <v>38</v>
      </c>
      <c r="H643" t="s">
        <v>37</v>
      </c>
      <c r="I643" t="s">
        <v>36</v>
      </c>
      <c r="J643" t="s">
        <v>51</v>
      </c>
      <c r="K643">
        <v>3</v>
      </c>
      <c r="L643">
        <v>3</v>
      </c>
      <c r="M643" t="s">
        <v>58</v>
      </c>
      <c r="N643" t="s">
        <v>61</v>
      </c>
      <c r="O643" t="s">
        <v>36</v>
      </c>
      <c r="P643" t="s">
        <v>43</v>
      </c>
      <c r="Q643">
        <v>16</v>
      </c>
      <c r="R643">
        <v>0</v>
      </c>
      <c r="S643">
        <v>6</v>
      </c>
      <c r="T643">
        <v>0</v>
      </c>
      <c r="U643">
        <v>3</v>
      </c>
      <c r="V643">
        <v>23</v>
      </c>
      <c r="W643">
        <v>91</v>
      </c>
      <c r="X643">
        <v>185</v>
      </c>
      <c r="Y643">
        <v>9696</v>
      </c>
      <c r="Z643">
        <v>2705</v>
      </c>
      <c r="AA643">
        <v>2</v>
      </c>
      <c r="AB643">
        <v>32288</v>
      </c>
      <c r="AC643" s="10">
        <v>43112</v>
      </c>
      <c r="AD643" s="10" t="s">
        <v>72</v>
      </c>
      <c r="AE643" t="s">
        <v>72</v>
      </c>
      <c r="AF643" t="s">
        <v>45</v>
      </c>
    </row>
    <row r="644" spans="1:32" x14ac:dyDescent="0.25">
      <c r="A644">
        <v>1940</v>
      </c>
      <c r="B644">
        <v>38</v>
      </c>
      <c r="C644" t="s">
        <v>43</v>
      </c>
      <c r="D644" t="s">
        <v>33</v>
      </c>
      <c r="E644" t="s">
        <v>34</v>
      </c>
      <c r="F644" t="s">
        <v>67</v>
      </c>
      <c r="G644" t="s">
        <v>38</v>
      </c>
      <c r="H644" t="s">
        <v>37</v>
      </c>
      <c r="I644" t="s">
        <v>50</v>
      </c>
      <c r="J644" t="s">
        <v>39</v>
      </c>
      <c r="K644">
        <v>4</v>
      </c>
      <c r="L644">
        <v>3</v>
      </c>
      <c r="M644" t="s">
        <v>58</v>
      </c>
      <c r="N644" t="s">
        <v>52</v>
      </c>
      <c r="O644" t="s">
        <v>53</v>
      </c>
      <c r="P644" t="s">
        <v>43</v>
      </c>
      <c r="Q644">
        <v>19</v>
      </c>
      <c r="R644">
        <v>2</v>
      </c>
      <c r="S644">
        <v>10</v>
      </c>
      <c r="T644">
        <v>0</v>
      </c>
      <c r="U644">
        <v>3</v>
      </c>
      <c r="V644">
        <v>9</v>
      </c>
      <c r="W644">
        <v>71</v>
      </c>
      <c r="X644">
        <v>1206</v>
      </c>
      <c r="Y644">
        <v>14293</v>
      </c>
      <c r="Z644">
        <v>4771</v>
      </c>
      <c r="AA644">
        <v>0</v>
      </c>
      <c r="AB644">
        <v>31022</v>
      </c>
      <c r="AC644" s="10">
        <v>43137</v>
      </c>
      <c r="AD644" s="10" t="s">
        <v>72</v>
      </c>
      <c r="AE644" t="s">
        <v>72</v>
      </c>
      <c r="AF644" t="s">
        <v>45</v>
      </c>
    </row>
    <row r="645" spans="1:32" x14ac:dyDescent="0.25">
      <c r="A645">
        <v>1945</v>
      </c>
      <c r="B645">
        <v>35</v>
      </c>
      <c r="C645" t="s">
        <v>43</v>
      </c>
      <c r="D645" t="s">
        <v>33</v>
      </c>
      <c r="E645" t="s">
        <v>56</v>
      </c>
      <c r="F645" t="s">
        <v>35</v>
      </c>
      <c r="G645" t="s">
        <v>38</v>
      </c>
      <c r="H645" t="s">
        <v>37</v>
      </c>
      <c r="I645" t="s">
        <v>50</v>
      </c>
      <c r="J645" t="s">
        <v>57</v>
      </c>
      <c r="K645">
        <v>1</v>
      </c>
      <c r="L645">
        <v>3</v>
      </c>
      <c r="M645" t="s">
        <v>40</v>
      </c>
      <c r="N645" t="s">
        <v>61</v>
      </c>
      <c r="O645" t="s">
        <v>36</v>
      </c>
      <c r="P645" t="s">
        <v>43</v>
      </c>
      <c r="Q645">
        <v>16</v>
      </c>
      <c r="R645">
        <v>0</v>
      </c>
      <c r="S645">
        <v>6</v>
      </c>
      <c r="T645">
        <v>0</v>
      </c>
      <c r="U645">
        <v>4</v>
      </c>
      <c r="V645">
        <v>18</v>
      </c>
      <c r="W645">
        <v>71</v>
      </c>
      <c r="X645">
        <v>682</v>
      </c>
      <c r="Y645">
        <v>15975</v>
      </c>
      <c r="Z645">
        <v>5561</v>
      </c>
      <c r="AA645">
        <v>2</v>
      </c>
      <c r="AB645">
        <v>32266</v>
      </c>
      <c r="AC645" s="10">
        <v>43182</v>
      </c>
      <c r="AD645" s="10" t="s">
        <v>72</v>
      </c>
      <c r="AE645" t="s">
        <v>72</v>
      </c>
      <c r="AF645" t="s">
        <v>55</v>
      </c>
    </row>
    <row r="646" spans="1:32" x14ac:dyDescent="0.25">
      <c r="A646">
        <v>2046</v>
      </c>
      <c r="B646">
        <v>45</v>
      </c>
      <c r="C646" t="s">
        <v>43</v>
      </c>
      <c r="D646" t="s">
        <v>33</v>
      </c>
      <c r="E646" t="s">
        <v>56</v>
      </c>
      <c r="F646" t="s">
        <v>49</v>
      </c>
      <c r="G646" t="s">
        <v>59</v>
      </c>
      <c r="H646" t="s">
        <v>47</v>
      </c>
      <c r="I646" t="s">
        <v>50</v>
      </c>
      <c r="J646" t="s">
        <v>57</v>
      </c>
      <c r="K646">
        <v>3</v>
      </c>
      <c r="L646">
        <v>3</v>
      </c>
      <c r="M646" t="s">
        <v>48</v>
      </c>
      <c r="N646" t="s">
        <v>41</v>
      </c>
      <c r="O646" t="s">
        <v>42</v>
      </c>
      <c r="P646" t="s">
        <v>43</v>
      </c>
      <c r="Q646">
        <v>15</v>
      </c>
      <c r="R646">
        <v>8</v>
      </c>
      <c r="S646">
        <v>8</v>
      </c>
      <c r="T646">
        <v>0</v>
      </c>
      <c r="U646">
        <v>1</v>
      </c>
      <c r="V646">
        <v>20</v>
      </c>
      <c r="W646">
        <v>50</v>
      </c>
      <c r="X646">
        <v>374</v>
      </c>
      <c r="Y646">
        <v>23333</v>
      </c>
      <c r="Z646">
        <v>4850</v>
      </c>
      <c r="AA646">
        <v>3</v>
      </c>
      <c r="AB646">
        <v>28469</v>
      </c>
      <c r="AC646" s="10">
        <v>43183</v>
      </c>
      <c r="AD646" s="10" t="s">
        <v>72</v>
      </c>
      <c r="AE646" t="s">
        <v>72</v>
      </c>
      <c r="AF646" t="s">
        <v>45</v>
      </c>
    </row>
    <row r="647" spans="1:32" x14ac:dyDescent="0.25">
      <c r="A647">
        <v>996</v>
      </c>
      <c r="B647">
        <v>45</v>
      </c>
      <c r="C647" t="s">
        <v>43</v>
      </c>
      <c r="D647" t="s">
        <v>33</v>
      </c>
      <c r="E647" t="s">
        <v>34</v>
      </c>
      <c r="F647" t="s">
        <v>35</v>
      </c>
      <c r="G647" t="s">
        <v>59</v>
      </c>
      <c r="H647" t="s">
        <v>47</v>
      </c>
      <c r="I647" t="s">
        <v>50</v>
      </c>
      <c r="J647" t="s">
        <v>51</v>
      </c>
      <c r="K647">
        <v>4</v>
      </c>
      <c r="L647">
        <v>3</v>
      </c>
      <c r="M647" t="s">
        <v>48</v>
      </c>
      <c r="N647" t="s">
        <v>52</v>
      </c>
      <c r="O647" t="s">
        <v>53</v>
      </c>
      <c r="P647" t="s">
        <v>43</v>
      </c>
      <c r="Q647">
        <v>14</v>
      </c>
      <c r="R647">
        <v>3</v>
      </c>
      <c r="S647">
        <v>8</v>
      </c>
      <c r="T647">
        <v>0</v>
      </c>
      <c r="U647">
        <v>2</v>
      </c>
      <c r="V647">
        <v>1</v>
      </c>
      <c r="W647">
        <v>91</v>
      </c>
      <c r="X647">
        <v>974</v>
      </c>
      <c r="Y647">
        <v>11005</v>
      </c>
      <c r="Z647">
        <v>2270</v>
      </c>
      <c r="AA647">
        <v>2</v>
      </c>
      <c r="AB647">
        <v>28484</v>
      </c>
      <c r="AC647" s="10">
        <v>43185</v>
      </c>
      <c r="AD647" s="10" t="s">
        <v>72</v>
      </c>
      <c r="AE647" t="s">
        <v>72</v>
      </c>
      <c r="AF647" t="s">
        <v>45</v>
      </c>
    </row>
    <row r="648" spans="1:32" x14ac:dyDescent="0.25">
      <c r="A648">
        <v>1822</v>
      </c>
      <c r="B648">
        <v>40</v>
      </c>
      <c r="C648" t="s">
        <v>43</v>
      </c>
      <c r="D648" t="s">
        <v>33</v>
      </c>
      <c r="E648" t="s">
        <v>34</v>
      </c>
      <c r="F648" t="s">
        <v>49</v>
      </c>
      <c r="G648" t="s">
        <v>50</v>
      </c>
      <c r="H648" t="s">
        <v>47</v>
      </c>
      <c r="I648" t="s">
        <v>50</v>
      </c>
      <c r="J648" t="s">
        <v>62</v>
      </c>
      <c r="K648">
        <v>4</v>
      </c>
      <c r="L648">
        <v>3</v>
      </c>
      <c r="M648" t="s">
        <v>48</v>
      </c>
      <c r="N648" t="s">
        <v>52</v>
      </c>
      <c r="O648" t="s">
        <v>36</v>
      </c>
      <c r="P648" t="s">
        <v>43</v>
      </c>
      <c r="Q648">
        <v>17</v>
      </c>
      <c r="R648">
        <v>4</v>
      </c>
      <c r="S648">
        <v>12</v>
      </c>
      <c r="T648">
        <v>0</v>
      </c>
      <c r="U648">
        <v>3</v>
      </c>
      <c r="V648">
        <v>1</v>
      </c>
      <c r="W648">
        <v>52</v>
      </c>
      <c r="X648">
        <v>1194</v>
      </c>
      <c r="Y648">
        <v>9060</v>
      </c>
      <c r="Z648">
        <v>6513</v>
      </c>
      <c r="AA648">
        <v>3</v>
      </c>
      <c r="AB648">
        <v>30402</v>
      </c>
      <c r="AC648" s="10">
        <v>43189</v>
      </c>
      <c r="AD648" s="10" t="s">
        <v>72</v>
      </c>
      <c r="AE648" t="s">
        <v>72</v>
      </c>
      <c r="AF648" t="s">
        <v>45</v>
      </c>
    </row>
    <row r="649" spans="1:32" x14ac:dyDescent="0.25">
      <c r="A649">
        <v>2037</v>
      </c>
      <c r="B649">
        <v>41</v>
      </c>
      <c r="C649" t="s">
        <v>43</v>
      </c>
      <c r="D649" t="s">
        <v>33</v>
      </c>
      <c r="E649" t="s">
        <v>56</v>
      </c>
      <c r="F649" t="s">
        <v>49</v>
      </c>
      <c r="G649" t="s">
        <v>50</v>
      </c>
      <c r="H649" t="s">
        <v>37</v>
      </c>
      <c r="I649" t="s">
        <v>38</v>
      </c>
      <c r="J649" t="s">
        <v>57</v>
      </c>
      <c r="K649">
        <v>2</v>
      </c>
      <c r="L649">
        <v>3</v>
      </c>
      <c r="M649" t="s">
        <v>48</v>
      </c>
      <c r="N649" t="s">
        <v>52</v>
      </c>
      <c r="O649" t="s">
        <v>36</v>
      </c>
      <c r="P649" t="s">
        <v>43</v>
      </c>
      <c r="Q649">
        <v>11</v>
      </c>
      <c r="R649">
        <v>2</v>
      </c>
      <c r="S649">
        <v>14</v>
      </c>
      <c r="T649">
        <v>0</v>
      </c>
      <c r="U649">
        <v>4</v>
      </c>
      <c r="V649">
        <v>3</v>
      </c>
      <c r="W649">
        <v>57</v>
      </c>
      <c r="X649">
        <v>930</v>
      </c>
      <c r="Y649">
        <v>12227</v>
      </c>
      <c r="Z649">
        <v>8938</v>
      </c>
      <c r="AA649">
        <v>5</v>
      </c>
      <c r="AB649">
        <v>30026</v>
      </c>
      <c r="AC649" s="10">
        <v>43214</v>
      </c>
      <c r="AD649" s="10" t="s">
        <v>72</v>
      </c>
      <c r="AE649" t="s">
        <v>72</v>
      </c>
      <c r="AF649" t="s">
        <v>45</v>
      </c>
    </row>
    <row r="650" spans="1:32" x14ac:dyDescent="0.25">
      <c r="A650">
        <v>859</v>
      </c>
      <c r="B650">
        <v>32</v>
      </c>
      <c r="C650" t="s">
        <v>43</v>
      </c>
      <c r="D650" t="s">
        <v>33</v>
      </c>
      <c r="E650" t="s">
        <v>56</v>
      </c>
      <c r="F650" t="s">
        <v>35</v>
      </c>
      <c r="G650" t="s">
        <v>38</v>
      </c>
      <c r="H650" t="s">
        <v>37</v>
      </c>
      <c r="I650" t="s">
        <v>50</v>
      </c>
      <c r="J650" t="s">
        <v>57</v>
      </c>
      <c r="K650">
        <v>4</v>
      </c>
      <c r="L650">
        <v>3</v>
      </c>
      <c r="M650" t="s">
        <v>60</v>
      </c>
      <c r="N650" t="s">
        <v>52</v>
      </c>
      <c r="O650" t="s">
        <v>36</v>
      </c>
      <c r="P650" t="s">
        <v>43</v>
      </c>
      <c r="Q650">
        <v>11</v>
      </c>
      <c r="R650">
        <v>2</v>
      </c>
      <c r="S650">
        <v>8</v>
      </c>
      <c r="T650">
        <v>0</v>
      </c>
      <c r="U650">
        <v>3</v>
      </c>
      <c r="V650">
        <v>13</v>
      </c>
      <c r="W650">
        <v>73</v>
      </c>
      <c r="X650">
        <v>117</v>
      </c>
      <c r="Y650">
        <v>9250</v>
      </c>
      <c r="Z650">
        <v>4403</v>
      </c>
      <c r="AA650">
        <v>3</v>
      </c>
      <c r="AB650">
        <v>33229</v>
      </c>
      <c r="AC650" s="10">
        <v>43220</v>
      </c>
      <c r="AD650" s="10" t="s">
        <v>72</v>
      </c>
      <c r="AE650" t="s">
        <v>72</v>
      </c>
      <c r="AF650" t="s">
        <v>45</v>
      </c>
    </row>
    <row r="651" spans="1:32" x14ac:dyDescent="0.25">
      <c r="A651">
        <v>1954</v>
      </c>
      <c r="B651">
        <v>29</v>
      </c>
      <c r="C651" t="s">
        <v>43</v>
      </c>
      <c r="D651" t="s">
        <v>33</v>
      </c>
      <c r="E651" t="s">
        <v>34</v>
      </c>
      <c r="F651" t="s">
        <v>49</v>
      </c>
      <c r="G651" t="s">
        <v>36</v>
      </c>
      <c r="H651" t="s">
        <v>37</v>
      </c>
      <c r="I651" t="s">
        <v>50</v>
      </c>
      <c r="J651" t="s">
        <v>62</v>
      </c>
      <c r="K651">
        <v>1</v>
      </c>
      <c r="L651">
        <v>3</v>
      </c>
      <c r="M651" t="s">
        <v>60</v>
      </c>
      <c r="N651" t="s">
        <v>61</v>
      </c>
      <c r="O651" t="s">
        <v>36</v>
      </c>
      <c r="P651" t="s">
        <v>43</v>
      </c>
      <c r="Q651">
        <v>12</v>
      </c>
      <c r="R651">
        <v>0</v>
      </c>
      <c r="S651">
        <v>6</v>
      </c>
      <c r="T651">
        <v>0</v>
      </c>
      <c r="U651">
        <v>2</v>
      </c>
      <c r="V651">
        <v>1</v>
      </c>
      <c r="W651">
        <v>89</v>
      </c>
      <c r="X651">
        <v>136</v>
      </c>
      <c r="Y651">
        <v>6225</v>
      </c>
      <c r="Z651">
        <v>5373</v>
      </c>
      <c r="AA651">
        <v>5</v>
      </c>
      <c r="AB651">
        <v>34504</v>
      </c>
      <c r="AC651" s="10">
        <v>43226</v>
      </c>
      <c r="AD651" s="10" t="s">
        <v>72</v>
      </c>
      <c r="AE651" t="s">
        <v>72</v>
      </c>
      <c r="AF651" t="s">
        <v>55</v>
      </c>
    </row>
    <row r="652" spans="1:32" x14ac:dyDescent="0.25">
      <c r="A652">
        <v>869</v>
      </c>
      <c r="B652">
        <v>28</v>
      </c>
      <c r="C652" t="s">
        <v>43</v>
      </c>
      <c r="D652" t="s">
        <v>33</v>
      </c>
      <c r="E652" t="s">
        <v>68</v>
      </c>
      <c r="F652" t="s">
        <v>67</v>
      </c>
      <c r="G652" t="s">
        <v>38</v>
      </c>
      <c r="H652" t="s">
        <v>37</v>
      </c>
      <c r="I652" t="s">
        <v>38</v>
      </c>
      <c r="J652" t="s">
        <v>68</v>
      </c>
      <c r="K652">
        <v>4</v>
      </c>
      <c r="L652">
        <v>3</v>
      </c>
      <c r="M652" t="s">
        <v>48</v>
      </c>
      <c r="N652" t="s">
        <v>52</v>
      </c>
      <c r="O652" t="s">
        <v>36</v>
      </c>
      <c r="P652" t="s">
        <v>43</v>
      </c>
      <c r="Q652">
        <v>13</v>
      </c>
      <c r="R652">
        <v>1</v>
      </c>
      <c r="S652">
        <v>6</v>
      </c>
      <c r="T652">
        <v>0</v>
      </c>
      <c r="U652">
        <v>4</v>
      </c>
      <c r="V652">
        <v>8</v>
      </c>
      <c r="W652">
        <v>63</v>
      </c>
      <c r="X652">
        <v>1169</v>
      </c>
      <c r="Y652">
        <v>23965</v>
      </c>
      <c r="Z652">
        <v>4936</v>
      </c>
      <c r="AA652">
        <v>6</v>
      </c>
      <c r="AB652">
        <v>34817</v>
      </c>
      <c r="AC652" s="10">
        <v>43232</v>
      </c>
      <c r="AD652" s="10" t="s">
        <v>72</v>
      </c>
      <c r="AE652" t="s">
        <v>72</v>
      </c>
      <c r="AF652" t="s">
        <v>55</v>
      </c>
    </row>
    <row r="653" spans="1:32" x14ac:dyDescent="0.25">
      <c r="A653">
        <v>864</v>
      </c>
      <c r="B653">
        <v>45</v>
      </c>
      <c r="C653" t="s">
        <v>43</v>
      </c>
      <c r="D653" t="s">
        <v>33</v>
      </c>
      <c r="E653" t="s">
        <v>56</v>
      </c>
      <c r="F653" t="s">
        <v>49</v>
      </c>
      <c r="G653" t="s">
        <v>59</v>
      </c>
      <c r="H653" t="s">
        <v>37</v>
      </c>
      <c r="I653" t="s">
        <v>50</v>
      </c>
      <c r="J653" t="s">
        <v>57</v>
      </c>
      <c r="K653">
        <v>1</v>
      </c>
      <c r="L653">
        <v>3</v>
      </c>
      <c r="M653" t="s">
        <v>48</v>
      </c>
      <c r="N653" t="s">
        <v>52</v>
      </c>
      <c r="O653" t="s">
        <v>36</v>
      </c>
      <c r="P653" t="s">
        <v>32</v>
      </c>
      <c r="Q653">
        <v>12</v>
      </c>
      <c r="R653">
        <v>4</v>
      </c>
      <c r="S653">
        <v>18</v>
      </c>
      <c r="T653">
        <v>0</v>
      </c>
      <c r="U653">
        <v>2</v>
      </c>
      <c r="V653">
        <v>9</v>
      </c>
      <c r="W653">
        <v>74</v>
      </c>
      <c r="X653">
        <v>930</v>
      </c>
      <c r="Y653">
        <v>19239</v>
      </c>
      <c r="Z653">
        <v>10761</v>
      </c>
      <c r="AA653">
        <v>2</v>
      </c>
      <c r="AB653">
        <v>28612</v>
      </c>
      <c r="AC653" s="10">
        <v>43247</v>
      </c>
      <c r="AD653" s="10" t="s">
        <v>72</v>
      </c>
      <c r="AE653" t="s">
        <v>72</v>
      </c>
      <c r="AF653" t="s">
        <v>45</v>
      </c>
    </row>
    <row r="654" spans="1:32" x14ac:dyDescent="0.25">
      <c r="A654">
        <v>84</v>
      </c>
      <c r="B654">
        <v>55</v>
      </c>
      <c r="C654" t="s">
        <v>43</v>
      </c>
      <c r="D654" t="s">
        <v>33</v>
      </c>
      <c r="E654" t="s">
        <v>34</v>
      </c>
      <c r="F654" t="s">
        <v>49</v>
      </c>
      <c r="G654" t="s">
        <v>59</v>
      </c>
      <c r="H654" t="s">
        <v>47</v>
      </c>
      <c r="I654" t="s">
        <v>50</v>
      </c>
      <c r="J654" t="s">
        <v>69</v>
      </c>
      <c r="K654">
        <v>3</v>
      </c>
      <c r="L654">
        <v>3</v>
      </c>
      <c r="M654" t="s">
        <v>48</v>
      </c>
      <c r="N654" t="s">
        <v>52</v>
      </c>
      <c r="O654" t="s">
        <v>50</v>
      </c>
      <c r="P654" t="s">
        <v>32</v>
      </c>
      <c r="Q654">
        <v>14</v>
      </c>
      <c r="R654">
        <v>2</v>
      </c>
      <c r="S654">
        <v>21</v>
      </c>
      <c r="T654">
        <v>0</v>
      </c>
      <c r="U654">
        <v>2</v>
      </c>
      <c r="V654">
        <v>8</v>
      </c>
      <c r="W654">
        <v>33</v>
      </c>
      <c r="X654">
        <v>836</v>
      </c>
      <c r="Y654">
        <v>19730</v>
      </c>
      <c r="Z654">
        <v>14756</v>
      </c>
      <c r="AA654">
        <v>2</v>
      </c>
      <c r="AB654">
        <v>24731</v>
      </c>
      <c r="AC654" s="10">
        <v>43250</v>
      </c>
      <c r="AD654" s="10" t="s">
        <v>72</v>
      </c>
      <c r="AE654" t="s">
        <v>72</v>
      </c>
      <c r="AF654" t="s">
        <v>55</v>
      </c>
    </row>
    <row r="655" spans="1:32" x14ac:dyDescent="0.25">
      <c r="A655">
        <v>1136</v>
      </c>
      <c r="B655">
        <v>28</v>
      </c>
      <c r="C655" t="s">
        <v>43</v>
      </c>
      <c r="D655" t="s">
        <v>33</v>
      </c>
      <c r="E655" t="s">
        <v>34</v>
      </c>
      <c r="F655" t="s">
        <v>64</v>
      </c>
      <c r="G655" t="s">
        <v>36</v>
      </c>
      <c r="H655" t="s">
        <v>37</v>
      </c>
      <c r="I655" t="s">
        <v>38</v>
      </c>
      <c r="J655" t="s">
        <v>39</v>
      </c>
      <c r="K655">
        <v>2</v>
      </c>
      <c r="L655">
        <v>3</v>
      </c>
      <c r="M655" t="s">
        <v>40</v>
      </c>
      <c r="N655" t="s">
        <v>61</v>
      </c>
      <c r="O655" t="s">
        <v>42</v>
      </c>
      <c r="P655" t="s">
        <v>43</v>
      </c>
      <c r="Q655">
        <v>17</v>
      </c>
      <c r="R655">
        <v>0</v>
      </c>
      <c r="S655">
        <v>6</v>
      </c>
      <c r="T655">
        <v>0</v>
      </c>
      <c r="U655">
        <v>4</v>
      </c>
      <c r="V655">
        <v>2</v>
      </c>
      <c r="W655">
        <v>67</v>
      </c>
      <c r="X655">
        <v>1451</v>
      </c>
      <c r="Y655">
        <v>19911</v>
      </c>
      <c r="Z655">
        <v>3201</v>
      </c>
      <c r="AA655">
        <v>2</v>
      </c>
      <c r="AB655">
        <v>34638</v>
      </c>
      <c r="AC655" s="10">
        <v>43256</v>
      </c>
      <c r="AD655" s="10" t="s">
        <v>72</v>
      </c>
      <c r="AE655" t="s">
        <v>72</v>
      </c>
      <c r="AF655" t="s">
        <v>45</v>
      </c>
    </row>
    <row r="656" spans="1:32" x14ac:dyDescent="0.25">
      <c r="A656">
        <v>14</v>
      </c>
      <c r="B656">
        <v>35</v>
      </c>
      <c r="C656" t="s">
        <v>43</v>
      </c>
      <c r="D656" t="s">
        <v>33</v>
      </c>
      <c r="E656" t="s">
        <v>34</v>
      </c>
      <c r="F656" t="s">
        <v>49</v>
      </c>
      <c r="G656" t="s">
        <v>36</v>
      </c>
      <c r="H656" t="s">
        <v>37</v>
      </c>
      <c r="I656" t="s">
        <v>59</v>
      </c>
      <c r="J656" t="s">
        <v>51</v>
      </c>
      <c r="K656">
        <v>2</v>
      </c>
      <c r="L656">
        <v>3</v>
      </c>
      <c r="M656" t="s">
        <v>48</v>
      </c>
      <c r="N656" t="s">
        <v>61</v>
      </c>
      <c r="O656" t="s">
        <v>36</v>
      </c>
      <c r="P656" t="s">
        <v>43</v>
      </c>
      <c r="Q656">
        <v>13</v>
      </c>
      <c r="R656">
        <v>0</v>
      </c>
      <c r="S656">
        <v>6</v>
      </c>
      <c r="T656">
        <v>0</v>
      </c>
      <c r="U656">
        <v>3</v>
      </c>
      <c r="V656">
        <v>16</v>
      </c>
      <c r="W656">
        <v>84</v>
      </c>
      <c r="X656">
        <v>809</v>
      </c>
      <c r="Y656">
        <v>16479</v>
      </c>
      <c r="Z656">
        <v>2426</v>
      </c>
      <c r="AA656">
        <v>5</v>
      </c>
      <c r="AB656">
        <v>32330</v>
      </c>
      <c r="AC656" s="10">
        <v>43257</v>
      </c>
      <c r="AD656" s="10" t="s">
        <v>72</v>
      </c>
      <c r="AE656" t="s">
        <v>72</v>
      </c>
      <c r="AF656" t="s">
        <v>45</v>
      </c>
    </row>
    <row r="657" spans="1:32" x14ac:dyDescent="0.25">
      <c r="A657">
        <v>543</v>
      </c>
      <c r="B657">
        <v>52</v>
      </c>
      <c r="C657" t="s">
        <v>43</v>
      </c>
      <c r="D657" t="s">
        <v>33</v>
      </c>
      <c r="E657" t="s">
        <v>34</v>
      </c>
      <c r="F657" t="s">
        <v>49</v>
      </c>
      <c r="G657" t="s">
        <v>59</v>
      </c>
      <c r="H657" t="s">
        <v>37</v>
      </c>
      <c r="I657" t="s">
        <v>38</v>
      </c>
      <c r="J657" t="s">
        <v>65</v>
      </c>
      <c r="K657">
        <v>3</v>
      </c>
      <c r="L657">
        <v>3</v>
      </c>
      <c r="M657" t="s">
        <v>48</v>
      </c>
      <c r="N657" t="s">
        <v>61</v>
      </c>
      <c r="O657" t="s">
        <v>42</v>
      </c>
      <c r="P657" t="s">
        <v>32</v>
      </c>
      <c r="Q657">
        <v>14</v>
      </c>
      <c r="R657">
        <v>2</v>
      </c>
      <c r="S657">
        <v>28</v>
      </c>
      <c r="T657">
        <v>0</v>
      </c>
      <c r="U657">
        <v>4</v>
      </c>
      <c r="V657">
        <v>3</v>
      </c>
      <c r="W657">
        <v>39</v>
      </c>
      <c r="X657">
        <v>319</v>
      </c>
      <c r="Y657">
        <v>19609</v>
      </c>
      <c r="Z657">
        <v>7969</v>
      </c>
      <c r="AA657">
        <v>4</v>
      </c>
      <c r="AB657">
        <v>25847</v>
      </c>
      <c r="AC657" s="10">
        <v>43259</v>
      </c>
      <c r="AD657" s="10" t="s">
        <v>72</v>
      </c>
      <c r="AE657" t="s">
        <v>72</v>
      </c>
      <c r="AF657" t="s">
        <v>55</v>
      </c>
    </row>
    <row r="658" spans="1:32" x14ac:dyDescent="0.25">
      <c r="A658">
        <v>221</v>
      </c>
      <c r="B658">
        <v>28</v>
      </c>
      <c r="C658" t="s">
        <v>43</v>
      </c>
      <c r="D658" t="s">
        <v>33</v>
      </c>
      <c r="E658" t="s">
        <v>34</v>
      </c>
      <c r="F658" t="s">
        <v>49</v>
      </c>
      <c r="G658" t="s">
        <v>50</v>
      </c>
      <c r="H658" t="s">
        <v>37</v>
      </c>
      <c r="I658" t="s">
        <v>50</v>
      </c>
      <c r="J658" t="s">
        <v>39</v>
      </c>
      <c r="K658">
        <v>4</v>
      </c>
      <c r="L658">
        <v>3</v>
      </c>
      <c r="M658" t="s">
        <v>40</v>
      </c>
      <c r="N658" t="s">
        <v>61</v>
      </c>
      <c r="O658" t="s">
        <v>36</v>
      </c>
      <c r="P658" t="s">
        <v>43</v>
      </c>
      <c r="Q658">
        <v>11</v>
      </c>
      <c r="R658">
        <v>1</v>
      </c>
      <c r="S658">
        <v>5</v>
      </c>
      <c r="T658">
        <v>0</v>
      </c>
      <c r="U658">
        <v>2</v>
      </c>
      <c r="V658">
        <v>21</v>
      </c>
      <c r="W658">
        <v>42</v>
      </c>
      <c r="X658">
        <v>440</v>
      </c>
      <c r="Y658">
        <v>6672</v>
      </c>
      <c r="Z658">
        <v>2713</v>
      </c>
      <c r="AA658">
        <v>2</v>
      </c>
      <c r="AB658">
        <v>34874</v>
      </c>
      <c r="AC658" s="10">
        <v>43269</v>
      </c>
      <c r="AD658" s="10" t="s">
        <v>72</v>
      </c>
      <c r="AE658" t="s">
        <v>72</v>
      </c>
      <c r="AF658" t="s">
        <v>45</v>
      </c>
    </row>
    <row r="659" spans="1:32" x14ac:dyDescent="0.25">
      <c r="A659">
        <v>1445</v>
      </c>
      <c r="B659">
        <v>24</v>
      </c>
      <c r="C659" t="s">
        <v>43</v>
      </c>
      <c r="D659" t="s">
        <v>33</v>
      </c>
      <c r="E659" t="s">
        <v>56</v>
      </c>
      <c r="F659" t="s">
        <v>64</v>
      </c>
      <c r="G659" t="s">
        <v>59</v>
      </c>
      <c r="H659" t="s">
        <v>47</v>
      </c>
      <c r="I659" t="s">
        <v>50</v>
      </c>
      <c r="J659" t="s">
        <v>57</v>
      </c>
      <c r="K659">
        <v>3</v>
      </c>
      <c r="L659">
        <v>3</v>
      </c>
      <c r="M659" t="s">
        <v>48</v>
      </c>
      <c r="N659" t="s">
        <v>61</v>
      </c>
      <c r="O659" t="s">
        <v>53</v>
      </c>
      <c r="P659" t="s">
        <v>32</v>
      </c>
      <c r="Q659">
        <v>12</v>
      </c>
      <c r="R659">
        <v>1</v>
      </c>
      <c r="S659">
        <v>5</v>
      </c>
      <c r="T659">
        <v>0</v>
      </c>
      <c r="U659">
        <v>3</v>
      </c>
      <c r="V659">
        <v>4</v>
      </c>
      <c r="W659">
        <v>42</v>
      </c>
      <c r="X659">
        <v>1476</v>
      </c>
      <c r="Y659">
        <v>15211</v>
      </c>
      <c r="Z659">
        <v>4162</v>
      </c>
      <c r="AA659">
        <v>3</v>
      </c>
      <c r="AB659">
        <v>36366</v>
      </c>
      <c r="AC659" s="10">
        <v>43274</v>
      </c>
      <c r="AD659" s="10" t="s">
        <v>72</v>
      </c>
      <c r="AE659" t="s">
        <v>72</v>
      </c>
      <c r="AF659" t="s">
        <v>45</v>
      </c>
    </row>
    <row r="660" spans="1:32" x14ac:dyDescent="0.25">
      <c r="A660">
        <v>1749</v>
      </c>
      <c r="B660">
        <v>31</v>
      </c>
      <c r="C660" t="s">
        <v>43</v>
      </c>
      <c r="D660" t="s">
        <v>33</v>
      </c>
      <c r="E660" t="s">
        <v>56</v>
      </c>
      <c r="F660" t="s">
        <v>49</v>
      </c>
      <c r="G660" t="s">
        <v>36</v>
      </c>
      <c r="H660" t="s">
        <v>37</v>
      </c>
      <c r="I660" t="s">
        <v>50</v>
      </c>
      <c r="J660" t="s">
        <v>57</v>
      </c>
      <c r="K660">
        <v>3</v>
      </c>
      <c r="L660">
        <v>3</v>
      </c>
      <c r="M660" t="s">
        <v>48</v>
      </c>
      <c r="N660" t="s">
        <v>61</v>
      </c>
      <c r="O660" t="s">
        <v>36</v>
      </c>
      <c r="P660" t="s">
        <v>43</v>
      </c>
      <c r="Q660">
        <v>19</v>
      </c>
      <c r="R660">
        <v>1</v>
      </c>
      <c r="S660">
        <v>6</v>
      </c>
      <c r="T660">
        <v>0</v>
      </c>
      <c r="U660">
        <v>2</v>
      </c>
      <c r="V660">
        <v>5</v>
      </c>
      <c r="W660">
        <v>51</v>
      </c>
      <c r="X660">
        <v>1003</v>
      </c>
      <c r="Y660">
        <v>20943</v>
      </c>
      <c r="Z660">
        <v>8346</v>
      </c>
      <c r="AA660">
        <v>3</v>
      </c>
      <c r="AB660">
        <v>33586</v>
      </c>
      <c r="AC660" s="10">
        <v>43274</v>
      </c>
      <c r="AD660" s="10" t="s">
        <v>72</v>
      </c>
      <c r="AE660" t="s">
        <v>72</v>
      </c>
      <c r="AF660" t="s">
        <v>45</v>
      </c>
    </row>
    <row r="661" spans="1:32" x14ac:dyDescent="0.25">
      <c r="A661">
        <v>1425</v>
      </c>
      <c r="B661">
        <v>36</v>
      </c>
      <c r="C661" t="s">
        <v>43</v>
      </c>
      <c r="D661" t="s">
        <v>33</v>
      </c>
      <c r="E661" t="s">
        <v>56</v>
      </c>
      <c r="F661" t="s">
        <v>35</v>
      </c>
      <c r="G661" t="s">
        <v>36</v>
      </c>
      <c r="H661" t="s">
        <v>47</v>
      </c>
      <c r="I661" t="s">
        <v>50</v>
      </c>
      <c r="J661" t="s">
        <v>57</v>
      </c>
      <c r="K661">
        <v>2</v>
      </c>
      <c r="L661">
        <v>3</v>
      </c>
      <c r="M661" t="s">
        <v>48</v>
      </c>
      <c r="N661" t="s">
        <v>41</v>
      </c>
      <c r="O661" t="s">
        <v>42</v>
      </c>
      <c r="P661" t="s">
        <v>32</v>
      </c>
      <c r="Q661">
        <v>16</v>
      </c>
      <c r="R661">
        <v>3</v>
      </c>
      <c r="S661">
        <v>15</v>
      </c>
      <c r="T661">
        <v>0</v>
      </c>
      <c r="U661">
        <v>1</v>
      </c>
      <c r="V661">
        <v>3</v>
      </c>
      <c r="W661">
        <v>99</v>
      </c>
      <c r="X661">
        <v>1174</v>
      </c>
      <c r="Y661">
        <v>20763</v>
      </c>
      <c r="Z661">
        <v>9278</v>
      </c>
      <c r="AA661">
        <v>3</v>
      </c>
      <c r="AB661">
        <v>31925</v>
      </c>
      <c r="AC661" s="10">
        <v>43278</v>
      </c>
      <c r="AD661" s="10" t="s">
        <v>72</v>
      </c>
      <c r="AE661" t="s">
        <v>72</v>
      </c>
      <c r="AF661" t="s">
        <v>45</v>
      </c>
    </row>
    <row r="662" spans="1:32" x14ac:dyDescent="0.25">
      <c r="A662">
        <v>437</v>
      </c>
      <c r="B662">
        <v>27</v>
      </c>
      <c r="C662" t="s">
        <v>43</v>
      </c>
      <c r="D662" t="s">
        <v>33</v>
      </c>
      <c r="E662" t="s">
        <v>56</v>
      </c>
      <c r="F662" t="s">
        <v>49</v>
      </c>
      <c r="G662" t="s">
        <v>59</v>
      </c>
      <c r="H662" t="s">
        <v>37</v>
      </c>
      <c r="I662" t="s">
        <v>50</v>
      </c>
      <c r="J662" t="s">
        <v>57</v>
      </c>
      <c r="K662">
        <v>3</v>
      </c>
      <c r="L662">
        <v>3</v>
      </c>
      <c r="M662" t="s">
        <v>48</v>
      </c>
      <c r="N662" t="s">
        <v>41</v>
      </c>
      <c r="O662" t="s">
        <v>42</v>
      </c>
      <c r="P662" t="s">
        <v>32</v>
      </c>
      <c r="Q662">
        <v>11</v>
      </c>
      <c r="R662">
        <v>1</v>
      </c>
      <c r="S662">
        <v>5</v>
      </c>
      <c r="T662">
        <v>0</v>
      </c>
      <c r="U662">
        <v>4</v>
      </c>
      <c r="V662">
        <v>2</v>
      </c>
      <c r="W662">
        <v>74</v>
      </c>
      <c r="X662">
        <v>1377</v>
      </c>
      <c r="Y662">
        <v>5242</v>
      </c>
      <c r="Z662">
        <v>4478</v>
      </c>
      <c r="AA662">
        <v>3</v>
      </c>
      <c r="AB662">
        <v>35143</v>
      </c>
      <c r="AC662" s="10">
        <v>43282</v>
      </c>
      <c r="AD662" s="10" t="s">
        <v>72</v>
      </c>
      <c r="AE662" t="s">
        <v>72</v>
      </c>
      <c r="AF662" t="s">
        <v>55</v>
      </c>
    </row>
    <row r="663" spans="1:32" x14ac:dyDescent="0.25">
      <c r="A663">
        <v>1707</v>
      </c>
      <c r="B663">
        <v>24</v>
      </c>
      <c r="C663" t="s">
        <v>43</v>
      </c>
      <c r="D663" t="s">
        <v>33</v>
      </c>
      <c r="E663" t="s">
        <v>34</v>
      </c>
      <c r="F663" t="s">
        <v>49</v>
      </c>
      <c r="G663" t="s">
        <v>50</v>
      </c>
      <c r="H663" t="s">
        <v>37</v>
      </c>
      <c r="I663" t="s">
        <v>59</v>
      </c>
      <c r="J663" t="s">
        <v>39</v>
      </c>
      <c r="K663">
        <v>3</v>
      </c>
      <c r="L663">
        <v>3</v>
      </c>
      <c r="M663" t="s">
        <v>48</v>
      </c>
      <c r="N663" t="s">
        <v>61</v>
      </c>
      <c r="O663" t="s">
        <v>36</v>
      </c>
      <c r="P663" t="s">
        <v>43</v>
      </c>
      <c r="Q663">
        <v>16</v>
      </c>
      <c r="R663">
        <v>1</v>
      </c>
      <c r="S663">
        <v>5</v>
      </c>
      <c r="T663">
        <v>0</v>
      </c>
      <c r="U663">
        <v>4</v>
      </c>
      <c r="V663">
        <v>9</v>
      </c>
      <c r="W663">
        <v>62</v>
      </c>
      <c r="X663">
        <v>581</v>
      </c>
      <c r="Y663">
        <v>17616</v>
      </c>
      <c r="Z663">
        <v>4401</v>
      </c>
      <c r="AA663">
        <v>1</v>
      </c>
      <c r="AB663">
        <v>36361</v>
      </c>
      <c r="AC663" s="10">
        <v>43288</v>
      </c>
      <c r="AD663" s="10" t="s">
        <v>72</v>
      </c>
      <c r="AE663" t="s">
        <v>72</v>
      </c>
      <c r="AF663" t="s">
        <v>45</v>
      </c>
    </row>
    <row r="664" spans="1:32" x14ac:dyDescent="0.25">
      <c r="A664">
        <v>2054</v>
      </c>
      <c r="B664">
        <v>29</v>
      </c>
      <c r="C664" t="s">
        <v>43</v>
      </c>
      <c r="D664" t="s">
        <v>33</v>
      </c>
      <c r="E664" t="s">
        <v>34</v>
      </c>
      <c r="F664" t="s">
        <v>35</v>
      </c>
      <c r="G664" t="s">
        <v>59</v>
      </c>
      <c r="H664" t="s">
        <v>47</v>
      </c>
      <c r="I664" t="s">
        <v>38</v>
      </c>
      <c r="J664" t="s">
        <v>39</v>
      </c>
      <c r="K664">
        <v>1</v>
      </c>
      <c r="L664">
        <v>3</v>
      </c>
      <c r="M664" t="s">
        <v>40</v>
      </c>
      <c r="N664" t="s">
        <v>41</v>
      </c>
      <c r="O664" t="s">
        <v>42</v>
      </c>
      <c r="P664" t="s">
        <v>43</v>
      </c>
      <c r="Q664">
        <v>14</v>
      </c>
      <c r="R664">
        <v>1</v>
      </c>
      <c r="S664">
        <v>5</v>
      </c>
      <c r="T664">
        <v>0</v>
      </c>
      <c r="U664">
        <v>4</v>
      </c>
      <c r="V664">
        <v>28</v>
      </c>
      <c r="W664">
        <v>73</v>
      </c>
      <c r="X664">
        <v>468</v>
      </c>
      <c r="Y664">
        <v>8489</v>
      </c>
      <c r="Z664">
        <v>3785</v>
      </c>
      <c r="AA664">
        <v>3</v>
      </c>
      <c r="AB664">
        <v>34533</v>
      </c>
      <c r="AC664" s="10">
        <v>43301</v>
      </c>
      <c r="AD664" s="10" t="s">
        <v>72</v>
      </c>
      <c r="AE664" t="s">
        <v>72</v>
      </c>
      <c r="AF664" t="s">
        <v>45</v>
      </c>
    </row>
    <row r="665" spans="1:32" x14ac:dyDescent="0.25">
      <c r="A665">
        <v>758</v>
      </c>
      <c r="B665">
        <v>23</v>
      </c>
      <c r="C665" t="s">
        <v>43</v>
      </c>
      <c r="D665" t="s">
        <v>33</v>
      </c>
      <c r="E665" t="s">
        <v>34</v>
      </c>
      <c r="F665" t="s">
        <v>64</v>
      </c>
      <c r="G665" t="s">
        <v>38</v>
      </c>
      <c r="H665" t="s">
        <v>37</v>
      </c>
      <c r="I665" t="s">
        <v>50</v>
      </c>
      <c r="J665" t="s">
        <v>51</v>
      </c>
      <c r="K665">
        <v>1</v>
      </c>
      <c r="L665">
        <v>3</v>
      </c>
      <c r="M665" t="s">
        <v>58</v>
      </c>
      <c r="N665" t="s">
        <v>61</v>
      </c>
      <c r="O665" t="s">
        <v>36</v>
      </c>
      <c r="P665" t="s">
        <v>43</v>
      </c>
      <c r="Q665">
        <v>14</v>
      </c>
      <c r="R665">
        <v>1</v>
      </c>
      <c r="S665">
        <v>5</v>
      </c>
      <c r="T665">
        <v>0</v>
      </c>
      <c r="U665">
        <v>2</v>
      </c>
      <c r="V665">
        <v>9</v>
      </c>
      <c r="W665">
        <v>37</v>
      </c>
      <c r="X665">
        <v>650</v>
      </c>
      <c r="Y665">
        <v>4344</v>
      </c>
      <c r="Z665">
        <v>2500</v>
      </c>
      <c r="AA665">
        <v>2</v>
      </c>
      <c r="AB665">
        <v>36709</v>
      </c>
      <c r="AC665" s="10">
        <v>43356</v>
      </c>
      <c r="AD665" s="10" t="s">
        <v>72</v>
      </c>
      <c r="AE665" t="s">
        <v>72</v>
      </c>
      <c r="AF665" t="s">
        <v>45</v>
      </c>
    </row>
    <row r="666" spans="1:32" x14ac:dyDescent="0.25">
      <c r="A666">
        <v>1448</v>
      </c>
      <c r="B666">
        <v>41</v>
      </c>
      <c r="C666" t="s">
        <v>43</v>
      </c>
      <c r="D666" t="s">
        <v>33</v>
      </c>
      <c r="E666" t="s">
        <v>34</v>
      </c>
      <c r="F666" t="s">
        <v>70</v>
      </c>
      <c r="G666" t="s">
        <v>38</v>
      </c>
      <c r="H666" t="s">
        <v>37</v>
      </c>
      <c r="I666" t="s">
        <v>59</v>
      </c>
      <c r="J666" t="s">
        <v>39</v>
      </c>
      <c r="K666">
        <v>3</v>
      </c>
      <c r="L666">
        <v>3</v>
      </c>
      <c r="M666" t="s">
        <v>60</v>
      </c>
      <c r="N666" t="s">
        <v>61</v>
      </c>
      <c r="O666" t="s">
        <v>42</v>
      </c>
      <c r="P666" t="s">
        <v>32</v>
      </c>
      <c r="Q666">
        <v>12</v>
      </c>
      <c r="R666">
        <v>2</v>
      </c>
      <c r="S666">
        <v>7</v>
      </c>
      <c r="T666">
        <v>0</v>
      </c>
      <c r="U666">
        <v>3</v>
      </c>
      <c r="V666">
        <v>5</v>
      </c>
      <c r="W666">
        <v>90</v>
      </c>
      <c r="X666">
        <v>1283</v>
      </c>
      <c r="Y666">
        <v>5561</v>
      </c>
      <c r="Z666">
        <v>2127</v>
      </c>
      <c r="AA666">
        <v>5</v>
      </c>
      <c r="AB666">
        <v>29853</v>
      </c>
      <c r="AC666" s="10">
        <v>43363</v>
      </c>
      <c r="AD666" s="10" t="s">
        <v>72</v>
      </c>
      <c r="AE666" t="s">
        <v>72</v>
      </c>
      <c r="AF666" t="s">
        <v>45</v>
      </c>
    </row>
    <row r="667" spans="1:32" x14ac:dyDescent="0.25">
      <c r="A667">
        <v>887</v>
      </c>
      <c r="B667">
        <v>49</v>
      </c>
      <c r="C667" t="s">
        <v>43</v>
      </c>
      <c r="D667" t="s">
        <v>33</v>
      </c>
      <c r="E667" t="s">
        <v>34</v>
      </c>
      <c r="F667" t="s">
        <v>49</v>
      </c>
      <c r="G667" t="s">
        <v>50</v>
      </c>
      <c r="H667" t="s">
        <v>47</v>
      </c>
      <c r="I667" t="s">
        <v>50</v>
      </c>
      <c r="J667" t="s">
        <v>39</v>
      </c>
      <c r="K667">
        <v>1</v>
      </c>
      <c r="L667">
        <v>3</v>
      </c>
      <c r="M667" t="s">
        <v>48</v>
      </c>
      <c r="N667" t="s">
        <v>61</v>
      </c>
      <c r="O667" t="s">
        <v>36</v>
      </c>
      <c r="P667" t="s">
        <v>43</v>
      </c>
      <c r="Q667">
        <v>16</v>
      </c>
      <c r="R667">
        <v>2</v>
      </c>
      <c r="S667">
        <v>7</v>
      </c>
      <c r="T667">
        <v>0</v>
      </c>
      <c r="U667">
        <v>2</v>
      </c>
      <c r="V667">
        <v>1</v>
      </c>
      <c r="W667">
        <v>36</v>
      </c>
      <c r="X667">
        <v>1418</v>
      </c>
      <c r="Y667">
        <v>10554</v>
      </c>
      <c r="Z667">
        <v>3580</v>
      </c>
      <c r="AA667">
        <v>2</v>
      </c>
      <c r="AB667">
        <v>26994</v>
      </c>
      <c r="AC667" s="10">
        <v>43373</v>
      </c>
      <c r="AD667" s="10" t="s">
        <v>72</v>
      </c>
      <c r="AE667" t="s">
        <v>72</v>
      </c>
      <c r="AF667" t="s">
        <v>45</v>
      </c>
    </row>
    <row r="668" spans="1:32" x14ac:dyDescent="0.25">
      <c r="A668">
        <v>1446</v>
      </c>
      <c r="B668">
        <v>32</v>
      </c>
      <c r="C668" t="s">
        <v>43</v>
      </c>
      <c r="D668" t="s">
        <v>33</v>
      </c>
      <c r="E668" t="s">
        <v>56</v>
      </c>
      <c r="F668" t="s">
        <v>70</v>
      </c>
      <c r="G668" t="s">
        <v>59</v>
      </c>
      <c r="H668" t="s">
        <v>37</v>
      </c>
      <c r="I668" t="s">
        <v>50</v>
      </c>
      <c r="J668" t="s">
        <v>57</v>
      </c>
      <c r="K668">
        <v>4</v>
      </c>
      <c r="L668">
        <v>3</v>
      </c>
      <c r="M668" t="s">
        <v>60</v>
      </c>
      <c r="N668" t="s">
        <v>61</v>
      </c>
      <c r="O668" t="s">
        <v>36</v>
      </c>
      <c r="P668" t="s">
        <v>43</v>
      </c>
      <c r="Q668">
        <v>12</v>
      </c>
      <c r="R668">
        <v>4</v>
      </c>
      <c r="S668">
        <v>7</v>
      </c>
      <c r="T668">
        <v>0</v>
      </c>
      <c r="U668">
        <v>3</v>
      </c>
      <c r="V668">
        <v>7</v>
      </c>
      <c r="W668">
        <v>97</v>
      </c>
      <c r="X668">
        <v>601</v>
      </c>
      <c r="Y668">
        <v>23343</v>
      </c>
      <c r="Z668">
        <v>9204</v>
      </c>
      <c r="AA668">
        <v>3</v>
      </c>
      <c r="AB668">
        <v>33424</v>
      </c>
      <c r="AC668" s="10">
        <v>43377</v>
      </c>
      <c r="AD668" s="10" t="s">
        <v>72</v>
      </c>
      <c r="AE668" t="s">
        <v>72</v>
      </c>
      <c r="AF668" t="s">
        <v>45</v>
      </c>
    </row>
    <row r="669" spans="1:32" x14ac:dyDescent="0.25">
      <c r="A669">
        <v>912</v>
      </c>
      <c r="B669">
        <v>29</v>
      </c>
      <c r="C669" t="s">
        <v>43</v>
      </c>
      <c r="D669" t="s">
        <v>33</v>
      </c>
      <c r="E669" t="s">
        <v>34</v>
      </c>
      <c r="F669" t="s">
        <v>64</v>
      </c>
      <c r="G669" t="s">
        <v>36</v>
      </c>
      <c r="H669" t="s">
        <v>47</v>
      </c>
      <c r="I669" t="s">
        <v>38</v>
      </c>
      <c r="J669" t="s">
        <v>51</v>
      </c>
      <c r="K669">
        <v>4</v>
      </c>
      <c r="L669">
        <v>3</v>
      </c>
      <c r="M669" t="s">
        <v>48</v>
      </c>
      <c r="N669" t="s">
        <v>52</v>
      </c>
      <c r="O669" t="s">
        <v>50</v>
      </c>
      <c r="P669" t="s">
        <v>43</v>
      </c>
      <c r="Q669">
        <v>14</v>
      </c>
      <c r="R669">
        <v>6</v>
      </c>
      <c r="S669">
        <v>8</v>
      </c>
      <c r="T669">
        <v>0</v>
      </c>
      <c r="U669">
        <v>3</v>
      </c>
      <c r="V669">
        <v>7</v>
      </c>
      <c r="W669">
        <v>62</v>
      </c>
      <c r="X669">
        <v>1086</v>
      </c>
      <c r="Y669">
        <v>6054</v>
      </c>
      <c r="Z669">
        <v>2532</v>
      </c>
      <c r="AA669">
        <v>5</v>
      </c>
      <c r="AB669">
        <v>34363</v>
      </c>
      <c r="AC669" s="10">
        <v>43383</v>
      </c>
      <c r="AD669" s="10" t="s">
        <v>72</v>
      </c>
      <c r="AE669" t="s">
        <v>72</v>
      </c>
      <c r="AF669" t="s">
        <v>45</v>
      </c>
    </row>
    <row r="670" spans="1:32" x14ac:dyDescent="0.25">
      <c r="A670">
        <v>916</v>
      </c>
      <c r="B670">
        <v>28</v>
      </c>
      <c r="C670" t="s">
        <v>43</v>
      </c>
      <c r="D670" t="s">
        <v>33</v>
      </c>
      <c r="E670" t="s">
        <v>56</v>
      </c>
      <c r="F670" t="s">
        <v>35</v>
      </c>
      <c r="G670" t="s">
        <v>36</v>
      </c>
      <c r="H670" t="s">
        <v>37</v>
      </c>
      <c r="I670" t="s">
        <v>50</v>
      </c>
      <c r="J670" t="s">
        <v>57</v>
      </c>
      <c r="K670">
        <v>4</v>
      </c>
      <c r="L670">
        <v>3</v>
      </c>
      <c r="M670" t="s">
        <v>48</v>
      </c>
      <c r="N670" t="s">
        <v>41</v>
      </c>
      <c r="O670" t="s">
        <v>42</v>
      </c>
      <c r="P670" t="s">
        <v>43</v>
      </c>
      <c r="Q670">
        <v>14</v>
      </c>
      <c r="R670">
        <v>1</v>
      </c>
      <c r="S670">
        <v>4</v>
      </c>
      <c r="T670">
        <v>0</v>
      </c>
      <c r="U670">
        <v>2</v>
      </c>
      <c r="V670">
        <v>5</v>
      </c>
      <c r="W670">
        <v>98</v>
      </c>
      <c r="X670">
        <v>821</v>
      </c>
      <c r="Y670">
        <v>24252</v>
      </c>
      <c r="Z670">
        <v>4908</v>
      </c>
      <c r="AA670">
        <v>3</v>
      </c>
      <c r="AB670">
        <v>34772</v>
      </c>
      <c r="AC670" s="10">
        <v>43396</v>
      </c>
      <c r="AD670" s="10" t="s">
        <v>72</v>
      </c>
      <c r="AE670" t="s">
        <v>72</v>
      </c>
      <c r="AF670" t="s">
        <v>55</v>
      </c>
    </row>
    <row r="671" spans="1:32" x14ac:dyDescent="0.25">
      <c r="A671">
        <v>1739</v>
      </c>
      <c r="B671">
        <v>32</v>
      </c>
      <c r="C671" t="s">
        <v>43</v>
      </c>
      <c r="D671" t="s">
        <v>33</v>
      </c>
      <c r="E671" t="s">
        <v>56</v>
      </c>
      <c r="F671" t="s">
        <v>49</v>
      </c>
      <c r="G671" t="s">
        <v>59</v>
      </c>
      <c r="H671" t="s">
        <v>37</v>
      </c>
      <c r="I671" t="s">
        <v>36</v>
      </c>
      <c r="J671" t="s">
        <v>57</v>
      </c>
      <c r="K671">
        <v>3</v>
      </c>
      <c r="L671">
        <v>3</v>
      </c>
      <c r="M671" t="s">
        <v>40</v>
      </c>
      <c r="N671" t="s">
        <v>61</v>
      </c>
      <c r="O671" t="s">
        <v>36</v>
      </c>
      <c r="P671" t="s">
        <v>43</v>
      </c>
      <c r="Q671">
        <v>13</v>
      </c>
      <c r="R671">
        <v>3</v>
      </c>
      <c r="S671">
        <v>10</v>
      </c>
      <c r="T671">
        <v>0</v>
      </c>
      <c r="U671">
        <v>2</v>
      </c>
      <c r="V671">
        <v>19</v>
      </c>
      <c r="W671">
        <v>80</v>
      </c>
      <c r="X671">
        <v>371</v>
      </c>
      <c r="Y671">
        <v>3840</v>
      </c>
      <c r="Z671">
        <v>9610</v>
      </c>
      <c r="AA671">
        <v>2</v>
      </c>
      <c r="AB671">
        <v>33182</v>
      </c>
      <c r="AC671" s="10">
        <v>43448</v>
      </c>
      <c r="AD671" s="10" t="s">
        <v>72</v>
      </c>
      <c r="AE671" t="s">
        <v>72</v>
      </c>
      <c r="AF671" t="s">
        <v>45</v>
      </c>
    </row>
    <row r="672" spans="1:32" x14ac:dyDescent="0.25">
      <c r="A672">
        <v>465</v>
      </c>
      <c r="B672">
        <v>23</v>
      </c>
      <c r="C672" t="s">
        <v>43</v>
      </c>
      <c r="D672" t="s">
        <v>33</v>
      </c>
      <c r="E672" t="s">
        <v>34</v>
      </c>
      <c r="F672" t="s">
        <v>64</v>
      </c>
      <c r="G672" t="s">
        <v>50</v>
      </c>
      <c r="H672" t="s">
        <v>37</v>
      </c>
      <c r="I672" t="s">
        <v>50</v>
      </c>
      <c r="J672" t="s">
        <v>39</v>
      </c>
      <c r="K672">
        <v>4</v>
      </c>
      <c r="L672">
        <v>3</v>
      </c>
      <c r="M672" t="s">
        <v>60</v>
      </c>
      <c r="N672" t="s">
        <v>52</v>
      </c>
      <c r="O672" t="s">
        <v>53</v>
      </c>
      <c r="P672" t="s">
        <v>43</v>
      </c>
      <c r="Q672">
        <v>12</v>
      </c>
      <c r="R672">
        <v>1</v>
      </c>
      <c r="S672">
        <v>4</v>
      </c>
      <c r="T672">
        <v>0</v>
      </c>
      <c r="U672">
        <v>2</v>
      </c>
      <c r="V672">
        <v>26</v>
      </c>
      <c r="W672">
        <v>83</v>
      </c>
      <c r="X672">
        <v>1309</v>
      </c>
      <c r="Y672">
        <v>16092</v>
      </c>
      <c r="Z672">
        <v>2904</v>
      </c>
      <c r="AA672">
        <v>2</v>
      </c>
      <c r="AB672">
        <v>36515</v>
      </c>
      <c r="AC672" s="10">
        <v>43452</v>
      </c>
      <c r="AD672" s="10" t="s">
        <v>72</v>
      </c>
      <c r="AE672" t="s">
        <v>72</v>
      </c>
      <c r="AF672" t="s">
        <v>55</v>
      </c>
    </row>
    <row r="673" spans="1:32" x14ac:dyDescent="0.25">
      <c r="A673">
        <v>854</v>
      </c>
      <c r="B673">
        <v>25</v>
      </c>
      <c r="C673" t="s">
        <v>43</v>
      </c>
      <c r="D673" t="s">
        <v>33</v>
      </c>
      <c r="E673" t="s">
        <v>34</v>
      </c>
      <c r="F673" t="s">
        <v>64</v>
      </c>
      <c r="G673" t="s">
        <v>36</v>
      </c>
      <c r="H673" t="s">
        <v>37</v>
      </c>
      <c r="I673" t="s">
        <v>59</v>
      </c>
      <c r="J673" t="s">
        <v>39</v>
      </c>
      <c r="K673">
        <v>1</v>
      </c>
      <c r="L673">
        <v>3</v>
      </c>
      <c r="M673" t="s">
        <v>60</v>
      </c>
      <c r="N673" t="s">
        <v>41</v>
      </c>
      <c r="O673" t="s">
        <v>42</v>
      </c>
      <c r="P673" t="s">
        <v>43</v>
      </c>
      <c r="Q673">
        <v>13</v>
      </c>
      <c r="R673">
        <v>7</v>
      </c>
      <c r="S673">
        <v>6</v>
      </c>
      <c r="T673">
        <v>0</v>
      </c>
      <c r="U673">
        <v>1</v>
      </c>
      <c r="V673">
        <v>2</v>
      </c>
      <c r="W673">
        <v>65</v>
      </c>
      <c r="X673">
        <v>180</v>
      </c>
      <c r="Y673">
        <v>21632</v>
      </c>
      <c r="Z673">
        <v>3424</v>
      </c>
      <c r="AA673">
        <v>3</v>
      </c>
      <c r="AB673">
        <v>35678</v>
      </c>
      <c r="AC673" s="10">
        <v>43486</v>
      </c>
      <c r="AD673" s="10" t="s">
        <v>72</v>
      </c>
      <c r="AE673" t="s">
        <v>72</v>
      </c>
      <c r="AF673" t="s">
        <v>45</v>
      </c>
    </row>
    <row r="674" spans="1:32" x14ac:dyDescent="0.25">
      <c r="A674">
        <v>815</v>
      </c>
      <c r="B674">
        <v>50</v>
      </c>
      <c r="C674" t="s">
        <v>43</v>
      </c>
      <c r="D674" t="s">
        <v>33</v>
      </c>
      <c r="E674" t="s">
        <v>34</v>
      </c>
      <c r="F674" t="s">
        <v>49</v>
      </c>
      <c r="G674" t="s">
        <v>50</v>
      </c>
      <c r="H674" t="s">
        <v>37</v>
      </c>
      <c r="I674" t="s">
        <v>50</v>
      </c>
      <c r="J674" t="s">
        <v>71</v>
      </c>
      <c r="K674">
        <v>3</v>
      </c>
      <c r="L674">
        <v>3</v>
      </c>
      <c r="M674" t="s">
        <v>48</v>
      </c>
      <c r="N674" t="s">
        <v>61</v>
      </c>
      <c r="O674" t="s">
        <v>42</v>
      </c>
      <c r="P674" t="s">
        <v>43</v>
      </c>
      <c r="Q674">
        <v>16</v>
      </c>
      <c r="R674">
        <v>5</v>
      </c>
      <c r="S674">
        <v>30</v>
      </c>
      <c r="T674">
        <v>0</v>
      </c>
      <c r="U674">
        <v>3</v>
      </c>
      <c r="V674">
        <v>2</v>
      </c>
      <c r="W674">
        <v>64</v>
      </c>
      <c r="X674">
        <v>691</v>
      </c>
      <c r="Y674">
        <v>6881</v>
      </c>
      <c r="Z674">
        <v>17639</v>
      </c>
      <c r="AA674">
        <v>3</v>
      </c>
      <c r="AB674">
        <v>26801</v>
      </c>
      <c r="AC674" s="10">
        <v>43522</v>
      </c>
      <c r="AD674" s="10" t="s">
        <v>72</v>
      </c>
      <c r="AE674" t="s">
        <v>72</v>
      </c>
      <c r="AF674" t="s">
        <v>55</v>
      </c>
    </row>
    <row r="675" spans="1:32" x14ac:dyDescent="0.25">
      <c r="A675">
        <v>2053</v>
      </c>
      <c r="B675">
        <v>29</v>
      </c>
      <c r="C675" t="s">
        <v>43</v>
      </c>
      <c r="D675" t="s">
        <v>33</v>
      </c>
      <c r="E675" t="s">
        <v>34</v>
      </c>
      <c r="F675" t="s">
        <v>67</v>
      </c>
      <c r="G675" t="s">
        <v>59</v>
      </c>
      <c r="H675" t="s">
        <v>37</v>
      </c>
      <c r="I675" t="s">
        <v>38</v>
      </c>
      <c r="J675" t="s">
        <v>51</v>
      </c>
      <c r="K675">
        <v>2</v>
      </c>
      <c r="L675">
        <v>3</v>
      </c>
      <c r="M675" t="s">
        <v>48</v>
      </c>
      <c r="N675" t="s">
        <v>61</v>
      </c>
      <c r="O675" t="s">
        <v>36</v>
      </c>
      <c r="P675" t="s">
        <v>32</v>
      </c>
      <c r="Q675">
        <v>13</v>
      </c>
      <c r="R675">
        <v>4</v>
      </c>
      <c r="S675">
        <v>10</v>
      </c>
      <c r="T675">
        <v>0</v>
      </c>
      <c r="U675">
        <v>3</v>
      </c>
      <c r="V675">
        <v>13</v>
      </c>
      <c r="W675">
        <v>46</v>
      </c>
      <c r="X675">
        <v>1378</v>
      </c>
      <c r="Y675">
        <v>23679</v>
      </c>
      <c r="Z675">
        <v>4025</v>
      </c>
      <c r="AA675">
        <v>2</v>
      </c>
      <c r="AB675">
        <v>34376</v>
      </c>
      <c r="AC675" s="10">
        <v>43542</v>
      </c>
      <c r="AD675" s="10" t="s">
        <v>72</v>
      </c>
      <c r="AE675" t="s">
        <v>72</v>
      </c>
      <c r="AF675" t="s">
        <v>45</v>
      </c>
    </row>
    <row r="676" spans="1:32" x14ac:dyDescent="0.25">
      <c r="A676">
        <v>126</v>
      </c>
      <c r="B676">
        <v>54</v>
      </c>
      <c r="C676" t="s">
        <v>43</v>
      </c>
      <c r="D676" t="s">
        <v>33</v>
      </c>
      <c r="E676" t="s">
        <v>34</v>
      </c>
      <c r="F676" t="s">
        <v>35</v>
      </c>
      <c r="G676" t="s">
        <v>36</v>
      </c>
      <c r="H676" t="s">
        <v>47</v>
      </c>
      <c r="I676" t="s">
        <v>50</v>
      </c>
      <c r="J676" t="s">
        <v>71</v>
      </c>
      <c r="K676">
        <v>3</v>
      </c>
      <c r="L676">
        <v>3</v>
      </c>
      <c r="M676" t="s">
        <v>40</v>
      </c>
      <c r="N676" t="s">
        <v>61</v>
      </c>
      <c r="O676" t="s">
        <v>36</v>
      </c>
      <c r="P676" t="s">
        <v>43</v>
      </c>
      <c r="Q676">
        <v>12</v>
      </c>
      <c r="R676">
        <v>9</v>
      </c>
      <c r="S676">
        <v>16</v>
      </c>
      <c r="T676">
        <v>0</v>
      </c>
      <c r="U676">
        <v>3</v>
      </c>
      <c r="V676">
        <v>2</v>
      </c>
      <c r="W676">
        <v>60</v>
      </c>
      <c r="X676">
        <v>1217</v>
      </c>
      <c r="Y676">
        <v>24001</v>
      </c>
      <c r="Z676">
        <v>13549</v>
      </c>
      <c r="AA676">
        <v>5</v>
      </c>
      <c r="AB676">
        <v>25247</v>
      </c>
      <c r="AC676" s="10">
        <v>43549</v>
      </c>
      <c r="AD676" s="10" t="s">
        <v>72</v>
      </c>
      <c r="AE676" t="s">
        <v>72</v>
      </c>
      <c r="AF676" t="s">
        <v>45</v>
      </c>
    </row>
    <row r="677" spans="1:32" x14ac:dyDescent="0.25">
      <c r="A677">
        <v>288</v>
      </c>
      <c r="B677">
        <v>46</v>
      </c>
      <c r="C677" t="s">
        <v>43</v>
      </c>
      <c r="D677" t="s">
        <v>33</v>
      </c>
      <c r="E677" t="s">
        <v>34</v>
      </c>
      <c r="F677" t="s">
        <v>35</v>
      </c>
      <c r="G677" t="s">
        <v>59</v>
      </c>
      <c r="H677" t="s">
        <v>37</v>
      </c>
      <c r="I677" t="s">
        <v>50</v>
      </c>
      <c r="J677" t="s">
        <v>62</v>
      </c>
      <c r="K677">
        <v>1</v>
      </c>
      <c r="L677">
        <v>3</v>
      </c>
      <c r="M677" t="s">
        <v>48</v>
      </c>
      <c r="N677" t="s">
        <v>52</v>
      </c>
      <c r="O677" t="s">
        <v>36</v>
      </c>
      <c r="P677" t="s">
        <v>43</v>
      </c>
      <c r="Q677">
        <v>16</v>
      </c>
      <c r="R677">
        <v>7</v>
      </c>
      <c r="S677">
        <v>17</v>
      </c>
      <c r="T677">
        <v>0</v>
      </c>
      <c r="U677">
        <v>3</v>
      </c>
      <c r="V677">
        <v>1</v>
      </c>
      <c r="W677">
        <v>97</v>
      </c>
      <c r="X677">
        <v>644</v>
      </c>
      <c r="Y677">
        <v>12368</v>
      </c>
      <c r="Z677">
        <v>9396</v>
      </c>
      <c r="AA677">
        <v>3</v>
      </c>
      <c r="AB677">
        <v>28180</v>
      </c>
      <c r="AC677" s="10">
        <v>43559</v>
      </c>
      <c r="AD677" s="10" t="s">
        <v>72</v>
      </c>
      <c r="AE677" t="s">
        <v>72</v>
      </c>
      <c r="AF677" t="s">
        <v>45</v>
      </c>
    </row>
    <row r="678" spans="1:32" x14ac:dyDescent="0.25">
      <c r="A678">
        <v>1211</v>
      </c>
      <c r="B678">
        <v>30</v>
      </c>
      <c r="C678" t="s">
        <v>43</v>
      </c>
      <c r="D678" t="s">
        <v>33</v>
      </c>
      <c r="E678" t="s">
        <v>56</v>
      </c>
      <c r="F678" t="s">
        <v>35</v>
      </c>
      <c r="G678" t="s">
        <v>50</v>
      </c>
      <c r="H678" t="s">
        <v>37</v>
      </c>
      <c r="I678" t="s">
        <v>50</v>
      </c>
      <c r="J678" t="s">
        <v>57</v>
      </c>
      <c r="K678">
        <v>1</v>
      </c>
      <c r="L678">
        <v>3</v>
      </c>
      <c r="M678" t="s">
        <v>48</v>
      </c>
      <c r="N678" t="s">
        <v>52</v>
      </c>
      <c r="O678" t="s">
        <v>50</v>
      </c>
      <c r="P678" t="s">
        <v>43</v>
      </c>
      <c r="Q678">
        <v>19</v>
      </c>
      <c r="R678">
        <v>8</v>
      </c>
      <c r="S678">
        <v>8</v>
      </c>
      <c r="T678">
        <v>0</v>
      </c>
      <c r="U678">
        <v>3</v>
      </c>
      <c r="V678">
        <v>29</v>
      </c>
      <c r="W678">
        <v>61</v>
      </c>
      <c r="X678">
        <v>1329</v>
      </c>
      <c r="Y678">
        <v>13192</v>
      </c>
      <c r="Z678">
        <v>4115</v>
      </c>
      <c r="AA678">
        <v>3</v>
      </c>
      <c r="AB678">
        <v>33848</v>
      </c>
      <c r="AC678" s="10">
        <v>43592</v>
      </c>
      <c r="AD678" s="10" t="s">
        <v>72</v>
      </c>
      <c r="AE678" t="s">
        <v>72</v>
      </c>
      <c r="AF678" t="s">
        <v>55</v>
      </c>
    </row>
    <row r="679" spans="1:32" x14ac:dyDescent="0.25">
      <c r="A679">
        <v>1217</v>
      </c>
      <c r="B679">
        <v>46</v>
      </c>
      <c r="C679" t="s">
        <v>43</v>
      </c>
      <c r="D679" t="s">
        <v>33</v>
      </c>
      <c r="E679" t="s">
        <v>34</v>
      </c>
      <c r="F679" t="s">
        <v>67</v>
      </c>
      <c r="G679" t="s">
        <v>59</v>
      </c>
      <c r="H679" t="s">
        <v>37</v>
      </c>
      <c r="I679" t="s">
        <v>50</v>
      </c>
      <c r="J679" t="s">
        <v>71</v>
      </c>
      <c r="K679">
        <v>2</v>
      </c>
      <c r="L679">
        <v>3</v>
      </c>
      <c r="M679" t="s">
        <v>48</v>
      </c>
      <c r="N679" t="s">
        <v>61</v>
      </c>
      <c r="O679" t="s">
        <v>36</v>
      </c>
      <c r="P679" t="s">
        <v>43</v>
      </c>
      <c r="Q679">
        <v>11</v>
      </c>
      <c r="R679">
        <v>5</v>
      </c>
      <c r="S679">
        <v>25</v>
      </c>
      <c r="T679">
        <v>0</v>
      </c>
      <c r="U679">
        <v>3</v>
      </c>
      <c r="V679">
        <v>15</v>
      </c>
      <c r="W679">
        <v>52</v>
      </c>
      <c r="X679">
        <v>1450</v>
      </c>
      <c r="Y679">
        <v>10849</v>
      </c>
      <c r="Z679">
        <v>19081</v>
      </c>
      <c r="AA679">
        <v>2</v>
      </c>
      <c r="AB679">
        <v>28275</v>
      </c>
      <c r="AC679" s="10">
        <v>43620</v>
      </c>
      <c r="AD679" s="10" t="s">
        <v>72</v>
      </c>
      <c r="AE679" t="s">
        <v>72</v>
      </c>
      <c r="AF679" t="s">
        <v>45</v>
      </c>
    </row>
    <row r="680" spans="1:32" x14ac:dyDescent="0.25">
      <c r="A680">
        <v>910</v>
      </c>
      <c r="B680">
        <v>33</v>
      </c>
      <c r="C680" t="s">
        <v>43</v>
      </c>
      <c r="D680" t="s">
        <v>33</v>
      </c>
      <c r="E680" t="s">
        <v>68</v>
      </c>
      <c r="F680" t="s">
        <v>67</v>
      </c>
      <c r="G680" t="s">
        <v>59</v>
      </c>
      <c r="H680" t="s">
        <v>37</v>
      </c>
      <c r="I680" t="s">
        <v>50</v>
      </c>
      <c r="J680" t="s">
        <v>68</v>
      </c>
      <c r="K680">
        <v>2</v>
      </c>
      <c r="L680">
        <v>3</v>
      </c>
      <c r="M680" t="s">
        <v>58</v>
      </c>
      <c r="N680" t="s">
        <v>52</v>
      </c>
      <c r="O680" t="s">
        <v>36</v>
      </c>
      <c r="P680" t="s">
        <v>32</v>
      </c>
      <c r="Q680">
        <v>11</v>
      </c>
      <c r="R680">
        <v>3</v>
      </c>
      <c r="S680">
        <v>7</v>
      </c>
      <c r="T680">
        <v>0</v>
      </c>
      <c r="U680">
        <v>3</v>
      </c>
      <c r="V680">
        <v>3</v>
      </c>
      <c r="W680">
        <v>57</v>
      </c>
      <c r="X680">
        <v>1075</v>
      </c>
      <c r="Y680">
        <v>22650</v>
      </c>
      <c r="Z680">
        <v>2277</v>
      </c>
      <c r="AA680">
        <v>4</v>
      </c>
      <c r="AB680">
        <v>32904</v>
      </c>
      <c r="AC680" s="10">
        <v>43643</v>
      </c>
      <c r="AD680" s="10" t="s">
        <v>72</v>
      </c>
      <c r="AE680" t="s">
        <v>72</v>
      </c>
      <c r="AF680" t="s">
        <v>45</v>
      </c>
    </row>
    <row r="681" spans="1:32" x14ac:dyDescent="0.25">
      <c r="A681">
        <v>1915</v>
      </c>
      <c r="B681">
        <v>34</v>
      </c>
      <c r="C681" t="s">
        <v>43</v>
      </c>
      <c r="D681" t="s">
        <v>33</v>
      </c>
      <c r="E681" t="s">
        <v>56</v>
      </c>
      <c r="F681" t="s">
        <v>64</v>
      </c>
      <c r="G681" t="s">
        <v>59</v>
      </c>
      <c r="H681" t="s">
        <v>47</v>
      </c>
      <c r="I681" t="s">
        <v>38</v>
      </c>
      <c r="J681" t="s">
        <v>57</v>
      </c>
      <c r="K681">
        <v>4</v>
      </c>
      <c r="L681">
        <v>3</v>
      </c>
      <c r="M681" t="s">
        <v>60</v>
      </c>
      <c r="N681" t="s">
        <v>61</v>
      </c>
      <c r="O681" t="s">
        <v>42</v>
      </c>
      <c r="P681" t="s">
        <v>32</v>
      </c>
      <c r="Q681">
        <v>12</v>
      </c>
      <c r="R681">
        <v>3</v>
      </c>
      <c r="S681">
        <v>9</v>
      </c>
      <c r="T681">
        <v>0</v>
      </c>
      <c r="U681">
        <v>1</v>
      </c>
      <c r="V681">
        <v>3</v>
      </c>
      <c r="W681">
        <v>75</v>
      </c>
      <c r="X681">
        <v>735</v>
      </c>
      <c r="Y681">
        <v>16495</v>
      </c>
      <c r="Z681">
        <v>8103</v>
      </c>
      <c r="AA681">
        <v>3</v>
      </c>
      <c r="AB681">
        <v>32706</v>
      </c>
      <c r="AC681" s="10">
        <v>43651</v>
      </c>
      <c r="AD681" s="10" t="s">
        <v>72</v>
      </c>
      <c r="AE681" t="s">
        <v>72</v>
      </c>
      <c r="AF681" t="s">
        <v>45</v>
      </c>
    </row>
    <row r="682" spans="1:32" x14ac:dyDescent="0.25">
      <c r="A682">
        <v>827</v>
      </c>
      <c r="B682">
        <v>42</v>
      </c>
      <c r="C682" t="s">
        <v>43</v>
      </c>
      <c r="D682" t="s">
        <v>33</v>
      </c>
      <c r="E682" t="s">
        <v>34</v>
      </c>
      <c r="F682" t="s">
        <v>67</v>
      </c>
      <c r="G682" t="s">
        <v>59</v>
      </c>
      <c r="H682" t="s">
        <v>47</v>
      </c>
      <c r="I682" t="s">
        <v>38</v>
      </c>
      <c r="J682" t="s">
        <v>65</v>
      </c>
      <c r="K682">
        <v>4</v>
      </c>
      <c r="L682">
        <v>3</v>
      </c>
      <c r="M682" t="s">
        <v>48</v>
      </c>
      <c r="N682" t="s">
        <v>61</v>
      </c>
      <c r="O682" t="s">
        <v>36</v>
      </c>
      <c r="P682" t="s">
        <v>32</v>
      </c>
      <c r="Q682">
        <v>13</v>
      </c>
      <c r="R682">
        <v>9</v>
      </c>
      <c r="S682">
        <v>8</v>
      </c>
      <c r="T682">
        <v>0</v>
      </c>
      <c r="U682">
        <v>2</v>
      </c>
      <c r="V682">
        <v>1</v>
      </c>
      <c r="W682">
        <v>43</v>
      </c>
      <c r="X682">
        <v>932</v>
      </c>
      <c r="Y682">
        <v>4051</v>
      </c>
      <c r="Z682">
        <v>6062</v>
      </c>
      <c r="AA682">
        <v>4</v>
      </c>
      <c r="AB682">
        <v>29504</v>
      </c>
      <c r="AC682" s="10">
        <v>43658</v>
      </c>
      <c r="AD682" s="10" t="s">
        <v>72</v>
      </c>
      <c r="AE682" t="s">
        <v>72</v>
      </c>
      <c r="AF682" t="s">
        <v>45</v>
      </c>
    </row>
    <row r="683" spans="1:32" x14ac:dyDescent="0.25">
      <c r="A683">
        <v>1647</v>
      </c>
      <c r="B683">
        <v>27</v>
      </c>
      <c r="C683" t="s">
        <v>43</v>
      </c>
      <c r="D683" t="s">
        <v>33</v>
      </c>
      <c r="E683" t="s">
        <v>34</v>
      </c>
      <c r="F683" t="s">
        <v>49</v>
      </c>
      <c r="G683" t="s">
        <v>38</v>
      </c>
      <c r="H683" t="s">
        <v>47</v>
      </c>
      <c r="I683" t="s">
        <v>59</v>
      </c>
      <c r="J683" t="s">
        <v>39</v>
      </c>
      <c r="K683">
        <v>3</v>
      </c>
      <c r="L683">
        <v>3</v>
      </c>
      <c r="M683" t="s">
        <v>48</v>
      </c>
      <c r="N683" t="s">
        <v>61</v>
      </c>
      <c r="O683" t="s">
        <v>42</v>
      </c>
      <c r="P683" t="s">
        <v>43</v>
      </c>
      <c r="Q683">
        <v>17</v>
      </c>
      <c r="R683">
        <v>7</v>
      </c>
      <c r="S683">
        <v>5</v>
      </c>
      <c r="T683">
        <v>0</v>
      </c>
      <c r="U683">
        <v>2</v>
      </c>
      <c r="V683">
        <v>8</v>
      </c>
      <c r="W683">
        <v>86</v>
      </c>
      <c r="X683">
        <v>486</v>
      </c>
      <c r="Y683">
        <v>22490</v>
      </c>
      <c r="Z683">
        <v>3517</v>
      </c>
      <c r="AA683">
        <v>0</v>
      </c>
      <c r="AB683">
        <v>35196</v>
      </c>
      <c r="AC683" s="10">
        <v>43682</v>
      </c>
      <c r="AD683" s="10" t="s">
        <v>72</v>
      </c>
      <c r="AE683" t="s">
        <v>72</v>
      </c>
      <c r="AF683" t="s">
        <v>45</v>
      </c>
    </row>
    <row r="684" spans="1:32" x14ac:dyDescent="0.25">
      <c r="A684">
        <v>1682</v>
      </c>
      <c r="B684">
        <v>36</v>
      </c>
      <c r="C684" t="s">
        <v>43</v>
      </c>
      <c r="D684" t="s">
        <v>33</v>
      </c>
      <c r="E684" t="s">
        <v>34</v>
      </c>
      <c r="F684" t="s">
        <v>35</v>
      </c>
      <c r="G684" t="s">
        <v>36</v>
      </c>
      <c r="H684" t="s">
        <v>37</v>
      </c>
      <c r="I684" t="s">
        <v>50</v>
      </c>
      <c r="J684" t="s">
        <v>62</v>
      </c>
      <c r="K684">
        <v>3</v>
      </c>
      <c r="L684">
        <v>3</v>
      </c>
      <c r="M684" t="s">
        <v>60</v>
      </c>
      <c r="N684" t="s">
        <v>61</v>
      </c>
      <c r="O684" t="s">
        <v>53</v>
      </c>
      <c r="P684" t="s">
        <v>43</v>
      </c>
      <c r="Q684">
        <v>14</v>
      </c>
      <c r="R684">
        <v>6</v>
      </c>
      <c r="S684">
        <v>10</v>
      </c>
      <c r="T684">
        <v>0</v>
      </c>
      <c r="U684">
        <v>2</v>
      </c>
      <c r="V684">
        <v>26</v>
      </c>
      <c r="W684">
        <v>80</v>
      </c>
      <c r="X684">
        <v>1351</v>
      </c>
      <c r="Y684">
        <v>7419</v>
      </c>
      <c r="Z684">
        <v>5347</v>
      </c>
      <c r="AA684">
        <v>2</v>
      </c>
      <c r="AB684">
        <v>31824</v>
      </c>
      <c r="AC684" s="10">
        <v>43698</v>
      </c>
      <c r="AD684" s="10" t="s">
        <v>72</v>
      </c>
      <c r="AE684" t="s">
        <v>72</v>
      </c>
      <c r="AF684" t="s">
        <v>45</v>
      </c>
    </row>
    <row r="685" spans="1:32" x14ac:dyDescent="0.25">
      <c r="A685">
        <v>340</v>
      </c>
      <c r="B685">
        <v>37</v>
      </c>
      <c r="C685" t="s">
        <v>43</v>
      </c>
      <c r="D685" t="s">
        <v>33</v>
      </c>
      <c r="E685" t="s">
        <v>34</v>
      </c>
      <c r="F685" t="s">
        <v>67</v>
      </c>
      <c r="G685" t="s">
        <v>50</v>
      </c>
      <c r="H685" t="s">
        <v>47</v>
      </c>
      <c r="I685" t="s">
        <v>38</v>
      </c>
      <c r="J685" t="s">
        <v>39</v>
      </c>
      <c r="K685">
        <v>1</v>
      </c>
      <c r="L685">
        <v>3</v>
      </c>
      <c r="M685" t="s">
        <v>60</v>
      </c>
      <c r="N685" t="s">
        <v>61</v>
      </c>
      <c r="O685" t="s">
        <v>36</v>
      </c>
      <c r="P685" t="s">
        <v>43</v>
      </c>
      <c r="Q685">
        <v>14</v>
      </c>
      <c r="R685">
        <v>2</v>
      </c>
      <c r="S685">
        <v>17</v>
      </c>
      <c r="T685">
        <v>0</v>
      </c>
      <c r="U685">
        <v>2</v>
      </c>
      <c r="V685">
        <v>1</v>
      </c>
      <c r="W685">
        <v>83</v>
      </c>
      <c r="X685">
        <v>1017</v>
      </c>
      <c r="Y685">
        <v>18697</v>
      </c>
      <c r="Z685">
        <v>3920</v>
      </c>
      <c r="AA685">
        <v>2</v>
      </c>
      <c r="AB685">
        <v>31430</v>
      </c>
      <c r="AC685" s="10">
        <v>43706</v>
      </c>
      <c r="AD685" s="10" t="s">
        <v>72</v>
      </c>
      <c r="AE685" t="s">
        <v>72</v>
      </c>
      <c r="AF685" t="s">
        <v>45</v>
      </c>
    </row>
    <row r="686" spans="1:32" x14ac:dyDescent="0.25">
      <c r="A686">
        <v>347</v>
      </c>
      <c r="B686">
        <v>42</v>
      </c>
      <c r="C686" t="s">
        <v>43</v>
      </c>
      <c r="D686" t="s">
        <v>33</v>
      </c>
      <c r="E686" t="s">
        <v>34</v>
      </c>
      <c r="F686" t="s">
        <v>67</v>
      </c>
      <c r="G686" t="s">
        <v>59</v>
      </c>
      <c r="H686" t="s">
        <v>47</v>
      </c>
      <c r="I686" t="s">
        <v>59</v>
      </c>
      <c r="J686" t="s">
        <v>39</v>
      </c>
      <c r="K686">
        <v>1</v>
      </c>
      <c r="L686">
        <v>3</v>
      </c>
      <c r="M686" t="s">
        <v>48</v>
      </c>
      <c r="N686" t="s">
        <v>41</v>
      </c>
      <c r="O686" t="s">
        <v>42</v>
      </c>
      <c r="P686" t="s">
        <v>32</v>
      </c>
      <c r="Q686">
        <v>13</v>
      </c>
      <c r="R686">
        <v>3</v>
      </c>
      <c r="S686">
        <v>10</v>
      </c>
      <c r="T686">
        <v>0</v>
      </c>
      <c r="U686">
        <v>2</v>
      </c>
      <c r="V686">
        <v>17</v>
      </c>
      <c r="W686">
        <v>82</v>
      </c>
      <c r="X686">
        <v>916</v>
      </c>
      <c r="Y686">
        <v>23016</v>
      </c>
      <c r="Z686">
        <v>6545</v>
      </c>
      <c r="AA686">
        <v>1</v>
      </c>
      <c r="AB686">
        <v>29681</v>
      </c>
      <c r="AC686" s="10">
        <v>43711</v>
      </c>
      <c r="AD686" s="10" t="s">
        <v>72</v>
      </c>
      <c r="AE686" t="s">
        <v>72</v>
      </c>
      <c r="AF686" t="s">
        <v>45</v>
      </c>
    </row>
    <row r="687" spans="1:32" x14ac:dyDescent="0.25">
      <c r="A687">
        <v>1436</v>
      </c>
      <c r="B687">
        <v>36</v>
      </c>
      <c r="C687" t="s">
        <v>43</v>
      </c>
      <c r="D687" t="s">
        <v>33</v>
      </c>
      <c r="E687" t="s">
        <v>56</v>
      </c>
      <c r="F687" t="s">
        <v>35</v>
      </c>
      <c r="G687" t="s">
        <v>50</v>
      </c>
      <c r="H687" t="s">
        <v>47</v>
      </c>
      <c r="I687" t="s">
        <v>38</v>
      </c>
      <c r="J687" t="s">
        <v>57</v>
      </c>
      <c r="K687">
        <v>1</v>
      </c>
      <c r="L687">
        <v>3</v>
      </c>
      <c r="M687" t="s">
        <v>60</v>
      </c>
      <c r="N687" t="s">
        <v>61</v>
      </c>
      <c r="O687" t="s">
        <v>53</v>
      </c>
      <c r="P687" t="s">
        <v>43</v>
      </c>
      <c r="Q687">
        <v>13</v>
      </c>
      <c r="R687">
        <v>4</v>
      </c>
      <c r="S687">
        <v>11</v>
      </c>
      <c r="T687">
        <v>0</v>
      </c>
      <c r="U687">
        <v>2</v>
      </c>
      <c r="V687">
        <v>16</v>
      </c>
      <c r="W687">
        <v>98</v>
      </c>
      <c r="X687">
        <v>329</v>
      </c>
      <c r="Y687">
        <v>13494</v>
      </c>
      <c r="Z687">
        <v>5647</v>
      </c>
      <c r="AA687">
        <v>3</v>
      </c>
      <c r="AB687">
        <v>31708</v>
      </c>
      <c r="AC687" s="10">
        <v>43770</v>
      </c>
      <c r="AD687" s="10" t="s">
        <v>72</v>
      </c>
      <c r="AE687" t="s">
        <v>72</v>
      </c>
      <c r="AF687" t="s">
        <v>45</v>
      </c>
    </row>
    <row r="688" spans="1:32" x14ac:dyDescent="0.25">
      <c r="A688">
        <v>699</v>
      </c>
      <c r="B688">
        <v>36</v>
      </c>
      <c r="C688" t="s">
        <v>43</v>
      </c>
      <c r="D688" t="s">
        <v>33</v>
      </c>
      <c r="E688" t="s">
        <v>34</v>
      </c>
      <c r="F688" t="s">
        <v>67</v>
      </c>
      <c r="G688" t="s">
        <v>38</v>
      </c>
      <c r="H688" t="s">
        <v>37</v>
      </c>
      <c r="I688" t="s">
        <v>38</v>
      </c>
      <c r="J688" t="s">
        <v>65</v>
      </c>
      <c r="K688">
        <v>2</v>
      </c>
      <c r="L688">
        <v>3</v>
      </c>
      <c r="M688" t="s">
        <v>48</v>
      </c>
      <c r="N688" t="s">
        <v>52</v>
      </c>
      <c r="O688" t="s">
        <v>36</v>
      </c>
      <c r="P688" t="s">
        <v>32</v>
      </c>
      <c r="Q688">
        <v>11</v>
      </c>
      <c r="R688">
        <v>2</v>
      </c>
      <c r="S688">
        <v>13</v>
      </c>
      <c r="T688">
        <v>0</v>
      </c>
      <c r="U688">
        <v>2</v>
      </c>
      <c r="V688">
        <v>9</v>
      </c>
      <c r="W688">
        <v>48</v>
      </c>
      <c r="X688">
        <v>913</v>
      </c>
      <c r="Y688">
        <v>13934</v>
      </c>
      <c r="Z688">
        <v>8847</v>
      </c>
      <c r="AA688">
        <v>2</v>
      </c>
      <c r="AB688">
        <v>31638</v>
      </c>
      <c r="AC688" s="10">
        <v>43774</v>
      </c>
      <c r="AD688" s="10" t="s">
        <v>72</v>
      </c>
      <c r="AE688" t="s">
        <v>72</v>
      </c>
      <c r="AF688" t="s">
        <v>45</v>
      </c>
    </row>
    <row r="689" spans="1:32" x14ac:dyDescent="0.25">
      <c r="A689">
        <v>664</v>
      </c>
      <c r="B689">
        <v>48</v>
      </c>
      <c r="C689" t="s">
        <v>43</v>
      </c>
      <c r="D689" t="s">
        <v>33</v>
      </c>
      <c r="E689" t="s">
        <v>34</v>
      </c>
      <c r="F689" t="s">
        <v>35</v>
      </c>
      <c r="G689" t="s">
        <v>59</v>
      </c>
      <c r="H689" t="s">
        <v>47</v>
      </c>
      <c r="I689" t="s">
        <v>38</v>
      </c>
      <c r="J689" t="s">
        <v>69</v>
      </c>
      <c r="K689">
        <v>1</v>
      </c>
      <c r="L689">
        <v>3</v>
      </c>
      <c r="M689" t="s">
        <v>40</v>
      </c>
      <c r="N689" t="s">
        <v>61</v>
      </c>
      <c r="O689" t="s">
        <v>36</v>
      </c>
      <c r="P689" t="s">
        <v>43</v>
      </c>
      <c r="Q689">
        <v>11</v>
      </c>
      <c r="R689">
        <v>7</v>
      </c>
      <c r="S689">
        <v>21</v>
      </c>
      <c r="T689">
        <v>0</v>
      </c>
      <c r="U689">
        <v>2</v>
      </c>
      <c r="V689">
        <v>1</v>
      </c>
      <c r="W689">
        <v>40</v>
      </c>
      <c r="X689">
        <v>1236</v>
      </c>
      <c r="Y689">
        <v>17997</v>
      </c>
      <c r="Z689">
        <v>15402</v>
      </c>
      <c r="AA689">
        <v>3</v>
      </c>
      <c r="AB689">
        <v>27584</v>
      </c>
      <c r="AC689" s="10">
        <v>43781</v>
      </c>
      <c r="AD689" s="10" t="s">
        <v>72</v>
      </c>
      <c r="AE689" t="s">
        <v>72</v>
      </c>
      <c r="AF689" t="s">
        <v>45</v>
      </c>
    </row>
    <row r="690" spans="1:32" x14ac:dyDescent="0.25">
      <c r="A690">
        <v>1886</v>
      </c>
      <c r="B690">
        <v>35</v>
      </c>
      <c r="C690" t="s">
        <v>43</v>
      </c>
      <c r="D690" t="s">
        <v>33</v>
      </c>
      <c r="E690" t="s">
        <v>34</v>
      </c>
      <c r="F690" t="s">
        <v>67</v>
      </c>
      <c r="G690" t="s">
        <v>59</v>
      </c>
      <c r="H690" t="s">
        <v>47</v>
      </c>
      <c r="I690" t="s">
        <v>38</v>
      </c>
      <c r="J690" t="s">
        <v>65</v>
      </c>
      <c r="K690">
        <v>2</v>
      </c>
      <c r="L690">
        <v>3</v>
      </c>
      <c r="M690" t="s">
        <v>48</v>
      </c>
      <c r="N690" t="s">
        <v>61</v>
      </c>
      <c r="O690" t="s">
        <v>42</v>
      </c>
      <c r="P690" t="s">
        <v>32</v>
      </c>
      <c r="Q690">
        <v>11</v>
      </c>
      <c r="R690">
        <v>0</v>
      </c>
      <c r="S690">
        <v>4</v>
      </c>
      <c r="T690">
        <v>0</v>
      </c>
      <c r="U690">
        <v>2</v>
      </c>
      <c r="V690">
        <v>16</v>
      </c>
      <c r="W690">
        <v>44</v>
      </c>
      <c r="X690">
        <v>219</v>
      </c>
      <c r="Y690">
        <v>25388</v>
      </c>
      <c r="Z690">
        <v>4788</v>
      </c>
      <c r="AA690">
        <v>2</v>
      </c>
      <c r="AB690">
        <v>32174</v>
      </c>
      <c r="AC690" s="10">
        <v>43788</v>
      </c>
      <c r="AD690" s="10" t="s">
        <v>72</v>
      </c>
      <c r="AE690" t="s">
        <v>72</v>
      </c>
      <c r="AF690" t="s">
        <v>45</v>
      </c>
    </row>
    <row r="691" spans="1:32" x14ac:dyDescent="0.25">
      <c r="A691">
        <v>1461</v>
      </c>
      <c r="B691">
        <v>31</v>
      </c>
      <c r="C691" t="s">
        <v>43</v>
      </c>
      <c r="D691" t="s">
        <v>33</v>
      </c>
      <c r="E691" t="s">
        <v>68</v>
      </c>
      <c r="F691" t="s">
        <v>67</v>
      </c>
      <c r="G691" t="s">
        <v>59</v>
      </c>
      <c r="H691" t="s">
        <v>47</v>
      </c>
      <c r="I691" t="s">
        <v>59</v>
      </c>
      <c r="J691" t="s">
        <v>68</v>
      </c>
      <c r="K691">
        <v>2</v>
      </c>
      <c r="L691">
        <v>3</v>
      </c>
      <c r="M691" t="s">
        <v>48</v>
      </c>
      <c r="N691" t="s">
        <v>41</v>
      </c>
      <c r="O691" t="s">
        <v>42</v>
      </c>
      <c r="P691" t="s">
        <v>43</v>
      </c>
      <c r="Q691">
        <v>18</v>
      </c>
      <c r="R691">
        <v>9</v>
      </c>
      <c r="S691">
        <v>8</v>
      </c>
      <c r="T691">
        <v>0</v>
      </c>
      <c r="U691">
        <v>2</v>
      </c>
      <c r="V691">
        <v>8</v>
      </c>
      <c r="W691">
        <v>96</v>
      </c>
      <c r="X691">
        <v>1398</v>
      </c>
      <c r="Y691">
        <v>24609</v>
      </c>
      <c r="Z691">
        <v>2109</v>
      </c>
      <c r="AA691">
        <v>3</v>
      </c>
      <c r="AB691">
        <v>33774</v>
      </c>
      <c r="AC691" s="10">
        <v>43790</v>
      </c>
      <c r="AD691" s="10" t="s">
        <v>72</v>
      </c>
      <c r="AE691" t="s">
        <v>72</v>
      </c>
      <c r="AF691" t="s">
        <v>55</v>
      </c>
    </row>
    <row r="692" spans="1:32" x14ac:dyDescent="0.25">
      <c r="A692">
        <v>705</v>
      </c>
      <c r="B692">
        <v>23</v>
      </c>
      <c r="C692" t="s">
        <v>43</v>
      </c>
      <c r="D692" t="s">
        <v>33</v>
      </c>
      <c r="E692" t="s">
        <v>34</v>
      </c>
      <c r="F692" t="s">
        <v>49</v>
      </c>
      <c r="G692" t="s">
        <v>36</v>
      </c>
      <c r="H692" t="s">
        <v>37</v>
      </c>
      <c r="I692" t="s">
        <v>59</v>
      </c>
      <c r="J692" t="s">
        <v>39</v>
      </c>
      <c r="K692">
        <v>1</v>
      </c>
      <c r="L692">
        <v>3</v>
      </c>
      <c r="M692" t="s">
        <v>58</v>
      </c>
      <c r="N692" t="s">
        <v>61</v>
      </c>
      <c r="O692" t="s">
        <v>36</v>
      </c>
      <c r="P692" t="s">
        <v>43</v>
      </c>
      <c r="Q692">
        <v>16</v>
      </c>
      <c r="R692">
        <v>2</v>
      </c>
      <c r="S692">
        <v>5</v>
      </c>
      <c r="T692">
        <v>0</v>
      </c>
      <c r="U692">
        <v>2</v>
      </c>
      <c r="V692">
        <v>4</v>
      </c>
      <c r="W692">
        <v>58</v>
      </c>
      <c r="X692">
        <v>885</v>
      </c>
      <c r="Y692">
        <v>8544</v>
      </c>
      <c r="Z692">
        <v>2819</v>
      </c>
      <c r="AA692">
        <v>3</v>
      </c>
      <c r="AB692">
        <v>36698</v>
      </c>
      <c r="AC692" s="10">
        <v>43809</v>
      </c>
      <c r="AD692" s="10" t="s">
        <v>72</v>
      </c>
      <c r="AE692" t="s">
        <v>72</v>
      </c>
      <c r="AF692" t="s">
        <v>45</v>
      </c>
    </row>
    <row r="693" spans="1:32" x14ac:dyDescent="0.25">
      <c r="A693">
        <v>1411</v>
      </c>
      <c r="B693">
        <v>37</v>
      </c>
      <c r="C693" t="s">
        <v>43</v>
      </c>
      <c r="D693" t="s">
        <v>33</v>
      </c>
      <c r="E693" t="s">
        <v>34</v>
      </c>
      <c r="F693" t="s">
        <v>49</v>
      </c>
      <c r="G693" t="s">
        <v>36</v>
      </c>
      <c r="H693" t="s">
        <v>47</v>
      </c>
      <c r="I693" t="s">
        <v>50</v>
      </c>
      <c r="J693" t="s">
        <v>51</v>
      </c>
      <c r="K693">
        <v>3</v>
      </c>
      <c r="L693">
        <v>3</v>
      </c>
      <c r="M693" t="s">
        <v>48</v>
      </c>
      <c r="N693" t="s">
        <v>41</v>
      </c>
      <c r="O693" t="s">
        <v>42</v>
      </c>
      <c r="P693" t="s">
        <v>43</v>
      </c>
      <c r="Q693">
        <v>18</v>
      </c>
      <c r="R693">
        <v>4</v>
      </c>
      <c r="S693">
        <v>8</v>
      </c>
      <c r="T693">
        <v>0</v>
      </c>
      <c r="U693">
        <v>2</v>
      </c>
      <c r="V693">
        <v>11</v>
      </c>
      <c r="W693">
        <v>94</v>
      </c>
      <c r="X693">
        <v>1462</v>
      </c>
      <c r="Y693">
        <v>19106</v>
      </c>
      <c r="Z693">
        <v>3629</v>
      </c>
      <c r="AA693">
        <v>6</v>
      </c>
      <c r="AB693">
        <v>31620</v>
      </c>
      <c r="AC693" s="10">
        <v>43817</v>
      </c>
      <c r="AD693" s="10" t="s">
        <v>72</v>
      </c>
      <c r="AE693" t="s">
        <v>72</v>
      </c>
      <c r="AF693" t="s">
        <v>45</v>
      </c>
    </row>
    <row r="694" spans="1:32" x14ac:dyDescent="0.25">
      <c r="A694">
        <v>1607</v>
      </c>
      <c r="B694">
        <v>32</v>
      </c>
      <c r="C694" t="s">
        <v>43</v>
      </c>
      <c r="D694" t="s">
        <v>33</v>
      </c>
      <c r="E694" t="s">
        <v>34</v>
      </c>
      <c r="F694" t="s">
        <v>35</v>
      </c>
      <c r="G694" t="s">
        <v>38</v>
      </c>
      <c r="H694" t="s">
        <v>47</v>
      </c>
      <c r="I694" t="s">
        <v>59</v>
      </c>
      <c r="J694" t="s">
        <v>39</v>
      </c>
      <c r="K694">
        <v>4</v>
      </c>
      <c r="L694">
        <v>3</v>
      </c>
      <c r="M694" t="s">
        <v>48</v>
      </c>
      <c r="N694" t="s">
        <v>61</v>
      </c>
      <c r="O694" t="s">
        <v>53</v>
      </c>
      <c r="P694" t="s">
        <v>43</v>
      </c>
      <c r="Q694">
        <v>17</v>
      </c>
      <c r="R694">
        <v>3</v>
      </c>
      <c r="S694">
        <v>6</v>
      </c>
      <c r="T694">
        <v>0</v>
      </c>
      <c r="U694">
        <v>2</v>
      </c>
      <c r="V694">
        <v>5</v>
      </c>
      <c r="W694">
        <v>35</v>
      </c>
      <c r="X694">
        <v>634</v>
      </c>
      <c r="Y694">
        <v>18783</v>
      </c>
      <c r="Z694">
        <v>3312</v>
      </c>
      <c r="AA694">
        <v>3</v>
      </c>
      <c r="AB694">
        <v>33112</v>
      </c>
      <c r="AC694" s="10">
        <v>43834</v>
      </c>
      <c r="AD694" s="10" t="s">
        <v>72</v>
      </c>
      <c r="AE694" t="s">
        <v>72</v>
      </c>
      <c r="AF694" t="s">
        <v>45</v>
      </c>
    </row>
    <row r="695" spans="1:32" x14ac:dyDescent="0.25">
      <c r="A695">
        <v>575</v>
      </c>
      <c r="B695">
        <v>46</v>
      </c>
      <c r="C695" t="s">
        <v>43</v>
      </c>
      <c r="D695" t="s">
        <v>33</v>
      </c>
      <c r="E695" t="s">
        <v>34</v>
      </c>
      <c r="F695" t="s">
        <v>49</v>
      </c>
      <c r="G695" t="s">
        <v>36</v>
      </c>
      <c r="H695" t="s">
        <v>37</v>
      </c>
      <c r="I695" t="s">
        <v>50</v>
      </c>
      <c r="J695" t="s">
        <v>71</v>
      </c>
      <c r="K695">
        <v>3</v>
      </c>
      <c r="L695">
        <v>3</v>
      </c>
      <c r="M695" t="s">
        <v>40</v>
      </c>
      <c r="N695" t="s">
        <v>61</v>
      </c>
      <c r="O695" t="s">
        <v>42</v>
      </c>
      <c r="P695" t="s">
        <v>43</v>
      </c>
      <c r="Q695">
        <v>13</v>
      </c>
      <c r="R695">
        <v>6</v>
      </c>
      <c r="S695">
        <v>26</v>
      </c>
      <c r="T695">
        <v>0</v>
      </c>
      <c r="U695">
        <v>1</v>
      </c>
      <c r="V695">
        <v>2</v>
      </c>
      <c r="W695">
        <v>51</v>
      </c>
      <c r="X695">
        <v>1009</v>
      </c>
      <c r="Y695">
        <v>2288</v>
      </c>
      <c r="Z695">
        <v>17861</v>
      </c>
      <c r="AA695">
        <v>2</v>
      </c>
      <c r="AB695">
        <v>28089</v>
      </c>
      <c r="AC695" s="10">
        <v>43855</v>
      </c>
      <c r="AD695" s="10" t="s">
        <v>72</v>
      </c>
      <c r="AE695" t="s">
        <v>72</v>
      </c>
      <c r="AF695" t="s">
        <v>45</v>
      </c>
    </row>
    <row r="696" spans="1:32" x14ac:dyDescent="0.25">
      <c r="A696">
        <v>995</v>
      </c>
      <c r="B696">
        <v>33</v>
      </c>
      <c r="C696" t="s">
        <v>43</v>
      </c>
      <c r="D696" t="s">
        <v>33</v>
      </c>
      <c r="E696" t="s">
        <v>34</v>
      </c>
      <c r="F696" t="s">
        <v>64</v>
      </c>
      <c r="G696" t="s">
        <v>38</v>
      </c>
      <c r="H696" t="s">
        <v>47</v>
      </c>
      <c r="I696" t="s">
        <v>50</v>
      </c>
      <c r="J696" t="s">
        <v>39</v>
      </c>
      <c r="K696">
        <v>4</v>
      </c>
      <c r="L696">
        <v>3</v>
      </c>
      <c r="M696" t="s">
        <v>48</v>
      </c>
      <c r="N696" t="s">
        <v>41</v>
      </c>
      <c r="O696" t="s">
        <v>42</v>
      </c>
      <c r="P696" t="s">
        <v>43</v>
      </c>
      <c r="Q696">
        <v>18</v>
      </c>
      <c r="R696">
        <v>3</v>
      </c>
      <c r="S696">
        <v>5</v>
      </c>
      <c r="T696">
        <v>0</v>
      </c>
      <c r="U696">
        <v>2</v>
      </c>
      <c r="V696">
        <v>13</v>
      </c>
      <c r="W696">
        <v>53</v>
      </c>
      <c r="X696">
        <v>461</v>
      </c>
      <c r="Y696">
        <v>17241</v>
      </c>
      <c r="Z696">
        <v>3452</v>
      </c>
      <c r="AA696">
        <v>4</v>
      </c>
      <c r="AB696">
        <v>32983</v>
      </c>
      <c r="AC696" s="10">
        <v>43856</v>
      </c>
      <c r="AD696" s="10" t="s">
        <v>72</v>
      </c>
      <c r="AE696" t="s">
        <v>72</v>
      </c>
      <c r="AF696" t="s">
        <v>45</v>
      </c>
    </row>
    <row r="697" spans="1:32" x14ac:dyDescent="0.25">
      <c r="A697">
        <v>349</v>
      </c>
      <c r="B697">
        <v>29</v>
      </c>
      <c r="C697" t="s">
        <v>43</v>
      </c>
      <c r="D697" t="s">
        <v>33</v>
      </c>
      <c r="E697" t="s">
        <v>56</v>
      </c>
      <c r="F697" t="s">
        <v>67</v>
      </c>
      <c r="G697" t="s">
        <v>59</v>
      </c>
      <c r="H697" t="s">
        <v>37</v>
      </c>
      <c r="I697" t="s">
        <v>50</v>
      </c>
      <c r="J697" t="s">
        <v>57</v>
      </c>
      <c r="K697">
        <v>4</v>
      </c>
      <c r="L697">
        <v>3</v>
      </c>
      <c r="M697" t="s">
        <v>48</v>
      </c>
      <c r="N697" t="s">
        <v>52</v>
      </c>
      <c r="O697" t="s">
        <v>36</v>
      </c>
      <c r="P697" t="s">
        <v>43</v>
      </c>
      <c r="Q697">
        <v>14</v>
      </c>
      <c r="R697">
        <v>2</v>
      </c>
      <c r="S697">
        <v>10</v>
      </c>
      <c r="T697">
        <v>0</v>
      </c>
      <c r="U697">
        <v>2</v>
      </c>
      <c r="V697">
        <v>20</v>
      </c>
      <c r="W697">
        <v>45</v>
      </c>
      <c r="X697">
        <v>1247</v>
      </c>
      <c r="Y697">
        <v>10732</v>
      </c>
      <c r="Z697">
        <v>6931</v>
      </c>
      <c r="AA697">
        <v>2</v>
      </c>
      <c r="AB697">
        <v>34395</v>
      </c>
      <c r="AC697" s="10">
        <v>43891</v>
      </c>
      <c r="AD697" s="10" t="s">
        <v>72</v>
      </c>
      <c r="AE697" t="s">
        <v>72</v>
      </c>
      <c r="AF697" t="s">
        <v>45</v>
      </c>
    </row>
    <row r="698" spans="1:32" x14ac:dyDescent="0.25">
      <c r="A698">
        <v>939</v>
      </c>
      <c r="B698">
        <v>33</v>
      </c>
      <c r="C698" t="s">
        <v>43</v>
      </c>
      <c r="D698" t="s">
        <v>33</v>
      </c>
      <c r="E698" t="s">
        <v>34</v>
      </c>
      <c r="F698" t="s">
        <v>35</v>
      </c>
      <c r="G698" t="s">
        <v>50</v>
      </c>
      <c r="H698" t="s">
        <v>37</v>
      </c>
      <c r="I698" t="s">
        <v>38</v>
      </c>
      <c r="J698" t="s">
        <v>39</v>
      </c>
      <c r="K698">
        <v>1</v>
      </c>
      <c r="L698">
        <v>3</v>
      </c>
      <c r="M698" t="s">
        <v>48</v>
      </c>
      <c r="N698" t="s">
        <v>41</v>
      </c>
      <c r="O698" t="s">
        <v>42</v>
      </c>
      <c r="P698" t="s">
        <v>32</v>
      </c>
      <c r="Q698">
        <v>11</v>
      </c>
      <c r="R698">
        <v>3</v>
      </c>
      <c r="S698">
        <v>6</v>
      </c>
      <c r="T698">
        <v>0</v>
      </c>
      <c r="U698">
        <v>2</v>
      </c>
      <c r="V698">
        <v>1</v>
      </c>
      <c r="W698">
        <v>100</v>
      </c>
      <c r="X698">
        <v>1198</v>
      </c>
      <c r="Y698">
        <v>3339</v>
      </c>
      <c r="Z698">
        <v>2799</v>
      </c>
      <c r="AA698">
        <v>1</v>
      </c>
      <c r="AB698">
        <v>32795</v>
      </c>
      <c r="AC698" s="10">
        <v>43894</v>
      </c>
      <c r="AD698" s="10" t="s">
        <v>72</v>
      </c>
      <c r="AE698" t="s">
        <v>72</v>
      </c>
      <c r="AF698" t="s">
        <v>55</v>
      </c>
    </row>
    <row r="699" spans="1:32" x14ac:dyDescent="0.25">
      <c r="A699">
        <v>1281</v>
      </c>
      <c r="B699">
        <v>34</v>
      </c>
      <c r="C699" t="s">
        <v>43</v>
      </c>
      <c r="D699" t="s">
        <v>33</v>
      </c>
      <c r="E699" t="s">
        <v>56</v>
      </c>
      <c r="F699" t="s">
        <v>49</v>
      </c>
      <c r="G699" t="s">
        <v>50</v>
      </c>
      <c r="H699" t="s">
        <v>47</v>
      </c>
      <c r="I699" t="s">
        <v>50</v>
      </c>
      <c r="J699" t="s">
        <v>57</v>
      </c>
      <c r="K699">
        <v>1</v>
      </c>
      <c r="L699">
        <v>3</v>
      </c>
      <c r="M699" t="s">
        <v>48</v>
      </c>
      <c r="N699" t="s">
        <v>41</v>
      </c>
      <c r="O699" t="s">
        <v>42</v>
      </c>
      <c r="P699" t="s">
        <v>32</v>
      </c>
      <c r="Q699">
        <v>12</v>
      </c>
      <c r="R699">
        <v>0</v>
      </c>
      <c r="S699">
        <v>4</v>
      </c>
      <c r="T699">
        <v>0</v>
      </c>
      <c r="U699">
        <v>2</v>
      </c>
      <c r="V699">
        <v>2</v>
      </c>
      <c r="W699">
        <v>86</v>
      </c>
      <c r="X699">
        <v>131</v>
      </c>
      <c r="Y699">
        <v>6039</v>
      </c>
      <c r="Z699">
        <v>4538</v>
      </c>
      <c r="AA699">
        <v>3</v>
      </c>
      <c r="AB699">
        <v>32365</v>
      </c>
      <c r="AC699" s="10">
        <v>43902</v>
      </c>
      <c r="AD699" s="10" t="s">
        <v>72</v>
      </c>
      <c r="AE699" t="s">
        <v>72</v>
      </c>
      <c r="AF699" t="s">
        <v>45</v>
      </c>
    </row>
    <row r="700" spans="1:32" x14ac:dyDescent="0.25">
      <c r="A700">
        <v>242</v>
      </c>
      <c r="B700">
        <v>33</v>
      </c>
      <c r="C700" t="s">
        <v>43</v>
      </c>
      <c r="D700" t="s">
        <v>33</v>
      </c>
      <c r="E700" t="s">
        <v>34</v>
      </c>
      <c r="F700" t="s">
        <v>49</v>
      </c>
      <c r="G700" t="s">
        <v>50</v>
      </c>
      <c r="H700" t="s">
        <v>37</v>
      </c>
      <c r="I700" t="s">
        <v>50</v>
      </c>
      <c r="J700" t="s">
        <v>39</v>
      </c>
      <c r="K700">
        <v>4</v>
      </c>
      <c r="L700">
        <v>3</v>
      </c>
      <c r="M700" t="s">
        <v>58</v>
      </c>
      <c r="N700" t="s">
        <v>41</v>
      </c>
      <c r="O700" t="s">
        <v>42</v>
      </c>
      <c r="P700" t="s">
        <v>43</v>
      </c>
      <c r="Q700">
        <v>14</v>
      </c>
      <c r="R700">
        <v>0</v>
      </c>
      <c r="S700">
        <v>4</v>
      </c>
      <c r="T700">
        <v>0</v>
      </c>
      <c r="U700">
        <v>2</v>
      </c>
      <c r="V700">
        <v>2</v>
      </c>
      <c r="W700">
        <v>90</v>
      </c>
      <c r="X700">
        <v>134</v>
      </c>
      <c r="Y700">
        <v>10515</v>
      </c>
      <c r="Z700">
        <v>2500</v>
      </c>
      <c r="AA700">
        <v>2</v>
      </c>
      <c r="AB700">
        <v>32776</v>
      </c>
      <c r="AC700" s="10">
        <v>43920</v>
      </c>
      <c r="AD700" s="10" t="s">
        <v>72</v>
      </c>
      <c r="AE700" t="s">
        <v>72</v>
      </c>
      <c r="AF700" t="s">
        <v>45</v>
      </c>
    </row>
    <row r="701" spans="1:32" x14ac:dyDescent="0.25">
      <c r="A701">
        <v>847</v>
      </c>
      <c r="B701">
        <v>34</v>
      </c>
      <c r="C701" t="s">
        <v>43</v>
      </c>
      <c r="D701" t="s">
        <v>33</v>
      </c>
      <c r="E701" t="s">
        <v>68</v>
      </c>
      <c r="F701" t="s">
        <v>67</v>
      </c>
      <c r="G701" t="s">
        <v>50</v>
      </c>
      <c r="H701" t="s">
        <v>37</v>
      </c>
      <c r="I701" t="s">
        <v>50</v>
      </c>
      <c r="J701" t="s">
        <v>68</v>
      </c>
      <c r="K701">
        <v>4</v>
      </c>
      <c r="L701">
        <v>3</v>
      </c>
      <c r="M701" t="s">
        <v>40</v>
      </c>
      <c r="N701" t="s">
        <v>61</v>
      </c>
      <c r="O701" t="s">
        <v>36</v>
      </c>
      <c r="P701" t="s">
        <v>43</v>
      </c>
      <c r="Q701">
        <v>19</v>
      </c>
      <c r="R701">
        <v>0</v>
      </c>
      <c r="S701">
        <v>4</v>
      </c>
      <c r="T701">
        <v>0</v>
      </c>
      <c r="U701">
        <v>2</v>
      </c>
      <c r="V701">
        <v>3</v>
      </c>
      <c r="W701">
        <v>88</v>
      </c>
      <c r="X701">
        <v>829</v>
      </c>
      <c r="Y701">
        <v>2243</v>
      </c>
      <c r="Z701">
        <v>3737</v>
      </c>
      <c r="AA701">
        <v>1</v>
      </c>
      <c r="AB701">
        <v>32521</v>
      </c>
      <c r="AC701" s="10">
        <v>43934</v>
      </c>
      <c r="AD701" s="10" t="s">
        <v>72</v>
      </c>
      <c r="AE701" t="s">
        <v>72</v>
      </c>
      <c r="AF701" t="s">
        <v>45</v>
      </c>
    </row>
    <row r="702" spans="1:32" x14ac:dyDescent="0.25">
      <c r="A702">
        <v>652</v>
      </c>
      <c r="B702">
        <v>35</v>
      </c>
      <c r="C702" t="s">
        <v>43</v>
      </c>
      <c r="D702" t="s">
        <v>33</v>
      </c>
      <c r="E702" t="s">
        <v>34</v>
      </c>
      <c r="F702" t="s">
        <v>67</v>
      </c>
      <c r="G702" t="s">
        <v>36</v>
      </c>
      <c r="H702" t="s">
        <v>37</v>
      </c>
      <c r="I702" t="s">
        <v>38</v>
      </c>
      <c r="J702" t="s">
        <v>51</v>
      </c>
      <c r="K702">
        <v>4</v>
      </c>
      <c r="L702">
        <v>3</v>
      </c>
      <c r="M702" t="s">
        <v>48</v>
      </c>
      <c r="N702" t="s">
        <v>41</v>
      </c>
      <c r="O702" t="s">
        <v>42</v>
      </c>
      <c r="P702" t="s">
        <v>43</v>
      </c>
      <c r="Q702">
        <v>14</v>
      </c>
      <c r="R702">
        <v>4</v>
      </c>
      <c r="S702">
        <v>9</v>
      </c>
      <c r="T702">
        <v>0</v>
      </c>
      <c r="U702">
        <v>2</v>
      </c>
      <c r="V702">
        <v>25</v>
      </c>
      <c r="W702">
        <v>54</v>
      </c>
      <c r="X702">
        <v>538</v>
      </c>
      <c r="Y702">
        <v>14004</v>
      </c>
      <c r="Z702">
        <v>3681</v>
      </c>
      <c r="AA702">
        <v>3</v>
      </c>
      <c r="AB702">
        <v>32114</v>
      </c>
      <c r="AC702" s="10">
        <v>43940</v>
      </c>
      <c r="AD702" s="10" t="s">
        <v>72</v>
      </c>
      <c r="AE702" t="s">
        <v>72</v>
      </c>
      <c r="AF702" t="s">
        <v>45</v>
      </c>
    </row>
    <row r="703" spans="1:32" x14ac:dyDescent="0.25">
      <c r="A703">
        <v>1651</v>
      </c>
      <c r="B703">
        <v>36</v>
      </c>
      <c r="C703" t="s">
        <v>43</v>
      </c>
      <c r="D703" t="s">
        <v>33</v>
      </c>
      <c r="E703" t="s">
        <v>34</v>
      </c>
      <c r="F703" t="s">
        <v>35</v>
      </c>
      <c r="G703" t="s">
        <v>38</v>
      </c>
      <c r="H703" t="s">
        <v>47</v>
      </c>
      <c r="I703" t="s">
        <v>50</v>
      </c>
      <c r="J703" t="s">
        <v>62</v>
      </c>
      <c r="K703">
        <v>1</v>
      </c>
      <c r="L703">
        <v>3</v>
      </c>
      <c r="M703" t="s">
        <v>48</v>
      </c>
      <c r="N703" t="s">
        <v>61</v>
      </c>
      <c r="O703" t="s">
        <v>53</v>
      </c>
      <c r="P703" t="s">
        <v>43</v>
      </c>
      <c r="Q703">
        <v>12</v>
      </c>
      <c r="R703">
        <v>4</v>
      </c>
      <c r="S703">
        <v>9</v>
      </c>
      <c r="T703">
        <v>0</v>
      </c>
      <c r="U703">
        <v>2</v>
      </c>
      <c r="V703">
        <v>5</v>
      </c>
      <c r="W703">
        <v>42</v>
      </c>
      <c r="X703">
        <v>711</v>
      </c>
      <c r="Y703">
        <v>22792</v>
      </c>
      <c r="Z703">
        <v>8008</v>
      </c>
      <c r="AA703">
        <v>6</v>
      </c>
      <c r="AB703">
        <v>31662</v>
      </c>
      <c r="AC703" s="10">
        <v>43957</v>
      </c>
      <c r="AD703" s="10" t="s">
        <v>72</v>
      </c>
      <c r="AE703" t="s">
        <v>72</v>
      </c>
      <c r="AF703" t="s">
        <v>55</v>
      </c>
    </row>
    <row r="704" spans="1:32" x14ac:dyDescent="0.25">
      <c r="A704">
        <v>1415</v>
      </c>
      <c r="B704">
        <v>25</v>
      </c>
      <c r="C704" t="s">
        <v>43</v>
      </c>
      <c r="D704" t="s">
        <v>33</v>
      </c>
      <c r="E704" t="s">
        <v>34</v>
      </c>
      <c r="F704" t="s">
        <v>49</v>
      </c>
      <c r="G704" t="s">
        <v>36</v>
      </c>
      <c r="H704" t="s">
        <v>37</v>
      </c>
      <c r="I704" t="s">
        <v>50</v>
      </c>
      <c r="J704" t="s">
        <v>51</v>
      </c>
      <c r="K704">
        <v>4</v>
      </c>
      <c r="L704">
        <v>3</v>
      </c>
      <c r="M704" t="s">
        <v>60</v>
      </c>
      <c r="N704" t="s">
        <v>61</v>
      </c>
      <c r="O704" t="s">
        <v>36</v>
      </c>
      <c r="P704" t="s">
        <v>43</v>
      </c>
      <c r="Q704">
        <v>11</v>
      </c>
      <c r="R704">
        <v>4</v>
      </c>
      <c r="S704">
        <v>7</v>
      </c>
      <c r="T704">
        <v>0</v>
      </c>
      <c r="U704">
        <v>2</v>
      </c>
      <c r="V704">
        <v>1</v>
      </c>
      <c r="W704">
        <v>81</v>
      </c>
      <c r="X704">
        <v>949</v>
      </c>
      <c r="Y704">
        <v>4910</v>
      </c>
      <c r="Z704">
        <v>3229</v>
      </c>
      <c r="AA704">
        <v>2</v>
      </c>
      <c r="AB704">
        <v>35708</v>
      </c>
      <c r="AC704" s="10">
        <v>44002</v>
      </c>
      <c r="AD704" s="10" t="s">
        <v>72</v>
      </c>
      <c r="AE704" t="s">
        <v>72</v>
      </c>
      <c r="AF704" t="s">
        <v>45</v>
      </c>
    </row>
    <row r="705" spans="1:32" x14ac:dyDescent="0.25">
      <c r="A705">
        <v>686</v>
      </c>
      <c r="B705">
        <v>26</v>
      </c>
      <c r="C705" t="s">
        <v>43</v>
      </c>
      <c r="D705" t="s">
        <v>33</v>
      </c>
      <c r="E705" t="s">
        <v>34</v>
      </c>
      <c r="F705" t="s">
        <v>49</v>
      </c>
      <c r="G705" t="s">
        <v>50</v>
      </c>
      <c r="H705" t="s">
        <v>47</v>
      </c>
      <c r="I705" t="s">
        <v>50</v>
      </c>
      <c r="J705" t="s">
        <v>51</v>
      </c>
      <c r="K705">
        <v>4</v>
      </c>
      <c r="L705">
        <v>3</v>
      </c>
      <c r="M705" t="s">
        <v>48</v>
      </c>
      <c r="N705" t="s">
        <v>61</v>
      </c>
      <c r="O705" t="s">
        <v>36</v>
      </c>
      <c r="P705" t="s">
        <v>32</v>
      </c>
      <c r="Q705">
        <v>13</v>
      </c>
      <c r="R705">
        <v>1</v>
      </c>
      <c r="S705">
        <v>3</v>
      </c>
      <c r="T705">
        <v>0</v>
      </c>
      <c r="U705">
        <v>2</v>
      </c>
      <c r="V705">
        <v>6</v>
      </c>
      <c r="W705">
        <v>71</v>
      </c>
      <c r="X705">
        <v>991</v>
      </c>
      <c r="Y705">
        <v>17759</v>
      </c>
      <c r="Z705">
        <v>2659</v>
      </c>
      <c r="AA705">
        <v>2</v>
      </c>
      <c r="AB705">
        <v>35383</v>
      </c>
      <c r="AC705" s="10">
        <v>44018</v>
      </c>
      <c r="AD705" s="10" t="s">
        <v>72</v>
      </c>
      <c r="AE705" t="s">
        <v>72</v>
      </c>
      <c r="AF705" t="s">
        <v>45</v>
      </c>
    </row>
    <row r="706" spans="1:32" x14ac:dyDescent="0.25">
      <c r="A706">
        <v>338</v>
      </c>
      <c r="B706">
        <v>33</v>
      </c>
      <c r="C706" t="s">
        <v>43</v>
      </c>
      <c r="D706" t="s">
        <v>33</v>
      </c>
      <c r="E706" t="s">
        <v>34</v>
      </c>
      <c r="F706" t="s">
        <v>35</v>
      </c>
      <c r="G706" t="s">
        <v>50</v>
      </c>
      <c r="H706" t="s">
        <v>47</v>
      </c>
      <c r="I706" t="s">
        <v>38</v>
      </c>
      <c r="J706" t="s">
        <v>39</v>
      </c>
      <c r="K706">
        <v>4</v>
      </c>
      <c r="L706">
        <v>3</v>
      </c>
      <c r="M706" t="s">
        <v>60</v>
      </c>
      <c r="N706" t="s">
        <v>61</v>
      </c>
      <c r="O706" t="s">
        <v>36</v>
      </c>
      <c r="P706" t="s">
        <v>43</v>
      </c>
      <c r="Q706">
        <v>13</v>
      </c>
      <c r="R706">
        <v>1</v>
      </c>
      <c r="S706">
        <v>2</v>
      </c>
      <c r="T706">
        <v>0</v>
      </c>
      <c r="U706">
        <v>2</v>
      </c>
      <c r="V706">
        <v>5</v>
      </c>
      <c r="W706">
        <v>63</v>
      </c>
      <c r="X706">
        <v>832</v>
      </c>
      <c r="Y706">
        <v>14776</v>
      </c>
      <c r="Z706">
        <v>2911</v>
      </c>
      <c r="AA706">
        <v>2</v>
      </c>
      <c r="AB706">
        <v>33067</v>
      </c>
      <c r="AC706" s="10">
        <v>44212</v>
      </c>
      <c r="AD706" s="10" t="s">
        <v>72</v>
      </c>
      <c r="AE706" t="s">
        <v>72</v>
      </c>
      <c r="AF706" t="s">
        <v>45</v>
      </c>
    </row>
    <row r="707" spans="1:32" x14ac:dyDescent="0.25">
      <c r="A707">
        <v>671</v>
      </c>
      <c r="B707">
        <v>44</v>
      </c>
      <c r="C707" t="s">
        <v>43</v>
      </c>
      <c r="D707" t="s">
        <v>33</v>
      </c>
      <c r="E707" t="s">
        <v>34</v>
      </c>
      <c r="F707" t="s">
        <v>35</v>
      </c>
      <c r="G707" t="s">
        <v>59</v>
      </c>
      <c r="H707" t="s">
        <v>37</v>
      </c>
      <c r="I707" t="s">
        <v>50</v>
      </c>
      <c r="J707" t="s">
        <v>69</v>
      </c>
      <c r="K707">
        <v>4</v>
      </c>
      <c r="L707">
        <v>3</v>
      </c>
      <c r="M707" t="s">
        <v>58</v>
      </c>
      <c r="N707" t="s">
        <v>61</v>
      </c>
      <c r="O707" t="s">
        <v>36</v>
      </c>
      <c r="P707" t="s">
        <v>32</v>
      </c>
      <c r="Q707">
        <v>12</v>
      </c>
      <c r="R707">
        <v>4</v>
      </c>
      <c r="S707">
        <v>26</v>
      </c>
      <c r="T707">
        <v>0</v>
      </c>
      <c r="U707">
        <v>1</v>
      </c>
      <c r="V707">
        <v>3</v>
      </c>
      <c r="W707">
        <v>35</v>
      </c>
      <c r="X707">
        <v>1315</v>
      </c>
      <c r="Y707">
        <v>9358</v>
      </c>
      <c r="Z707">
        <v>19513</v>
      </c>
      <c r="AA707">
        <v>2</v>
      </c>
      <c r="AB707">
        <v>28785</v>
      </c>
      <c r="AC707" s="10">
        <v>44244</v>
      </c>
      <c r="AD707" s="10" t="s">
        <v>72</v>
      </c>
      <c r="AE707" t="s">
        <v>72</v>
      </c>
      <c r="AF707" t="s">
        <v>45</v>
      </c>
    </row>
    <row r="708" spans="1:32" x14ac:dyDescent="0.25">
      <c r="A708">
        <v>784</v>
      </c>
      <c r="B708">
        <v>23</v>
      </c>
      <c r="C708" t="s">
        <v>43</v>
      </c>
      <c r="D708" t="s">
        <v>33</v>
      </c>
      <c r="E708" t="s">
        <v>34</v>
      </c>
      <c r="F708" t="s">
        <v>64</v>
      </c>
      <c r="G708" t="s">
        <v>36</v>
      </c>
      <c r="H708" t="s">
        <v>37</v>
      </c>
      <c r="I708" t="s">
        <v>59</v>
      </c>
      <c r="J708" t="s">
        <v>39</v>
      </c>
      <c r="K708">
        <v>3</v>
      </c>
      <c r="L708">
        <v>3</v>
      </c>
      <c r="M708" t="s">
        <v>48</v>
      </c>
      <c r="N708" t="s">
        <v>41</v>
      </c>
      <c r="O708" t="s">
        <v>42</v>
      </c>
      <c r="P708" t="s">
        <v>43</v>
      </c>
      <c r="Q708">
        <v>18</v>
      </c>
      <c r="R708">
        <v>1</v>
      </c>
      <c r="S708">
        <v>2</v>
      </c>
      <c r="T708">
        <v>0</v>
      </c>
      <c r="U708">
        <v>1</v>
      </c>
      <c r="V708">
        <v>10</v>
      </c>
      <c r="W708">
        <v>79</v>
      </c>
      <c r="X708">
        <v>310</v>
      </c>
      <c r="Y708">
        <v>19630</v>
      </c>
      <c r="Z708">
        <v>3505</v>
      </c>
      <c r="AA708">
        <v>3</v>
      </c>
      <c r="AB708">
        <v>36399</v>
      </c>
      <c r="AC708" s="10">
        <v>44292</v>
      </c>
      <c r="AD708" s="10" t="s">
        <v>72</v>
      </c>
      <c r="AE708" t="s">
        <v>72</v>
      </c>
      <c r="AF708" t="s">
        <v>55</v>
      </c>
    </row>
    <row r="709" spans="1:32" x14ac:dyDescent="0.25">
      <c r="A709">
        <v>665</v>
      </c>
      <c r="B709">
        <v>44</v>
      </c>
      <c r="C709" t="s">
        <v>43</v>
      </c>
      <c r="D709" t="s">
        <v>33</v>
      </c>
      <c r="E709" t="s">
        <v>68</v>
      </c>
      <c r="F709" t="s">
        <v>35</v>
      </c>
      <c r="G709" t="s">
        <v>36</v>
      </c>
      <c r="H709" t="s">
        <v>47</v>
      </c>
      <c r="I709" t="s">
        <v>38</v>
      </c>
      <c r="J709" t="s">
        <v>68</v>
      </c>
      <c r="K709">
        <v>3</v>
      </c>
      <c r="L709">
        <v>3</v>
      </c>
      <c r="M709" t="s">
        <v>58</v>
      </c>
      <c r="N709" t="s">
        <v>41</v>
      </c>
      <c r="O709" t="s">
        <v>42</v>
      </c>
      <c r="P709" t="s">
        <v>43</v>
      </c>
      <c r="Q709">
        <v>11</v>
      </c>
      <c r="R709">
        <v>4</v>
      </c>
      <c r="S709">
        <v>10</v>
      </c>
      <c r="T709">
        <v>0</v>
      </c>
      <c r="U709">
        <v>1</v>
      </c>
      <c r="V709">
        <v>1</v>
      </c>
      <c r="W709">
        <v>50</v>
      </c>
      <c r="X709">
        <v>1112</v>
      </c>
      <c r="Y709">
        <v>26894</v>
      </c>
      <c r="Z709">
        <v>5985</v>
      </c>
      <c r="AA709">
        <v>1</v>
      </c>
      <c r="AB709">
        <v>28967</v>
      </c>
      <c r="AC709" s="10">
        <v>44320</v>
      </c>
      <c r="AD709" s="10" t="s">
        <v>72</v>
      </c>
      <c r="AE709" t="s">
        <v>72</v>
      </c>
      <c r="AF709" t="s">
        <v>45</v>
      </c>
    </row>
    <row r="710" spans="1:32" x14ac:dyDescent="0.25">
      <c r="A710">
        <v>143</v>
      </c>
      <c r="B710">
        <v>25</v>
      </c>
      <c r="C710" t="s">
        <v>43</v>
      </c>
      <c r="D710" t="s">
        <v>33</v>
      </c>
      <c r="E710" t="s">
        <v>34</v>
      </c>
      <c r="F710" t="s">
        <v>64</v>
      </c>
      <c r="G710" t="s">
        <v>59</v>
      </c>
      <c r="H710" t="s">
        <v>37</v>
      </c>
      <c r="I710" t="s">
        <v>38</v>
      </c>
      <c r="J710" t="s">
        <v>39</v>
      </c>
      <c r="K710">
        <v>4</v>
      </c>
      <c r="L710">
        <v>3</v>
      </c>
      <c r="M710" t="s">
        <v>48</v>
      </c>
      <c r="N710" t="s">
        <v>61</v>
      </c>
      <c r="O710" t="s">
        <v>53</v>
      </c>
      <c r="P710" t="s">
        <v>43</v>
      </c>
      <c r="Q710">
        <v>11</v>
      </c>
      <c r="R710">
        <v>1</v>
      </c>
      <c r="S710">
        <v>2</v>
      </c>
      <c r="T710">
        <v>0</v>
      </c>
      <c r="U710">
        <v>1</v>
      </c>
      <c r="V710">
        <v>7</v>
      </c>
      <c r="W710">
        <v>64</v>
      </c>
      <c r="X710">
        <v>1280</v>
      </c>
      <c r="Y710">
        <v>26897</v>
      </c>
      <c r="Z710">
        <v>2889</v>
      </c>
      <c r="AA710">
        <v>2</v>
      </c>
      <c r="AB710">
        <v>35981</v>
      </c>
      <c r="AC710" s="10">
        <v>44355</v>
      </c>
      <c r="AD710" s="10" t="s">
        <v>72</v>
      </c>
      <c r="AE710" t="s">
        <v>72</v>
      </c>
      <c r="AF710" t="s">
        <v>55</v>
      </c>
    </row>
    <row r="711" spans="1:32" x14ac:dyDescent="0.25">
      <c r="A711">
        <v>1680</v>
      </c>
      <c r="B711">
        <v>20</v>
      </c>
      <c r="C711" t="s">
        <v>43</v>
      </c>
      <c r="D711" t="s">
        <v>33</v>
      </c>
      <c r="E711" t="s">
        <v>56</v>
      </c>
      <c r="F711" t="s">
        <v>64</v>
      </c>
      <c r="G711" t="s">
        <v>59</v>
      </c>
      <c r="H711" t="s">
        <v>37</v>
      </c>
      <c r="I711" t="s">
        <v>50</v>
      </c>
      <c r="J711" t="s">
        <v>66</v>
      </c>
      <c r="K711">
        <v>1</v>
      </c>
      <c r="L711">
        <v>3</v>
      </c>
      <c r="M711" t="s">
        <v>48</v>
      </c>
      <c r="N711" t="s">
        <v>41</v>
      </c>
      <c r="O711" t="s">
        <v>42</v>
      </c>
      <c r="P711" t="s">
        <v>43</v>
      </c>
      <c r="Q711">
        <v>11</v>
      </c>
      <c r="R711">
        <v>1</v>
      </c>
      <c r="S711">
        <v>2</v>
      </c>
      <c r="T711">
        <v>0</v>
      </c>
      <c r="U711">
        <v>1</v>
      </c>
      <c r="V711">
        <v>9</v>
      </c>
      <c r="W711">
        <v>54</v>
      </c>
      <c r="X711">
        <v>727</v>
      </c>
      <c r="Y711">
        <v>21082</v>
      </c>
      <c r="Z711">
        <v>2728</v>
      </c>
      <c r="AA711">
        <v>3</v>
      </c>
      <c r="AB711">
        <v>37742</v>
      </c>
      <c r="AC711" s="10">
        <v>44383</v>
      </c>
      <c r="AD711" s="10" t="s">
        <v>72</v>
      </c>
      <c r="AE711" t="s">
        <v>72</v>
      </c>
      <c r="AF711" t="s">
        <v>45</v>
      </c>
    </row>
    <row r="712" spans="1:32" x14ac:dyDescent="0.25">
      <c r="A712">
        <v>1269</v>
      </c>
      <c r="B712">
        <v>19</v>
      </c>
      <c r="C712" t="s">
        <v>43</v>
      </c>
      <c r="D712" t="s">
        <v>33</v>
      </c>
      <c r="E712" t="s">
        <v>34</v>
      </c>
      <c r="F712" t="s">
        <v>49</v>
      </c>
      <c r="G712" t="s">
        <v>38</v>
      </c>
      <c r="H712" t="s">
        <v>47</v>
      </c>
      <c r="I712" t="s">
        <v>59</v>
      </c>
      <c r="J712" t="s">
        <v>39</v>
      </c>
      <c r="K712">
        <v>4</v>
      </c>
      <c r="L712">
        <v>3</v>
      </c>
      <c r="M712" t="s">
        <v>48</v>
      </c>
      <c r="N712" t="s">
        <v>41</v>
      </c>
      <c r="O712" t="s">
        <v>42</v>
      </c>
      <c r="P712" t="s">
        <v>32</v>
      </c>
      <c r="Q712">
        <v>12</v>
      </c>
      <c r="R712">
        <v>1</v>
      </c>
      <c r="S712">
        <v>1</v>
      </c>
      <c r="T712">
        <v>0</v>
      </c>
      <c r="U712">
        <v>1</v>
      </c>
      <c r="V712">
        <v>25</v>
      </c>
      <c r="W712">
        <v>57</v>
      </c>
      <c r="X712">
        <v>265</v>
      </c>
      <c r="Y712">
        <v>21221</v>
      </c>
      <c r="Z712">
        <v>2994</v>
      </c>
      <c r="AA712">
        <v>2</v>
      </c>
      <c r="AB712">
        <v>37893</v>
      </c>
      <c r="AC712" s="10">
        <v>44410</v>
      </c>
      <c r="AD712" s="10" t="s">
        <v>72</v>
      </c>
      <c r="AE712" t="s">
        <v>72</v>
      </c>
      <c r="AF712" t="s">
        <v>45</v>
      </c>
    </row>
    <row r="713" spans="1:32" x14ac:dyDescent="0.25">
      <c r="A713">
        <v>1601</v>
      </c>
      <c r="B713">
        <v>35</v>
      </c>
      <c r="C713" t="s">
        <v>43</v>
      </c>
      <c r="D713" t="s">
        <v>33</v>
      </c>
      <c r="E713" t="s">
        <v>34</v>
      </c>
      <c r="F713" t="s">
        <v>67</v>
      </c>
      <c r="G713" t="s">
        <v>50</v>
      </c>
      <c r="H713" t="s">
        <v>37</v>
      </c>
      <c r="I713" t="s">
        <v>38</v>
      </c>
      <c r="J713" t="s">
        <v>51</v>
      </c>
      <c r="K713">
        <v>4</v>
      </c>
      <c r="L713">
        <v>3</v>
      </c>
      <c r="M713" t="s">
        <v>60</v>
      </c>
      <c r="N713" t="s">
        <v>61</v>
      </c>
      <c r="O713" t="s">
        <v>36</v>
      </c>
      <c r="P713" t="s">
        <v>43</v>
      </c>
      <c r="Q713">
        <v>18</v>
      </c>
      <c r="R713">
        <v>1</v>
      </c>
      <c r="S713">
        <v>1</v>
      </c>
      <c r="T713">
        <v>0</v>
      </c>
      <c r="U713">
        <v>1</v>
      </c>
      <c r="V713">
        <v>7</v>
      </c>
      <c r="W713">
        <v>63</v>
      </c>
      <c r="X713">
        <v>1349</v>
      </c>
      <c r="Y713">
        <v>7713</v>
      </c>
      <c r="Z713">
        <v>2690</v>
      </c>
      <c r="AA713">
        <v>5</v>
      </c>
      <c r="AB713">
        <v>32266</v>
      </c>
      <c r="AC713" s="10">
        <v>44527</v>
      </c>
      <c r="AD713" s="10" t="s">
        <v>72</v>
      </c>
      <c r="AE713" t="s">
        <v>72</v>
      </c>
      <c r="AF713" t="s">
        <v>45</v>
      </c>
    </row>
    <row r="714" spans="1:32" x14ac:dyDescent="0.25">
      <c r="A714">
        <v>776</v>
      </c>
      <c r="B714">
        <v>52</v>
      </c>
      <c r="C714" t="s">
        <v>43</v>
      </c>
      <c r="D714" t="s">
        <v>33</v>
      </c>
      <c r="E714" t="s">
        <v>56</v>
      </c>
      <c r="F714" t="s">
        <v>35</v>
      </c>
      <c r="G714" t="s">
        <v>50</v>
      </c>
      <c r="H714" t="s">
        <v>37</v>
      </c>
      <c r="I714" t="s">
        <v>38</v>
      </c>
      <c r="J714" t="s">
        <v>69</v>
      </c>
      <c r="K714">
        <v>1</v>
      </c>
      <c r="L714">
        <v>2</v>
      </c>
      <c r="M714" t="s">
        <v>58</v>
      </c>
      <c r="N714" t="s">
        <v>61</v>
      </c>
      <c r="O714" t="s">
        <v>42</v>
      </c>
      <c r="P714" t="s">
        <v>43</v>
      </c>
      <c r="Q714">
        <v>11</v>
      </c>
      <c r="R714">
        <v>1</v>
      </c>
      <c r="S714">
        <v>34</v>
      </c>
      <c r="T714">
        <v>1</v>
      </c>
      <c r="U714">
        <v>16</v>
      </c>
      <c r="V714">
        <v>3</v>
      </c>
      <c r="W714">
        <v>31</v>
      </c>
      <c r="X714">
        <v>621</v>
      </c>
      <c r="Y714">
        <v>10084</v>
      </c>
      <c r="Z714">
        <v>16856</v>
      </c>
      <c r="AA714">
        <v>3</v>
      </c>
      <c r="AB714">
        <v>25997</v>
      </c>
      <c r="AC714" s="10">
        <v>32601</v>
      </c>
      <c r="AD714" s="10" t="s">
        <v>72</v>
      </c>
      <c r="AE714" t="s">
        <v>72</v>
      </c>
      <c r="AF714" t="s">
        <v>45</v>
      </c>
    </row>
    <row r="715" spans="1:32" x14ac:dyDescent="0.25">
      <c r="A715">
        <v>1402</v>
      </c>
      <c r="B715">
        <v>43</v>
      </c>
      <c r="C715" t="s">
        <v>43</v>
      </c>
      <c r="D715" t="s">
        <v>33</v>
      </c>
      <c r="E715" t="s">
        <v>34</v>
      </c>
      <c r="F715" t="s">
        <v>49</v>
      </c>
      <c r="G715" t="s">
        <v>36</v>
      </c>
      <c r="H715" t="s">
        <v>47</v>
      </c>
      <c r="I715" t="s">
        <v>38</v>
      </c>
      <c r="J715" t="s">
        <v>39</v>
      </c>
      <c r="K715">
        <v>3</v>
      </c>
      <c r="L715">
        <v>2</v>
      </c>
      <c r="M715" t="s">
        <v>40</v>
      </c>
      <c r="N715" t="s">
        <v>41</v>
      </c>
      <c r="O715" t="s">
        <v>42</v>
      </c>
      <c r="P715" t="s">
        <v>32</v>
      </c>
      <c r="Q715">
        <v>14</v>
      </c>
      <c r="R715">
        <v>1</v>
      </c>
      <c r="S715">
        <v>20</v>
      </c>
      <c r="T715">
        <v>1</v>
      </c>
      <c r="U715">
        <v>8</v>
      </c>
      <c r="V715">
        <v>6</v>
      </c>
      <c r="W715">
        <v>73</v>
      </c>
      <c r="X715">
        <v>930</v>
      </c>
      <c r="Y715">
        <v>20003</v>
      </c>
      <c r="Z715">
        <v>4081</v>
      </c>
      <c r="AA715">
        <v>3</v>
      </c>
      <c r="AB715">
        <v>29204</v>
      </c>
      <c r="AC715" s="10">
        <v>37624</v>
      </c>
      <c r="AD715" s="10" t="s">
        <v>72</v>
      </c>
      <c r="AE715" t="s">
        <v>72</v>
      </c>
      <c r="AF715" t="s">
        <v>45</v>
      </c>
    </row>
    <row r="716" spans="1:32" x14ac:dyDescent="0.25">
      <c r="A716">
        <v>729</v>
      </c>
      <c r="B716">
        <v>40</v>
      </c>
      <c r="C716" t="s">
        <v>43</v>
      </c>
      <c r="D716" t="s">
        <v>46</v>
      </c>
      <c r="E716" t="s">
        <v>56</v>
      </c>
      <c r="F716" t="s">
        <v>35</v>
      </c>
      <c r="G716" t="s">
        <v>59</v>
      </c>
      <c r="H716" t="s">
        <v>37</v>
      </c>
      <c r="I716" t="s">
        <v>38</v>
      </c>
      <c r="J716" t="s">
        <v>57</v>
      </c>
      <c r="K716">
        <v>1</v>
      </c>
      <c r="L716">
        <v>4</v>
      </c>
      <c r="M716" t="s">
        <v>48</v>
      </c>
      <c r="N716" t="s">
        <v>61</v>
      </c>
      <c r="O716" t="s">
        <v>36</v>
      </c>
      <c r="P716" t="s">
        <v>32</v>
      </c>
      <c r="Q716">
        <v>21</v>
      </c>
      <c r="R716">
        <v>5</v>
      </c>
      <c r="S716">
        <v>20</v>
      </c>
      <c r="T716">
        <v>1</v>
      </c>
      <c r="U716">
        <v>12</v>
      </c>
      <c r="V716">
        <v>5</v>
      </c>
      <c r="W716">
        <v>48</v>
      </c>
      <c r="X716">
        <v>580</v>
      </c>
      <c r="Y716">
        <v>23772</v>
      </c>
      <c r="Z716">
        <v>10475</v>
      </c>
      <c r="AA716">
        <v>2</v>
      </c>
      <c r="AB716">
        <v>30275</v>
      </c>
      <c r="AC716" s="10">
        <v>38321</v>
      </c>
      <c r="AD716" s="10" t="s">
        <v>72</v>
      </c>
      <c r="AE716" t="s">
        <v>72</v>
      </c>
      <c r="AF716" t="s">
        <v>45</v>
      </c>
    </row>
    <row r="717" spans="1:32" x14ac:dyDescent="0.25">
      <c r="A717">
        <v>327</v>
      </c>
      <c r="B717">
        <v>43</v>
      </c>
      <c r="C717" t="s">
        <v>43</v>
      </c>
      <c r="D717" t="s">
        <v>33</v>
      </c>
      <c r="E717" t="s">
        <v>56</v>
      </c>
      <c r="F717" t="s">
        <v>49</v>
      </c>
      <c r="G717" t="s">
        <v>59</v>
      </c>
      <c r="H717" t="s">
        <v>47</v>
      </c>
      <c r="I717" t="s">
        <v>50</v>
      </c>
      <c r="J717" t="s">
        <v>69</v>
      </c>
      <c r="K717">
        <v>4</v>
      </c>
      <c r="L717">
        <v>4</v>
      </c>
      <c r="M717" t="s">
        <v>48</v>
      </c>
      <c r="N717" t="s">
        <v>61</v>
      </c>
      <c r="O717" t="s">
        <v>36</v>
      </c>
      <c r="P717" t="s">
        <v>32</v>
      </c>
      <c r="Q717">
        <v>22</v>
      </c>
      <c r="R717">
        <v>5</v>
      </c>
      <c r="S717">
        <v>22</v>
      </c>
      <c r="T717">
        <v>1</v>
      </c>
      <c r="U717">
        <v>9</v>
      </c>
      <c r="V717">
        <v>16</v>
      </c>
      <c r="W717">
        <v>80</v>
      </c>
      <c r="X717">
        <v>1034</v>
      </c>
      <c r="Y717">
        <v>7744</v>
      </c>
      <c r="Z717">
        <v>16064</v>
      </c>
      <c r="AA717">
        <v>3</v>
      </c>
      <c r="AB717">
        <v>29214</v>
      </c>
      <c r="AC717" s="10">
        <v>38873</v>
      </c>
      <c r="AD717" s="10" t="s">
        <v>72</v>
      </c>
      <c r="AE717" t="s">
        <v>72</v>
      </c>
      <c r="AF717" t="s">
        <v>45</v>
      </c>
    </row>
    <row r="718" spans="1:32" x14ac:dyDescent="0.25">
      <c r="A718">
        <v>1621</v>
      </c>
      <c r="B718">
        <v>35</v>
      </c>
      <c r="C718" t="s">
        <v>43</v>
      </c>
      <c r="D718" t="s">
        <v>33</v>
      </c>
      <c r="E718" t="s">
        <v>34</v>
      </c>
      <c r="F718" t="s">
        <v>70</v>
      </c>
      <c r="G718" t="s">
        <v>38</v>
      </c>
      <c r="H718" t="s">
        <v>37</v>
      </c>
      <c r="I718" t="s">
        <v>59</v>
      </c>
      <c r="J718" t="s">
        <v>39</v>
      </c>
      <c r="K718">
        <v>1</v>
      </c>
      <c r="L718">
        <v>2</v>
      </c>
      <c r="M718" t="s">
        <v>48</v>
      </c>
      <c r="N718" t="s">
        <v>61</v>
      </c>
      <c r="O718" t="s">
        <v>42</v>
      </c>
      <c r="P718" t="s">
        <v>43</v>
      </c>
      <c r="Q718">
        <v>11</v>
      </c>
      <c r="R718">
        <v>1</v>
      </c>
      <c r="S718">
        <v>16</v>
      </c>
      <c r="T718">
        <v>1</v>
      </c>
      <c r="U718">
        <v>10</v>
      </c>
      <c r="V718">
        <v>18</v>
      </c>
      <c r="W718">
        <v>48</v>
      </c>
      <c r="X718">
        <v>819</v>
      </c>
      <c r="Y718">
        <v>26312</v>
      </c>
      <c r="Z718">
        <v>5208</v>
      </c>
      <c r="AA718">
        <v>2</v>
      </c>
      <c r="AB718">
        <v>32116</v>
      </c>
      <c r="AC718" s="10">
        <v>39058</v>
      </c>
      <c r="AD718" s="10" t="s">
        <v>72</v>
      </c>
      <c r="AE718" t="s">
        <v>72</v>
      </c>
      <c r="AF718" t="s">
        <v>45</v>
      </c>
    </row>
    <row r="719" spans="1:32" x14ac:dyDescent="0.25">
      <c r="A719">
        <v>1080</v>
      </c>
      <c r="B719">
        <v>46</v>
      </c>
      <c r="C719" t="s">
        <v>43</v>
      </c>
      <c r="D719" t="s">
        <v>33</v>
      </c>
      <c r="E719" t="s">
        <v>34</v>
      </c>
      <c r="F719" t="s">
        <v>35</v>
      </c>
      <c r="G719" t="s">
        <v>59</v>
      </c>
      <c r="H719" t="s">
        <v>47</v>
      </c>
      <c r="I719" t="s">
        <v>38</v>
      </c>
      <c r="J719" t="s">
        <v>39</v>
      </c>
      <c r="K719">
        <v>1</v>
      </c>
      <c r="L719">
        <v>4</v>
      </c>
      <c r="M719" t="s">
        <v>48</v>
      </c>
      <c r="N719" t="s">
        <v>52</v>
      </c>
      <c r="O719" t="s">
        <v>50</v>
      </c>
      <c r="P719" t="s">
        <v>32</v>
      </c>
      <c r="Q719">
        <v>23</v>
      </c>
      <c r="R719">
        <v>8</v>
      </c>
      <c r="S719">
        <v>19</v>
      </c>
      <c r="T719">
        <v>1</v>
      </c>
      <c r="U719">
        <v>7</v>
      </c>
      <c r="V719">
        <v>8</v>
      </c>
      <c r="W719">
        <v>74</v>
      </c>
      <c r="X719">
        <v>1003</v>
      </c>
      <c r="Y719">
        <v>21029</v>
      </c>
      <c r="Z719">
        <v>4615</v>
      </c>
      <c r="AA719">
        <v>2</v>
      </c>
      <c r="AB719">
        <v>28230</v>
      </c>
      <c r="AC719" s="10">
        <v>39206</v>
      </c>
      <c r="AD719" s="10" t="s">
        <v>72</v>
      </c>
      <c r="AE719" t="s">
        <v>72</v>
      </c>
      <c r="AF719" t="s">
        <v>45</v>
      </c>
    </row>
    <row r="720" spans="1:32" x14ac:dyDescent="0.25">
      <c r="A720">
        <v>1520</v>
      </c>
      <c r="B720">
        <v>54</v>
      </c>
      <c r="C720" t="s">
        <v>43</v>
      </c>
      <c r="D720" t="s">
        <v>46</v>
      </c>
      <c r="E720" t="s">
        <v>34</v>
      </c>
      <c r="F720" t="s">
        <v>35</v>
      </c>
      <c r="G720" t="s">
        <v>38</v>
      </c>
      <c r="H720" t="s">
        <v>47</v>
      </c>
      <c r="I720" t="s">
        <v>50</v>
      </c>
      <c r="J720" t="s">
        <v>69</v>
      </c>
      <c r="K720">
        <v>4</v>
      </c>
      <c r="L720">
        <v>4</v>
      </c>
      <c r="M720" t="s">
        <v>48</v>
      </c>
      <c r="N720" t="s">
        <v>52</v>
      </c>
      <c r="O720" t="s">
        <v>36</v>
      </c>
      <c r="P720" t="s">
        <v>43</v>
      </c>
      <c r="Q720">
        <v>20</v>
      </c>
      <c r="R720">
        <v>3</v>
      </c>
      <c r="S720">
        <v>26</v>
      </c>
      <c r="T720">
        <v>1</v>
      </c>
      <c r="U720">
        <v>12</v>
      </c>
      <c r="V720">
        <v>11</v>
      </c>
      <c r="W720">
        <v>87</v>
      </c>
      <c r="X720">
        <v>1050</v>
      </c>
      <c r="Y720">
        <v>24456</v>
      </c>
      <c r="Z720">
        <v>16032</v>
      </c>
      <c r="AA720">
        <v>2</v>
      </c>
      <c r="AB720">
        <v>25338</v>
      </c>
      <c r="AC720" s="10">
        <v>39720</v>
      </c>
      <c r="AD720" s="10" t="s">
        <v>72</v>
      </c>
      <c r="AE720" t="s">
        <v>72</v>
      </c>
      <c r="AF720" t="s">
        <v>45</v>
      </c>
    </row>
    <row r="721" spans="1:32" x14ac:dyDescent="0.25">
      <c r="A721">
        <v>107</v>
      </c>
      <c r="B721">
        <v>38</v>
      </c>
      <c r="C721" t="s">
        <v>43</v>
      </c>
      <c r="D721" t="s">
        <v>63</v>
      </c>
      <c r="E721" t="s">
        <v>34</v>
      </c>
      <c r="F721" t="s">
        <v>49</v>
      </c>
      <c r="G721" t="s">
        <v>38</v>
      </c>
      <c r="H721" t="s">
        <v>47</v>
      </c>
      <c r="I721" t="s">
        <v>36</v>
      </c>
      <c r="J721" t="s">
        <v>39</v>
      </c>
      <c r="K721">
        <v>4</v>
      </c>
      <c r="L721">
        <v>2</v>
      </c>
      <c r="M721" t="s">
        <v>48</v>
      </c>
      <c r="N721" t="s">
        <v>52</v>
      </c>
      <c r="O721" t="s">
        <v>50</v>
      </c>
      <c r="P721" t="s">
        <v>32</v>
      </c>
      <c r="Q721">
        <v>12</v>
      </c>
      <c r="R721">
        <v>7</v>
      </c>
      <c r="S721">
        <v>17</v>
      </c>
      <c r="T721">
        <v>1</v>
      </c>
      <c r="U721">
        <v>9</v>
      </c>
      <c r="V721">
        <v>6</v>
      </c>
      <c r="W721">
        <v>79</v>
      </c>
      <c r="X721">
        <v>573</v>
      </c>
      <c r="Y721">
        <v>15717</v>
      </c>
      <c r="Z721">
        <v>5329</v>
      </c>
      <c r="AA721">
        <v>3</v>
      </c>
      <c r="AB721">
        <v>31025</v>
      </c>
      <c r="AC721" s="10">
        <v>40246</v>
      </c>
      <c r="AD721" s="10" t="s">
        <v>72</v>
      </c>
      <c r="AE721" t="s">
        <v>72</v>
      </c>
      <c r="AF721" t="s">
        <v>45</v>
      </c>
    </row>
    <row r="722" spans="1:32" x14ac:dyDescent="0.25">
      <c r="A722">
        <v>2026</v>
      </c>
      <c r="B722">
        <v>56</v>
      </c>
      <c r="C722" t="s">
        <v>43</v>
      </c>
      <c r="D722" t="s">
        <v>63</v>
      </c>
      <c r="E722" t="s">
        <v>34</v>
      </c>
      <c r="F722" t="s">
        <v>35</v>
      </c>
      <c r="G722" t="s">
        <v>50</v>
      </c>
      <c r="H722" t="s">
        <v>37</v>
      </c>
      <c r="I722" t="s">
        <v>50</v>
      </c>
      <c r="J722" t="s">
        <v>62</v>
      </c>
      <c r="K722">
        <v>3</v>
      </c>
      <c r="L722">
        <v>4</v>
      </c>
      <c r="M722" t="s">
        <v>60</v>
      </c>
      <c r="N722" t="s">
        <v>52</v>
      </c>
      <c r="O722" t="s">
        <v>36</v>
      </c>
      <c r="P722" t="s">
        <v>43</v>
      </c>
      <c r="Q722">
        <v>21</v>
      </c>
      <c r="R722">
        <v>1</v>
      </c>
      <c r="S722">
        <v>13</v>
      </c>
      <c r="T722">
        <v>1</v>
      </c>
      <c r="U722">
        <v>9</v>
      </c>
      <c r="V722">
        <v>1</v>
      </c>
      <c r="W722">
        <v>57</v>
      </c>
      <c r="X722">
        <v>667</v>
      </c>
      <c r="Y722">
        <v>26236</v>
      </c>
      <c r="Z722">
        <v>6306</v>
      </c>
      <c r="AA722">
        <v>2</v>
      </c>
      <c r="AB722">
        <v>24412</v>
      </c>
      <c r="AC722" s="10">
        <v>40327</v>
      </c>
      <c r="AD722" s="10" t="s">
        <v>72</v>
      </c>
      <c r="AE722" t="s">
        <v>72</v>
      </c>
      <c r="AF722" t="s">
        <v>45</v>
      </c>
    </row>
    <row r="723" spans="1:32" x14ac:dyDescent="0.25">
      <c r="A723">
        <v>1233</v>
      </c>
      <c r="B723">
        <v>60</v>
      </c>
      <c r="C723" t="s">
        <v>43</v>
      </c>
      <c r="D723" t="s">
        <v>33</v>
      </c>
      <c r="E723" t="s">
        <v>56</v>
      </c>
      <c r="F723" t="s">
        <v>35</v>
      </c>
      <c r="G723" t="s">
        <v>38</v>
      </c>
      <c r="H723" t="s">
        <v>37</v>
      </c>
      <c r="I723" t="s">
        <v>59</v>
      </c>
      <c r="J723" t="s">
        <v>57</v>
      </c>
      <c r="K723">
        <v>4</v>
      </c>
      <c r="L723">
        <v>2</v>
      </c>
      <c r="M723" t="s">
        <v>48</v>
      </c>
      <c r="N723" t="s">
        <v>52</v>
      </c>
      <c r="O723" t="s">
        <v>36</v>
      </c>
      <c r="P723" t="s">
        <v>32</v>
      </c>
      <c r="Q723">
        <v>18</v>
      </c>
      <c r="R723">
        <v>0</v>
      </c>
      <c r="S723">
        <v>12</v>
      </c>
      <c r="T723">
        <v>1</v>
      </c>
      <c r="U723">
        <v>9</v>
      </c>
      <c r="V723">
        <v>7</v>
      </c>
      <c r="W723">
        <v>52</v>
      </c>
      <c r="X723">
        <v>696</v>
      </c>
      <c r="Y723">
        <v>10893</v>
      </c>
      <c r="Z723">
        <v>5220</v>
      </c>
      <c r="AA723">
        <v>3</v>
      </c>
      <c r="AB723">
        <v>22985</v>
      </c>
      <c r="AC723" s="10">
        <v>40825</v>
      </c>
      <c r="AD723" s="10" t="s">
        <v>72</v>
      </c>
      <c r="AE723" t="s">
        <v>72</v>
      </c>
      <c r="AF723" t="s">
        <v>45</v>
      </c>
    </row>
    <row r="724" spans="1:32" x14ac:dyDescent="0.25">
      <c r="A724">
        <v>98</v>
      </c>
      <c r="B724">
        <v>31</v>
      </c>
      <c r="C724" t="s">
        <v>43</v>
      </c>
      <c r="D724" t="s">
        <v>33</v>
      </c>
      <c r="E724" t="s">
        <v>34</v>
      </c>
      <c r="F724" t="s">
        <v>35</v>
      </c>
      <c r="G724" t="s">
        <v>50</v>
      </c>
      <c r="H724" t="s">
        <v>47</v>
      </c>
      <c r="I724" t="s">
        <v>50</v>
      </c>
      <c r="J724" t="s">
        <v>65</v>
      </c>
      <c r="K724">
        <v>4</v>
      </c>
      <c r="L724">
        <v>4</v>
      </c>
      <c r="M724" t="s">
        <v>48</v>
      </c>
      <c r="N724" t="s">
        <v>41</v>
      </c>
      <c r="O724" t="s">
        <v>42</v>
      </c>
      <c r="P724" t="s">
        <v>43</v>
      </c>
      <c r="Q724">
        <v>23</v>
      </c>
      <c r="R724">
        <v>1</v>
      </c>
      <c r="S724">
        <v>11</v>
      </c>
      <c r="T724">
        <v>1</v>
      </c>
      <c r="U724">
        <v>8</v>
      </c>
      <c r="V724">
        <v>8</v>
      </c>
      <c r="W724">
        <v>61</v>
      </c>
      <c r="X724">
        <v>746</v>
      </c>
      <c r="Y724">
        <v>20682</v>
      </c>
      <c r="Z724">
        <v>4424</v>
      </c>
      <c r="AA724">
        <v>2</v>
      </c>
      <c r="AB724">
        <v>33802</v>
      </c>
      <c r="AC724" s="10">
        <v>40901</v>
      </c>
      <c r="AD724" s="10" t="s">
        <v>72</v>
      </c>
      <c r="AE724" t="s">
        <v>72</v>
      </c>
      <c r="AF724" t="s">
        <v>45</v>
      </c>
    </row>
    <row r="725" spans="1:32" x14ac:dyDescent="0.25">
      <c r="A725">
        <v>120</v>
      </c>
      <c r="B725">
        <v>51</v>
      </c>
      <c r="C725" t="s">
        <v>43</v>
      </c>
      <c r="D725" t="s">
        <v>33</v>
      </c>
      <c r="E725" t="s">
        <v>56</v>
      </c>
      <c r="F725" t="s">
        <v>35</v>
      </c>
      <c r="G725" t="s">
        <v>50</v>
      </c>
      <c r="H725" t="s">
        <v>37</v>
      </c>
      <c r="I725" t="s">
        <v>50</v>
      </c>
      <c r="J725" t="s">
        <v>57</v>
      </c>
      <c r="K725">
        <v>4</v>
      </c>
      <c r="L725">
        <v>4</v>
      </c>
      <c r="M725" t="s">
        <v>40</v>
      </c>
      <c r="N725" t="s">
        <v>41</v>
      </c>
      <c r="O725" t="s">
        <v>42</v>
      </c>
      <c r="P725" t="s">
        <v>32</v>
      </c>
      <c r="Q725">
        <v>22</v>
      </c>
      <c r="R725">
        <v>0</v>
      </c>
      <c r="S725">
        <v>11</v>
      </c>
      <c r="T725">
        <v>1</v>
      </c>
      <c r="U725">
        <v>0</v>
      </c>
      <c r="V725">
        <v>21</v>
      </c>
      <c r="W725">
        <v>71</v>
      </c>
      <c r="X725">
        <v>632</v>
      </c>
      <c r="Y725">
        <v>8423</v>
      </c>
      <c r="Z725">
        <v>5441</v>
      </c>
      <c r="AA725">
        <v>2</v>
      </c>
      <c r="AB725">
        <v>26365</v>
      </c>
      <c r="AC725" s="10">
        <v>41344</v>
      </c>
      <c r="AD725" s="10" t="s">
        <v>72</v>
      </c>
      <c r="AE725" t="s">
        <v>72</v>
      </c>
      <c r="AF725" t="s">
        <v>45</v>
      </c>
    </row>
    <row r="726" spans="1:32" x14ac:dyDescent="0.25">
      <c r="A726">
        <v>1252</v>
      </c>
      <c r="B726">
        <v>31</v>
      </c>
      <c r="C726" t="s">
        <v>43</v>
      </c>
      <c r="D726" t="s">
        <v>33</v>
      </c>
      <c r="E726" t="s">
        <v>34</v>
      </c>
      <c r="F726" t="s">
        <v>49</v>
      </c>
      <c r="G726" t="s">
        <v>50</v>
      </c>
      <c r="H726" t="s">
        <v>47</v>
      </c>
      <c r="I726" t="s">
        <v>38</v>
      </c>
      <c r="J726" t="s">
        <v>62</v>
      </c>
      <c r="K726">
        <v>1</v>
      </c>
      <c r="L726">
        <v>1</v>
      </c>
      <c r="M726" t="s">
        <v>48</v>
      </c>
      <c r="N726" t="s">
        <v>41</v>
      </c>
      <c r="O726" t="s">
        <v>42</v>
      </c>
      <c r="P726" t="s">
        <v>43</v>
      </c>
      <c r="Q726">
        <v>19</v>
      </c>
      <c r="R726">
        <v>1</v>
      </c>
      <c r="S726">
        <v>10</v>
      </c>
      <c r="T726">
        <v>1</v>
      </c>
      <c r="U726">
        <v>8</v>
      </c>
      <c r="V726">
        <v>24</v>
      </c>
      <c r="W726">
        <v>96</v>
      </c>
      <c r="X726">
        <v>1062</v>
      </c>
      <c r="Y726">
        <v>17198</v>
      </c>
      <c r="Z726">
        <v>6812</v>
      </c>
      <c r="AA726">
        <v>2</v>
      </c>
      <c r="AB726">
        <v>33633</v>
      </c>
      <c r="AC726" s="10">
        <v>41417</v>
      </c>
      <c r="AD726" s="10" t="s">
        <v>72</v>
      </c>
      <c r="AE726" t="s">
        <v>72</v>
      </c>
      <c r="AF726" t="s">
        <v>45</v>
      </c>
    </row>
    <row r="727" spans="1:32" x14ac:dyDescent="0.25">
      <c r="A727">
        <v>2</v>
      </c>
      <c r="B727">
        <v>49</v>
      </c>
      <c r="C727" t="s">
        <v>43</v>
      </c>
      <c r="D727" t="s">
        <v>46</v>
      </c>
      <c r="E727" t="s">
        <v>34</v>
      </c>
      <c r="F727" t="s">
        <v>64</v>
      </c>
      <c r="G727" t="s">
        <v>50</v>
      </c>
      <c r="H727" t="s">
        <v>37</v>
      </c>
      <c r="I727" t="s">
        <v>38</v>
      </c>
      <c r="J727" t="s">
        <v>39</v>
      </c>
      <c r="K727">
        <v>2</v>
      </c>
      <c r="L727">
        <v>4</v>
      </c>
      <c r="M727" t="s">
        <v>48</v>
      </c>
      <c r="N727" t="s">
        <v>61</v>
      </c>
      <c r="O727" t="s">
        <v>36</v>
      </c>
      <c r="P727" t="s">
        <v>43</v>
      </c>
      <c r="Q727">
        <v>23</v>
      </c>
      <c r="R727">
        <v>1</v>
      </c>
      <c r="S727">
        <v>10</v>
      </c>
      <c r="T727">
        <v>1</v>
      </c>
      <c r="U727">
        <v>7</v>
      </c>
      <c r="V727">
        <v>8</v>
      </c>
      <c r="W727">
        <v>61</v>
      </c>
      <c r="X727">
        <v>279</v>
      </c>
      <c r="Y727">
        <v>24907</v>
      </c>
      <c r="Z727">
        <v>5130</v>
      </c>
      <c r="AA727">
        <v>3</v>
      </c>
      <c r="AB727">
        <v>26959</v>
      </c>
      <c r="AC727" s="10">
        <v>41429</v>
      </c>
      <c r="AD727" s="10" t="s">
        <v>72</v>
      </c>
      <c r="AE727" t="s">
        <v>72</v>
      </c>
      <c r="AF727" t="s">
        <v>45</v>
      </c>
    </row>
    <row r="728" spans="1:32" x14ac:dyDescent="0.25">
      <c r="A728">
        <v>12</v>
      </c>
      <c r="B728">
        <v>38</v>
      </c>
      <c r="C728" t="s">
        <v>43</v>
      </c>
      <c r="D728" t="s">
        <v>46</v>
      </c>
      <c r="E728" t="s">
        <v>34</v>
      </c>
      <c r="F728" t="s">
        <v>49</v>
      </c>
      <c r="G728" t="s">
        <v>59</v>
      </c>
      <c r="H728" t="s">
        <v>37</v>
      </c>
      <c r="I728" t="s">
        <v>38</v>
      </c>
      <c r="J728" t="s">
        <v>65</v>
      </c>
      <c r="K728">
        <v>3</v>
      </c>
      <c r="L728">
        <v>4</v>
      </c>
      <c r="M728" t="s">
        <v>48</v>
      </c>
      <c r="N728" t="s">
        <v>41</v>
      </c>
      <c r="O728" t="s">
        <v>42</v>
      </c>
      <c r="P728" t="s">
        <v>43</v>
      </c>
      <c r="Q728">
        <v>21</v>
      </c>
      <c r="R728">
        <v>0</v>
      </c>
      <c r="S728">
        <v>10</v>
      </c>
      <c r="T728">
        <v>1</v>
      </c>
      <c r="U728">
        <v>8</v>
      </c>
      <c r="V728">
        <v>23</v>
      </c>
      <c r="W728">
        <v>44</v>
      </c>
      <c r="X728">
        <v>216</v>
      </c>
      <c r="Y728">
        <v>8787</v>
      </c>
      <c r="Z728">
        <v>9526</v>
      </c>
      <c r="AA728">
        <v>2</v>
      </c>
      <c r="AB728">
        <v>30930</v>
      </c>
      <c r="AC728" s="10">
        <v>41527</v>
      </c>
      <c r="AD728" s="10" t="s">
        <v>72</v>
      </c>
      <c r="AE728" t="s">
        <v>72</v>
      </c>
      <c r="AF728" t="s">
        <v>45</v>
      </c>
    </row>
    <row r="729" spans="1:32" x14ac:dyDescent="0.25">
      <c r="A729">
        <v>1423</v>
      </c>
      <c r="B729">
        <v>58</v>
      </c>
      <c r="C729" t="s">
        <v>43</v>
      </c>
      <c r="D729" t="s">
        <v>33</v>
      </c>
      <c r="E729" t="s">
        <v>34</v>
      </c>
      <c r="F729" t="s">
        <v>49</v>
      </c>
      <c r="G729" t="s">
        <v>59</v>
      </c>
      <c r="H729" t="s">
        <v>47</v>
      </c>
      <c r="I729" t="s">
        <v>50</v>
      </c>
      <c r="J729" t="s">
        <v>71</v>
      </c>
      <c r="K729">
        <v>1</v>
      </c>
      <c r="L729">
        <v>4</v>
      </c>
      <c r="M729" t="s">
        <v>48</v>
      </c>
      <c r="N729" t="s">
        <v>61</v>
      </c>
      <c r="O729" t="s">
        <v>36</v>
      </c>
      <c r="P729" t="s">
        <v>32</v>
      </c>
      <c r="Q729">
        <v>21</v>
      </c>
      <c r="R729">
        <v>3</v>
      </c>
      <c r="S729">
        <v>32</v>
      </c>
      <c r="T729">
        <v>1</v>
      </c>
      <c r="U729">
        <v>5</v>
      </c>
      <c r="V729">
        <v>1</v>
      </c>
      <c r="W729">
        <v>76</v>
      </c>
      <c r="X729">
        <v>1055</v>
      </c>
      <c r="Y729">
        <v>22456</v>
      </c>
      <c r="Z729">
        <v>19701</v>
      </c>
      <c r="AA729">
        <v>3</v>
      </c>
      <c r="AB729">
        <v>23689</v>
      </c>
      <c r="AC729" s="10">
        <v>41558</v>
      </c>
      <c r="AD729" s="10" t="s">
        <v>72</v>
      </c>
      <c r="AE729" t="s">
        <v>72</v>
      </c>
      <c r="AF729" t="s">
        <v>45</v>
      </c>
    </row>
    <row r="730" spans="1:32" x14ac:dyDescent="0.25">
      <c r="A730">
        <v>724</v>
      </c>
      <c r="B730">
        <v>38</v>
      </c>
      <c r="C730" t="s">
        <v>43</v>
      </c>
      <c r="D730" t="s">
        <v>33</v>
      </c>
      <c r="E730" t="s">
        <v>34</v>
      </c>
      <c r="F730" t="s">
        <v>35</v>
      </c>
      <c r="G730" t="s">
        <v>38</v>
      </c>
      <c r="H730" t="s">
        <v>47</v>
      </c>
      <c r="I730" t="s">
        <v>59</v>
      </c>
      <c r="J730" t="s">
        <v>62</v>
      </c>
      <c r="K730">
        <v>4</v>
      </c>
      <c r="L730">
        <v>2</v>
      </c>
      <c r="M730" t="s">
        <v>60</v>
      </c>
      <c r="N730" t="s">
        <v>41</v>
      </c>
      <c r="O730" t="s">
        <v>42</v>
      </c>
      <c r="P730" t="s">
        <v>43</v>
      </c>
      <c r="Q730">
        <v>13</v>
      </c>
      <c r="R730">
        <v>0</v>
      </c>
      <c r="S730">
        <v>10</v>
      </c>
      <c r="T730">
        <v>1</v>
      </c>
      <c r="U730">
        <v>8</v>
      </c>
      <c r="V730">
        <v>1</v>
      </c>
      <c r="W730">
        <v>33</v>
      </c>
      <c r="X730">
        <v>827</v>
      </c>
      <c r="Y730">
        <v>19383</v>
      </c>
      <c r="Z730">
        <v>7625</v>
      </c>
      <c r="AA730">
        <v>4</v>
      </c>
      <c r="AB730">
        <v>31258</v>
      </c>
      <c r="AC730" s="10">
        <v>41567</v>
      </c>
      <c r="AD730" s="10" t="s">
        <v>72</v>
      </c>
      <c r="AE730" t="s">
        <v>72</v>
      </c>
      <c r="AF730" t="s">
        <v>45</v>
      </c>
    </row>
    <row r="731" spans="1:32" x14ac:dyDescent="0.25">
      <c r="A731">
        <v>733</v>
      </c>
      <c r="B731">
        <v>27</v>
      </c>
      <c r="C731" t="s">
        <v>43</v>
      </c>
      <c r="D731" t="s">
        <v>46</v>
      </c>
      <c r="E731" t="s">
        <v>34</v>
      </c>
      <c r="F731" t="s">
        <v>67</v>
      </c>
      <c r="G731" t="s">
        <v>59</v>
      </c>
      <c r="H731" t="s">
        <v>37</v>
      </c>
      <c r="I731" t="s">
        <v>50</v>
      </c>
      <c r="J731" t="s">
        <v>65</v>
      </c>
      <c r="K731">
        <v>1</v>
      </c>
      <c r="L731">
        <v>4</v>
      </c>
      <c r="M731" t="s">
        <v>60</v>
      </c>
      <c r="N731" t="s">
        <v>52</v>
      </c>
      <c r="O731" t="s">
        <v>53</v>
      </c>
      <c r="P731" t="s">
        <v>43</v>
      </c>
      <c r="Q731">
        <v>21</v>
      </c>
      <c r="R731">
        <v>1</v>
      </c>
      <c r="S731">
        <v>9</v>
      </c>
      <c r="T731">
        <v>1</v>
      </c>
      <c r="U731">
        <v>7</v>
      </c>
      <c r="V731">
        <v>10</v>
      </c>
      <c r="W731">
        <v>32</v>
      </c>
      <c r="X731">
        <v>294</v>
      </c>
      <c r="Y731">
        <v>4809</v>
      </c>
      <c r="Z731">
        <v>8793</v>
      </c>
      <c r="AA731">
        <v>4</v>
      </c>
      <c r="AB731">
        <v>35043</v>
      </c>
      <c r="AC731" s="10">
        <v>41698</v>
      </c>
      <c r="AD731" s="10" t="s">
        <v>72</v>
      </c>
      <c r="AE731" t="s">
        <v>72</v>
      </c>
      <c r="AF731" t="s">
        <v>45</v>
      </c>
    </row>
    <row r="732" spans="1:32" x14ac:dyDescent="0.25">
      <c r="A732">
        <v>74</v>
      </c>
      <c r="B732">
        <v>35</v>
      </c>
      <c r="C732" t="s">
        <v>43</v>
      </c>
      <c r="D732" t="s">
        <v>46</v>
      </c>
      <c r="E732" t="s">
        <v>56</v>
      </c>
      <c r="F732" t="s">
        <v>70</v>
      </c>
      <c r="G732" t="s">
        <v>38</v>
      </c>
      <c r="H732" t="s">
        <v>37</v>
      </c>
      <c r="I732" t="s">
        <v>50</v>
      </c>
      <c r="J732" t="s">
        <v>57</v>
      </c>
      <c r="K732">
        <v>1</v>
      </c>
      <c r="L732">
        <v>4</v>
      </c>
      <c r="M732" t="s">
        <v>60</v>
      </c>
      <c r="N732" t="s">
        <v>61</v>
      </c>
      <c r="O732" t="s">
        <v>36</v>
      </c>
      <c r="P732" t="s">
        <v>43</v>
      </c>
      <c r="Q732">
        <v>22</v>
      </c>
      <c r="R732">
        <v>1</v>
      </c>
      <c r="S732">
        <v>9</v>
      </c>
      <c r="T732">
        <v>1</v>
      </c>
      <c r="U732">
        <v>8</v>
      </c>
      <c r="V732">
        <v>18</v>
      </c>
      <c r="W732">
        <v>71</v>
      </c>
      <c r="X732">
        <v>853</v>
      </c>
      <c r="Y732">
        <v>11031</v>
      </c>
      <c r="Z732">
        <v>9069</v>
      </c>
      <c r="AA732">
        <v>3</v>
      </c>
      <c r="AB732">
        <v>31998</v>
      </c>
      <c r="AC732" s="10">
        <v>41710</v>
      </c>
      <c r="AD732" s="10" t="s">
        <v>72</v>
      </c>
      <c r="AE732" t="s">
        <v>72</v>
      </c>
      <c r="AF732" t="s">
        <v>45</v>
      </c>
    </row>
    <row r="733" spans="1:32" x14ac:dyDescent="0.25">
      <c r="A733">
        <v>227</v>
      </c>
      <c r="B733">
        <v>41</v>
      </c>
      <c r="C733" t="s">
        <v>43</v>
      </c>
      <c r="D733" t="s">
        <v>33</v>
      </c>
      <c r="E733" t="s">
        <v>34</v>
      </c>
      <c r="F733" t="s">
        <v>49</v>
      </c>
      <c r="G733" t="s">
        <v>36</v>
      </c>
      <c r="H733" t="s">
        <v>37</v>
      </c>
      <c r="I733" t="s">
        <v>50</v>
      </c>
      <c r="J733" t="s">
        <v>39</v>
      </c>
      <c r="K733">
        <v>3</v>
      </c>
      <c r="L733">
        <v>2</v>
      </c>
      <c r="M733" t="s">
        <v>48</v>
      </c>
      <c r="N733" t="s">
        <v>52</v>
      </c>
      <c r="O733" t="s">
        <v>36</v>
      </c>
      <c r="P733" t="s">
        <v>43</v>
      </c>
      <c r="Q733">
        <v>12</v>
      </c>
      <c r="R733">
        <v>4</v>
      </c>
      <c r="S733">
        <v>13</v>
      </c>
      <c r="T733">
        <v>1</v>
      </c>
      <c r="U733">
        <v>8</v>
      </c>
      <c r="V733">
        <v>14</v>
      </c>
      <c r="W733">
        <v>56</v>
      </c>
      <c r="X733">
        <v>465</v>
      </c>
      <c r="Y733">
        <v>4609</v>
      </c>
      <c r="Z733">
        <v>2451</v>
      </c>
      <c r="AA733">
        <v>2</v>
      </c>
      <c r="AB733">
        <v>29805</v>
      </c>
      <c r="AC733" s="10">
        <v>41719</v>
      </c>
      <c r="AD733" s="10" t="s">
        <v>72</v>
      </c>
      <c r="AE733" t="s">
        <v>72</v>
      </c>
      <c r="AF733" t="s">
        <v>45</v>
      </c>
    </row>
    <row r="734" spans="1:32" x14ac:dyDescent="0.25">
      <c r="A734">
        <v>1349</v>
      </c>
      <c r="B734">
        <v>41</v>
      </c>
      <c r="C734" t="s">
        <v>43</v>
      </c>
      <c r="D734" t="s">
        <v>46</v>
      </c>
      <c r="E734" t="s">
        <v>56</v>
      </c>
      <c r="F734" t="s">
        <v>49</v>
      </c>
      <c r="G734" t="s">
        <v>50</v>
      </c>
      <c r="H734" t="s">
        <v>47</v>
      </c>
      <c r="I734" t="s">
        <v>50</v>
      </c>
      <c r="J734" t="s">
        <v>57</v>
      </c>
      <c r="K734">
        <v>1</v>
      </c>
      <c r="L734">
        <v>1</v>
      </c>
      <c r="M734" t="s">
        <v>48</v>
      </c>
      <c r="N734" t="s">
        <v>52</v>
      </c>
      <c r="O734" t="s">
        <v>36</v>
      </c>
      <c r="P734" t="s">
        <v>43</v>
      </c>
      <c r="Q734">
        <v>17</v>
      </c>
      <c r="R734">
        <v>0</v>
      </c>
      <c r="S734">
        <v>10</v>
      </c>
      <c r="T734">
        <v>1</v>
      </c>
      <c r="U734">
        <v>7</v>
      </c>
      <c r="V734">
        <v>1</v>
      </c>
      <c r="W734">
        <v>66</v>
      </c>
      <c r="X734">
        <v>1018</v>
      </c>
      <c r="Y734">
        <v>4297</v>
      </c>
      <c r="Z734">
        <v>4103</v>
      </c>
      <c r="AA734">
        <v>2</v>
      </c>
      <c r="AB734">
        <v>30034</v>
      </c>
      <c r="AC734" s="10">
        <v>41840</v>
      </c>
      <c r="AD734" s="10" t="s">
        <v>72</v>
      </c>
      <c r="AE734" t="s">
        <v>72</v>
      </c>
      <c r="AF734" t="s">
        <v>45</v>
      </c>
    </row>
    <row r="735" spans="1:32" x14ac:dyDescent="0.25">
      <c r="A735">
        <v>252</v>
      </c>
      <c r="B735">
        <v>33</v>
      </c>
      <c r="C735" t="s">
        <v>43</v>
      </c>
      <c r="D735" t="s">
        <v>33</v>
      </c>
      <c r="E735" t="s">
        <v>34</v>
      </c>
      <c r="F735" t="s">
        <v>49</v>
      </c>
      <c r="G735" t="s">
        <v>59</v>
      </c>
      <c r="H735" t="s">
        <v>47</v>
      </c>
      <c r="I735" t="s">
        <v>50</v>
      </c>
      <c r="J735" t="s">
        <v>39</v>
      </c>
      <c r="K735">
        <v>2</v>
      </c>
      <c r="L735">
        <v>2</v>
      </c>
      <c r="M735" t="s">
        <v>48</v>
      </c>
      <c r="N735" t="s">
        <v>61</v>
      </c>
      <c r="O735" t="s">
        <v>36</v>
      </c>
      <c r="P735" t="s">
        <v>43</v>
      </c>
      <c r="Q735">
        <v>13</v>
      </c>
      <c r="R735">
        <v>1</v>
      </c>
      <c r="S735">
        <v>8</v>
      </c>
      <c r="T735">
        <v>1</v>
      </c>
      <c r="U735">
        <v>6</v>
      </c>
      <c r="V735">
        <v>14</v>
      </c>
      <c r="W735">
        <v>72</v>
      </c>
      <c r="X735">
        <v>931</v>
      </c>
      <c r="Y735">
        <v>4673</v>
      </c>
      <c r="Z735">
        <v>2756</v>
      </c>
      <c r="AA735">
        <v>5</v>
      </c>
      <c r="AB735">
        <v>32822</v>
      </c>
      <c r="AC735" s="10">
        <v>41865</v>
      </c>
      <c r="AD735" s="10" t="s">
        <v>72</v>
      </c>
      <c r="AE735" t="s">
        <v>72</v>
      </c>
      <c r="AF735" t="s">
        <v>45</v>
      </c>
    </row>
    <row r="736" spans="1:32" x14ac:dyDescent="0.25">
      <c r="A736">
        <v>2035</v>
      </c>
      <c r="B736">
        <v>34</v>
      </c>
      <c r="C736" t="s">
        <v>43</v>
      </c>
      <c r="D736" t="s">
        <v>33</v>
      </c>
      <c r="E736" t="s">
        <v>56</v>
      </c>
      <c r="F736" t="s">
        <v>49</v>
      </c>
      <c r="G736" t="s">
        <v>59</v>
      </c>
      <c r="H736" t="s">
        <v>47</v>
      </c>
      <c r="I736" t="s">
        <v>38</v>
      </c>
      <c r="J736" t="s">
        <v>57</v>
      </c>
      <c r="K736">
        <v>3</v>
      </c>
      <c r="L736">
        <v>4</v>
      </c>
      <c r="M736" t="s">
        <v>48</v>
      </c>
      <c r="N736" t="s">
        <v>61</v>
      </c>
      <c r="O736" t="s">
        <v>53</v>
      </c>
      <c r="P736" t="s">
        <v>43</v>
      </c>
      <c r="Q736">
        <v>21</v>
      </c>
      <c r="R736">
        <v>1</v>
      </c>
      <c r="S736">
        <v>8</v>
      </c>
      <c r="T736">
        <v>1</v>
      </c>
      <c r="U736">
        <v>7</v>
      </c>
      <c r="V736">
        <v>28</v>
      </c>
      <c r="W736">
        <v>95</v>
      </c>
      <c r="X736">
        <v>704</v>
      </c>
      <c r="Y736">
        <v>8978</v>
      </c>
      <c r="Z736">
        <v>6712</v>
      </c>
      <c r="AA736">
        <v>2</v>
      </c>
      <c r="AB736">
        <v>32625</v>
      </c>
      <c r="AC736" s="10">
        <v>42073</v>
      </c>
      <c r="AD736" s="10" t="s">
        <v>72</v>
      </c>
      <c r="AE736" t="s">
        <v>72</v>
      </c>
      <c r="AF736" t="s">
        <v>45</v>
      </c>
    </row>
    <row r="737" spans="1:32" x14ac:dyDescent="0.25">
      <c r="A737">
        <v>845</v>
      </c>
      <c r="B737">
        <v>35</v>
      </c>
      <c r="C737" t="s">
        <v>43</v>
      </c>
      <c r="D737" t="s">
        <v>33</v>
      </c>
      <c r="E737" t="s">
        <v>34</v>
      </c>
      <c r="F737" t="s">
        <v>49</v>
      </c>
      <c r="G737" t="s">
        <v>50</v>
      </c>
      <c r="H737" t="s">
        <v>37</v>
      </c>
      <c r="I737" t="s">
        <v>50</v>
      </c>
      <c r="J737" t="s">
        <v>65</v>
      </c>
      <c r="K737">
        <v>3</v>
      </c>
      <c r="L737">
        <v>4</v>
      </c>
      <c r="M737" t="s">
        <v>58</v>
      </c>
      <c r="N737" t="s">
        <v>41</v>
      </c>
      <c r="O737" t="s">
        <v>42</v>
      </c>
      <c r="P737" t="s">
        <v>43</v>
      </c>
      <c r="Q737">
        <v>21</v>
      </c>
      <c r="R737">
        <v>3</v>
      </c>
      <c r="S737">
        <v>17</v>
      </c>
      <c r="T737">
        <v>1</v>
      </c>
      <c r="U737">
        <v>6</v>
      </c>
      <c r="V737">
        <v>7</v>
      </c>
      <c r="W737">
        <v>59</v>
      </c>
      <c r="X737">
        <v>950</v>
      </c>
      <c r="Y737">
        <v>18869</v>
      </c>
      <c r="Z737">
        <v>10221</v>
      </c>
      <c r="AA737">
        <v>3</v>
      </c>
      <c r="AB737">
        <v>32161</v>
      </c>
      <c r="AC737" s="10">
        <v>42157</v>
      </c>
      <c r="AD737" s="10" t="s">
        <v>72</v>
      </c>
      <c r="AE737" t="s">
        <v>72</v>
      </c>
      <c r="AF737" t="s">
        <v>55</v>
      </c>
    </row>
    <row r="738" spans="1:32" x14ac:dyDescent="0.25">
      <c r="A738">
        <v>1298</v>
      </c>
      <c r="B738">
        <v>30</v>
      </c>
      <c r="C738" t="s">
        <v>43</v>
      </c>
      <c r="D738" t="s">
        <v>63</v>
      </c>
      <c r="E738" t="s">
        <v>34</v>
      </c>
      <c r="F738" t="s">
        <v>67</v>
      </c>
      <c r="G738" t="s">
        <v>50</v>
      </c>
      <c r="H738" t="s">
        <v>47</v>
      </c>
      <c r="I738" t="s">
        <v>50</v>
      </c>
      <c r="J738" t="s">
        <v>65</v>
      </c>
      <c r="K738">
        <v>3</v>
      </c>
      <c r="L738">
        <v>2</v>
      </c>
      <c r="M738" t="s">
        <v>48</v>
      </c>
      <c r="N738" t="s">
        <v>41</v>
      </c>
      <c r="O738" t="s">
        <v>42</v>
      </c>
      <c r="P738" t="s">
        <v>32</v>
      </c>
      <c r="Q738">
        <v>18</v>
      </c>
      <c r="R738">
        <v>7</v>
      </c>
      <c r="S738">
        <v>10</v>
      </c>
      <c r="T738">
        <v>1</v>
      </c>
      <c r="U738">
        <v>7</v>
      </c>
      <c r="V738">
        <v>9</v>
      </c>
      <c r="W738">
        <v>72</v>
      </c>
      <c r="X738">
        <v>879</v>
      </c>
      <c r="Y738">
        <v>12858</v>
      </c>
      <c r="Z738">
        <v>4695</v>
      </c>
      <c r="AA738">
        <v>3</v>
      </c>
      <c r="AB738">
        <v>34161</v>
      </c>
      <c r="AC738" s="10">
        <v>42173</v>
      </c>
      <c r="AD738" s="10" t="s">
        <v>72</v>
      </c>
      <c r="AE738" t="s">
        <v>72</v>
      </c>
      <c r="AF738" t="s">
        <v>45</v>
      </c>
    </row>
    <row r="739" spans="1:32" x14ac:dyDescent="0.25">
      <c r="A739">
        <v>76</v>
      </c>
      <c r="B739">
        <v>31</v>
      </c>
      <c r="C739" t="s">
        <v>43</v>
      </c>
      <c r="D739" t="s">
        <v>33</v>
      </c>
      <c r="E739" t="s">
        <v>34</v>
      </c>
      <c r="F739" t="s">
        <v>35</v>
      </c>
      <c r="G739" t="s">
        <v>59</v>
      </c>
      <c r="H739" t="s">
        <v>37</v>
      </c>
      <c r="I739" t="s">
        <v>50</v>
      </c>
      <c r="J739" t="s">
        <v>51</v>
      </c>
      <c r="K739">
        <v>4</v>
      </c>
      <c r="L739">
        <v>4</v>
      </c>
      <c r="M739" t="s">
        <v>60</v>
      </c>
      <c r="N739" t="s">
        <v>52</v>
      </c>
      <c r="O739" t="s">
        <v>36</v>
      </c>
      <c r="P739" t="s">
        <v>43</v>
      </c>
      <c r="Q739">
        <v>22</v>
      </c>
      <c r="R739">
        <v>3</v>
      </c>
      <c r="S739">
        <v>10</v>
      </c>
      <c r="T739">
        <v>1</v>
      </c>
      <c r="U739">
        <v>7</v>
      </c>
      <c r="V739">
        <v>7</v>
      </c>
      <c r="W739">
        <v>48</v>
      </c>
      <c r="X739">
        <v>655</v>
      </c>
      <c r="Y739">
        <v>9528</v>
      </c>
      <c r="Z739">
        <v>5915</v>
      </c>
      <c r="AA739">
        <v>3</v>
      </c>
      <c r="AB739">
        <v>33556</v>
      </c>
      <c r="AC739" s="10">
        <v>42390</v>
      </c>
      <c r="AD739" s="10" t="s">
        <v>72</v>
      </c>
      <c r="AE739" t="s">
        <v>72</v>
      </c>
      <c r="AF739" t="s">
        <v>45</v>
      </c>
    </row>
    <row r="740" spans="1:32" x14ac:dyDescent="0.25">
      <c r="A740">
        <v>1120</v>
      </c>
      <c r="B740">
        <v>29</v>
      </c>
      <c r="C740" t="s">
        <v>43</v>
      </c>
      <c r="D740" t="s">
        <v>33</v>
      </c>
      <c r="E740" t="s">
        <v>34</v>
      </c>
      <c r="F740" t="s">
        <v>35</v>
      </c>
      <c r="G740" t="s">
        <v>50</v>
      </c>
      <c r="H740" t="s">
        <v>47</v>
      </c>
      <c r="I740" t="s">
        <v>50</v>
      </c>
      <c r="J740" t="s">
        <v>39</v>
      </c>
      <c r="K740">
        <v>4</v>
      </c>
      <c r="L740">
        <v>4</v>
      </c>
      <c r="M740" t="s">
        <v>48</v>
      </c>
      <c r="N740" t="s">
        <v>52</v>
      </c>
      <c r="O740" t="s">
        <v>36</v>
      </c>
      <c r="P740" t="s">
        <v>43</v>
      </c>
      <c r="Q740">
        <v>22</v>
      </c>
      <c r="R740">
        <v>4</v>
      </c>
      <c r="S740">
        <v>11</v>
      </c>
      <c r="T740">
        <v>1</v>
      </c>
      <c r="U740">
        <v>1</v>
      </c>
      <c r="V740">
        <v>28</v>
      </c>
      <c r="W740">
        <v>93</v>
      </c>
      <c r="X740">
        <v>1107</v>
      </c>
      <c r="Y740">
        <v>26968</v>
      </c>
      <c r="Z740">
        <v>2514</v>
      </c>
      <c r="AA740">
        <v>1</v>
      </c>
      <c r="AB740">
        <v>34323</v>
      </c>
      <c r="AC740" s="10">
        <v>42543</v>
      </c>
      <c r="AD740" s="10" t="s">
        <v>72</v>
      </c>
      <c r="AE740" t="s">
        <v>72</v>
      </c>
      <c r="AF740" t="s">
        <v>55</v>
      </c>
    </row>
    <row r="741" spans="1:32" x14ac:dyDescent="0.25">
      <c r="A741">
        <v>1355</v>
      </c>
      <c r="B741">
        <v>38</v>
      </c>
      <c r="C741" t="s">
        <v>43</v>
      </c>
      <c r="D741" t="s">
        <v>33</v>
      </c>
      <c r="E741" t="s">
        <v>56</v>
      </c>
      <c r="F741" t="s">
        <v>67</v>
      </c>
      <c r="G741" t="s">
        <v>38</v>
      </c>
      <c r="H741" t="s">
        <v>47</v>
      </c>
      <c r="I741" t="s">
        <v>50</v>
      </c>
      <c r="J741" t="s">
        <v>57</v>
      </c>
      <c r="K741">
        <v>1</v>
      </c>
      <c r="L741">
        <v>1</v>
      </c>
      <c r="M741" t="s">
        <v>48</v>
      </c>
      <c r="N741" t="s">
        <v>52</v>
      </c>
      <c r="O741" t="s">
        <v>36</v>
      </c>
      <c r="P741" t="s">
        <v>43</v>
      </c>
      <c r="Q741">
        <v>15</v>
      </c>
      <c r="R741">
        <v>3</v>
      </c>
      <c r="S741">
        <v>11</v>
      </c>
      <c r="T741">
        <v>1</v>
      </c>
      <c r="U741">
        <v>3</v>
      </c>
      <c r="V741">
        <v>2</v>
      </c>
      <c r="W741">
        <v>31</v>
      </c>
      <c r="X741">
        <v>1009</v>
      </c>
      <c r="Y741">
        <v>19461</v>
      </c>
      <c r="Z741">
        <v>6893</v>
      </c>
      <c r="AA741">
        <v>3</v>
      </c>
      <c r="AB741">
        <v>30942</v>
      </c>
      <c r="AC741" s="10">
        <v>42558</v>
      </c>
      <c r="AD741" s="10" t="s">
        <v>72</v>
      </c>
      <c r="AE741" t="s">
        <v>72</v>
      </c>
      <c r="AF741" t="s">
        <v>45</v>
      </c>
    </row>
    <row r="742" spans="1:32" x14ac:dyDescent="0.25">
      <c r="A742">
        <v>384</v>
      </c>
      <c r="B742">
        <v>26</v>
      </c>
      <c r="C742" t="s">
        <v>43</v>
      </c>
      <c r="D742" t="s">
        <v>46</v>
      </c>
      <c r="E742" t="s">
        <v>34</v>
      </c>
      <c r="F742" t="s">
        <v>49</v>
      </c>
      <c r="G742" t="s">
        <v>50</v>
      </c>
      <c r="H742" t="s">
        <v>47</v>
      </c>
      <c r="I742" t="s">
        <v>50</v>
      </c>
      <c r="J742" t="s">
        <v>65</v>
      </c>
      <c r="K742">
        <v>2</v>
      </c>
      <c r="L742">
        <v>4</v>
      </c>
      <c r="M742" t="s">
        <v>40</v>
      </c>
      <c r="N742" t="s">
        <v>52</v>
      </c>
      <c r="O742" t="s">
        <v>36</v>
      </c>
      <c r="P742" t="s">
        <v>43</v>
      </c>
      <c r="Q742">
        <v>20</v>
      </c>
      <c r="R742">
        <v>1</v>
      </c>
      <c r="S742">
        <v>6</v>
      </c>
      <c r="T742">
        <v>1</v>
      </c>
      <c r="U742">
        <v>4</v>
      </c>
      <c r="V742">
        <v>1</v>
      </c>
      <c r="W742">
        <v>84</v>
      </c>
      <c r="X742">
        <v>1479</v>
      </c>
      <c r="Y742">
        <v>26767</v>
      </c>
      <c r="Z742">
        <v>6397</v>
      </c>
      <c r="AA742">
        <v>6</v>
      </c>
      <c r="AB742">
        <v>35595</v>
      </c>
      <c r="AC742" s="10">
        <v>42588</v>
      </c>
      <c r="AD742" s="10" t="s">
        <v>72</v>
      </c>
      <c r="AE742" t="s">
        <v>72</v>
      </c>
      <c r="AF742" t="s">
        <v>45</v>
      </c>
    </row>
    <row r="743" spans="1:32" x14ac:dyDescent="0.25">
      <c r="A743">
        <v>1681</v>
      </c>
      <c r="B743">
        <v>33</v>
      </c>
      <c r="C743" t="s">
        <v>43</v>
      </c>
      <c r="D743" t="s">
        <v>63</v>
      </c>
      <c r="E743" t="s">
        <v>56</v>
      </c>
      <c r="F743" t="s">
        <v>49</v>
      </c>
      <c r="G743" t="s">
        <v>50</v>
      </c>
      <c r="H743" t="s">
        <v>47</v>
      </c>
      <c r="I743" t="s">
        <v>50</v>
      </c>
      <c r="J743" t="s">
        <v>57</v>
      </c>
      <c r="K743">
        <v>4</v>
      </c>
      <c r="L743">
        <v>4</v>
      </c>
      <c r="M743" t="s">
        <v>48</v>
      </c>
      <c r="N743" t="s">
        <v>52</v>
      </c>
      <c r="O743" t="s">
        <v>36</v>
      </c>
      <c r="P743" t="s">
        <v>32</v>
      </c>
      <c r="Q743">
        <v>25</v>
      </c>
      <c r="R743">
        <v>1</v>
      </c>
      <c r="S743">
        <v>7</v>
      </c>
      <c r="T743">
        <v>1</v>
      </c>
      <c r="U743">
        <v>2</v>
      </c>
      <c r="V743">
        <v>16</v>
      </c>
      <c r="W743">
        <v>36</v>
      </c>
      <c r="X743">
        <v>530</v>
      </c>
      <c r="Y743">
        <v>16130</v>
      </c>
      <c r="Z743">
        <v>5368</v>
      </c>
      <c r="AA743">
        <v>2</v>
      </c>
      <c r="AB743">
        <v>32994</v>
      </c>
      <c r="AC743" s="10">
        <v>42623</v>
      </c>
      <c r="AD743" s="10" t="s">
        <v>72</v>
      </c>
      <c r="AE743" t="s">
        <v>72</v>
      </c>
      <c r="AF743" t="s">
        <v>45</v>
      </c>
    </row>
    <row r="744" spans="1:32" x14ac:dyDescent="0.25">
      <c r="A744">
        <v>786</v>
      </c>
      <c r="B744">
        <v>34</v>
      </c>
      <c r="C744" t="s">
        <v>43</v>
      </c>
      <c r="D744" t="s">
        <v>33</v>
      </c>
      <c r="E744" t="s">
        <v>56</v>
      </c>
      <c r="F744" t="s">
        <v>49</v>
      </c>
      <c r="G744" t="s">
        <v>59</v>
      </c>
      <c r="H744" t="s">
        <v>37</v>
      </c>
      <c r="I744" t="s">
        <v>50</v>
      </c>
      <c r="J744" t="s">
        <v>57</v>
      </c>
      <c r="K744">
        <v>4</v>
      </c>
      <c r="L744">
        <v>4</v>
      </c>
      <c r="M744" t="s">
        <v>48</v>
      </c>
      <c r="N744" t="s">
        <v>41</v>
      </c>
      <c r="O744" t="s">
        <v>42</v>
      </c>
      <c r="P744" t="s">
        <v>43</v>
      </c>
      <c r="Q744">
        <v>22</v>
      </c>
      <c r="R744">
        <v>1</v>
      </c>
      <c r="S744">
        <v>6</v>
      </c>
      <c r="T744">
        <v>1</v>
      </c>
      <c r="U744">
        <v>4</v>
      </c>
      <c r="V744">
        <v>2</v>
      </c>
      <c r="W744">
        <v>60</v>
      </c>
      <c r="X744">
        <v>304</v>
      </c>
      <c r="Y744">
        <v>18686</v>
      </c>
      <c r="Z744">
        <v>6274</v>
      </c>
      <c r="AA744">
        <v>5</v>
      </c>
      <c r="AB744">
        <v>32489</v>
      </c>
      <c r="AC744" s="10">
        <v>42658</v>
      </c>
      <c r="AD744" s="10" t="s">
        <v>72</v>
      </c>
      <c r="AE744" t="s">
        <v>72</v>
      </c>
      <c r="AF744" t="s">
        <v>55</v>
      </c>
    </row>
    <row r="745" spans="1:32" x14ac:dyDescent="0.25">
      <c r="A745">
        <v>804</v>
      </c>
      <c r="B745">
        <v>34</v>
      </c>
      <c r="C745" t="s">
        <v>43</v>
      </c>
      <c r="D745" t="s">
        <v>33</v>
      </c>
      <c r="E745" t="s">
        <v>34</v>
      </c>
      <c r="F745" t="s">
        <v>35</v>
      </c>
      <c r="G745" t="s">
        <v>50</v>
      </c>
      <c r="H745" t="s">
        <v>47</v>
      </c>
      <c r="I745" t="s">
        <v>38</v>
      </c>
      <c r="J745" t="s">
        <v>39</v>
      </c>
      <c r="K745">
        <v>1</v>
      </c>
      <c r="L745">
        <v>2</v>
      </c>
      <c r="M745" t="s">
        <v>48</v>
      </c>
      <c r="N745" t="s">
        <v>41</v>
      </c>
      <c r="O745" t="s">
        <v>42</v>
      </c>
      <c r="P745" t="s">
        <v>43</v>
      </c>
      <c r="Q745">
        <v>11</v>
      </c>
      <c r="R745">
        <v>1</v>
      </c>
      <c r="S745">
        <v>6</v>
      </c>
      <c r="T745">
        <v>1</v>
      </c>
      <c r="U745">
        <v>3</v>
      </c>
      <c r="V745">
        <v>2</v>
      </c>
      <c r="W745">
        <v>86</v>
      </c>
      <c r="X745">
        <v>121</v>
      </c>
      <c r="Y745">
        <v>7530</v>
      </c>
      <c r="Z745">
        <v>4381</v>
      </c>
      <c r="AA745">
        <v>3</v>
      </c>
      <c r="AB745">
        <v>32545</v>
      </c>
      <c r="AC745" s="10">
        <v>42694</v>
      </c>
      <c r="AD745" s="10" t="s">
        <v>72</v>
      </c>
      <c r="AE745" t="s">
        <v>72</v>
      </c>
      <c r="AF745" t="s">
        <v>55</v>
      </c>
    </row>
    <row r="746" spans="1:32" x14ac:dyDescent="0.25">
      <c r="A746">
        <v>1228</v>
      </c>
      <c r="B746">
        <v>46</v>
      </c>
      <c r="C746" t="s">
        <v>43</v>
      </c>
      <c r="D746" t="s">
        <v>33</v>
      </c>
      <c r="E746" t="s">
        <v>34</v>
      </c>
      <c r="F746" t="s">
        <v>35</v>
      </c>
      <c r="G746" t="s">
        <v>59</v>
      </c>
      <c r="H746" t="s">
        <v>37</v>
      </c>
      <c r="I746" t="s">
        <v>50</v>
      </c>
      <c r="J746" t="s">
        <v>65</v>
      </c>
      <c r="K746">
        <v>4</v>
      </c>
      <c r="L746">
        <v>2</v>
      </c>
      <c r="M746" t="s">
        <v>60</v>
      </c>
      <c r="N746" t="s">
        <v>52</v>
      </c>
      <c r="O746" t="s">
        <v>36</v>
      </c>
      <c r="P746" t="s">
        <v>43</v>
      </c>
      <c r="Q746">
        <v>11</v>
      </c>
      <c r="R746">
        <v>2</v>
      </c>
      <c r="S746">
        <v>12</v>
      </c>
      <c r="T746">
        <v>1</v>
      </c>
      <c r="U746">
        <v>4</v>
      </c>
      <c r="V746">
        <v>2</v>
      </c>
      <c r="W746">
        <v>60</v>
      </c>
      <c r="X746">
        <v>150</v>
      </c>
      <c r="Y746">
        <v>17433</v>
      </c>
      <c r="Z746">
        <v>7379</v>
      </c>
      <c r="AA746">
        <v>3</v>
      </c>
      <c r="AB746">
        <v>28215</v>
      </c>
      <c r="AC746" s="10">
        <v>42715</v>
      </c>
      <c r="AD746" s="10" t="s">
        <v>72</v>
      </c>
      <c r="AE746" t="s">
        <v>72</v>
      </c>
      <c r="AF746" t="s">
        <v>45</v>
      </c>
    </row>
    <row r="747" spans="1:32" x14ac:dyDescent="0.25">
      <c r="A747">
        <v>1574</v>
      </c>
      <c r="B747">
        <v>32</v>
      </c>
      <c r="C747" t="s">
        <v>43</v>
      </c>
      <c r="D747" t="s">
        <v>63</v>
      </c>
      <c r="E747" t="s">
        <v>34</v>
      </c>
      <c r="F747" t="s">
        <v>35</v>
      </c>
      <c r="G747" t="s">
        <v>59</v>
      </c>
      <c r="H747" t="s">
        <v>37</v>
      </c>
      <c r="I747" t="s">
        <v>50</v>
      </c>
      <c r="J747" t="s">
        <v>39</v>
      </c>
      <c r="K747">
        <v>1</v>
      </c>
      <c r="L747">
        <v>2</v>
      </c>
      <c r="M747" t="s">
        <v>60</v>
      </c>
      <c r="N747" t="s">
        <v>61</v>
      </c>
      <c r="O747" t="s">
        <v>36</v>
      </c>
      <c r="P747" t="s">
        <v>43</v>
      </c>
      <c r="Q747">
        <v>14</v>
      </c>
      <c r="R747">
        <v>4</v>
      </c>
      <c r="S747">
        <v>9</v>
      </c>
      <c r="T747">
        <v>1</v>
      </c>
      <c r="U747">
        <v>2</v>
      </c>
      <c r="V747">
        <v>1</v>
      </c>
      <c r="W747">
        <v>62</v>
      </c>
      <c r="X747">
        <v>1200</v>
      </c>
      <c r="Y747">
        <v>25174</v>
      </c>
      <c r="Z747">
        <v>4087</v>
      </c>
      <c r="AA747">
        <v>3</v>
      </c>
      <c r="AB747">
        <v>33359</v>
      </c>
      <c r="AC747" s="10">
        <v>42717</v>
      </c>
      <c r="AD747" s="10" t="s">
        <v>72</v>
      </c>
      <c r="AE747" t="s">
        <v>72</v>
      </c>
      <c r="AF747" t="s">
        <v>45</v>
      </c>
    </row>
    <row r="748" spans="1:32" x14ac:dyDescent="0.25">
      <c r="A748">
        <v>1394</v>
      </c>
      <c r="B748">
        <v>37</v>
      </c>
      <c r="C748" t="s">
        <v>43</v>
      </c>
      <c r="D748" t="s">
        <v>33</v>
      </c>
      <c r="E748" t="s">
        <v>34</v>
      </c>
      <c r="F748" t="s">
        <v>64</v>
      </c>
      <c r="G748" t="s">
        <v>50</v>
      </c>
      <c r="H748" t="s">
        <v>37</v>
      </c>
      <c r="I748" t="s">
        <v>50</v>
      </c>
      <c r="J748" t="s">
        <v>39</v>
      </c>
      <c r="K748">
        <v>3</v>
      </c>
      <c r="L748">
        <v>1</v>
      </c>
      <c r="M748" t="s">
        <v>48</v>
      </c>
      <c r="N748" t="s">
        <v>61</v>
      </c>
      <c r="O748" t="s">
        <v>42</v>
      </c>
      <c r="P748" t="s">
        <v>32</v>
      </c>
      <c r="Q748">
        <v>15</v>
      </c>
      <c r="R748">
        <v>7</v>
      </c>
      <c r="S748">
        <v>8</v>
      </c>
      <c r="T748">
        <v>1</v>
      </c>
      <c r="U748">
        <v>3</v>
      </c>
      <c r="V748">
        <v>4</v>
      </c>
      <c r="W748">
        <v>54</v>
      </c>
      <c r="X748">
        <v>1439</v>
      </c>
      <c r="Y748">
        <v>5182</v>
      </c>
      <c r="Z748">
        <v>2996</v>
      </c>
      <c r="AA748">
        <v>2</v>
      </c>
      <c r="AB748">
        <v>31469</v>
      </c>
      <c r="AC748" s="10">
        <v>42729</v>
      </c>
      <c r="AD748" s="10" t="s">
        <v>72</v>
      </c>
      <c r="AE748" t="s">
        <v>72</v>
      </c>
      <c r="AF748" t="s">
        <v>45</v>
      </c>
    </row>
    <row r="749" spans="1:32" x14ac:dyDescent="0.25">
      <c r="A749">
        <v>781</v>
      </c>
      <c r="B749">
        <v>25</v>
      </c>
      <c r="C749" t="s">
        <v>43</v>
      </c>
      <c r="D749" t="s">
        <v>33</v>
      </c>
      <c r="E749" t="s">
        <v>56</v>
      </c>
      <c r="F749" t="s">
        <v>64</v>
      </c>
      <c r="G749" t="s">
        <v>50</v>
      </c>
      <c r="H749" t="s">
        <v>47</v>
      </c>
      <c r="I749" t="s">
        <v>50</v>
      </c>
      <c r="J749" t="s">
        <v>57</v>
      </c>
      <c r="K749">
        <v>4</v>
      </c>
      <c r="L749">
        <v>4</v>
      </c>
      <c r="M749" t="s">
        <v>60</v>
      </c>
      <c r="N749" t="s">
        <v>41</v>
      </c>
      <c r="O749" t="s">
        <v>42</v>
      </c>
      <c r="P749" t="s">
        <v>43</v>
      </c>
      <c r="Q749">
        <v>23</v>
      </c>
      <c r="R749">
        <v>1</v>
      </c>
      <c r="S749">
        <v>6</v>
      </c>
      <c r="T749">
        <v>1</v>
      </c>
      <c r="U749">
        <v>4</v>
      </c>
      <c r="V749">
        <v>26</v>
      </c>
      <c r="W749">
        <v>32</v>
      </c>
      <c r="X749">
        <v>883</v>
      </c>
      <c r="Y749">
        <v>22807</v>
      </c>
      <c r="Z749">
        <v>6180</v>
      </c>
      <c r="AA749">
        <v>5</v>
      </c>
      <c r="AB749">
        <v>35855</v>
      </c>
      <c r="AC749" s="10">
        <v>42760</v>
      </c>
      <c r="AD749" s="10" t="s">
        <v>72</v>
      </c>
      <c r="AE749" t="s">
        <v>72</v>
      </c>
      <c r="AF749" t="s">
        <v>45</v>
      </c>
    </row>
    <row r="750" spans="1:32" x14ac:dyDescent="0.25">
      <c r="A750">
        <v>1163</v>
      </c>
      <c r="B750">
        <v>34</v>
      </c>
      <c r="C750" t="s">
        <v>43</v>
      </c>
      <c r="D750" t="s">
        <v>33</v>
      </c>
      <c r="E750" t="s">
        <v>56</v>
      </c>
      <c r="F750" t="s">
        <v>64</v>
      </c>
      <c r="G750" t="s">
        <v>38</v>
      </c>
      <c r="H750" t="s">
        <v>47</v>
      </c>
      <c r="I750" t="s">
        <v>50</v>
      </c>
      <c r="J750" t="s">
        <v>57</v>
      </c>
      <c r="K750">
        <v>3</v>
      </c>
      <c r="L750">
        <v>4</v>
      </c>
      <c r="M750" t="s">
        <v>60</v>
      </c>
      <c r="N750" t="s">
        <v>61</v>
      </c>
      <c r="O750" t="s">
        <v>42</v>
      </c>
      <c r="P750" t="s">
        <v>43</v>
      </c>
      <c r="Q750">
        <v>20</v>
      </c>
      <c r="R750">
        <v>1</v>
      </c>
      <c r="S750">
        <v>6</v>
      </c>
      <c r="T750">
        <v>1</v>
      </c>
      <c r="U750">
        <v>3</v>
      </c>
      <c r="V750">
        <v>9</v>
      </c>
      <c r="W750">
        <v>70</v>
      </c>
      <c r="X750">
        <v>1400</v>
      </c>
      <c r="Y750">
        <v>5829</v>
      </c>
      <c r="Z750">
        <v>5714</v>
      </c>
      <c r="AA750">
        <v>3</v>
      </c>
      <c r="AB750">
        <v>32648</v>
      </c>
      <c r="AC750" s="10">
        <v>42823</v>
      </c>
      <c r="AD750" s="10" t="s">
        <v>72</v>
      </c>
      <c r="AE750" t="s">
        <v>72</v>
      </c>
      <c r="AF750" t="s">
        <v>55</v>
      </c>
    </row>
    <row r="751" spans="1:32" x14ac:dyDescent="0.25">
      <c r="A751">
        <v>813</v>
      </c>
      <c r="B751">
        <v>52</v>
      </c>
      <c r="C751" t="s">
        <v>43</v>
      </c>
      <c r="D751" t="s">
        <v>33</v>
      </c>
      <c r="E751" t="s">
        <v>34</v>
      </c>
      <c r="F751" t="s">
        <v>35</v>
      </c>
      <c r="G751" t="s">
        <v>59</v>
      </c>
      <c r="H751" t="s">
        <v>47</v>
      </c>
      <c r="I751" t="s">
        <v>50</v>
      </c>
      <c r="J751" t="s">
        <v>51</v>
      </c>
      <c r="K751">
        <v>3</v>
      </c>
      <c r="L751">
        <v>4</v>
      </c>
      <c r="M751" t="s">
        <v>48</v>
      </c>
      <c r="N751" t="s">
        <v>61</v>
      </c>
      <c r="O751" t="s">
        <v>36</v>
      </c>
      <c r="P751" t="s">
        <v>43</v>
      </c>
      <c r="Q751">
        <v>20</v>
      </c>
      <c r="R751">
        <v>8</v>
      </c>
      <c r="S751">
        <v>9</v>
      </c>
      <c r="T751">
        <v>1</v>
      </c>
      <c r="U751">
        <v>4</v>
      </c>
      <c r="V751">
        <v>11</v>
      </c>
      <c r="W751">
        <v>82</v>
      </c>
      <c r="X751">
        <v>1325</v>
      </c>
      <c r="Y751">
        <v>21821</v>
      </c>
      <c r="Z751">
        <v>3149</v>
      </c>
      <c r="AA751">
        <v>3</v>
      </c>
      <c r="AB751">
        <v>25942</v>
      </c>
      <c r="AC751" s="10">
        <v>42968</v>
      </c>
      <c r="AD751" s="10" t="s">
        <v>72</v>
      </c>
      <c r="AE751" t="s">
        <v>72</v>
      </c>
      <c r="AF751" t="s">
        <v>45</v>
      </c>
    </row>
    <row r="752" spans="1:32" x14ac:dyDescent="0.25">
      <c r="A752">
        <v>1499</v>
      </c>
      <c r="B752">
        <v>30</v>
      </c>
      <c r="C752" t="s">
        <v>43</v>
      </c>
      <c r="D752" t="s">
        <v>33</v>
      </c>
      <c r="E752" t="s">
        <v>68</v>
      </c>
      <c r="F752" t="s">
        <v>49</v>
      </c>
      <c r="G752" t="s">
        <v>50</v>
      </c>
      <c r="H752" t="s">
        <v>37</v>
      </c>
      <c r="I752" t="s">
        <v>50</v>
      </c>
      <c r="J752" t="s">
        <v>68</v>
      </c>
      <c r="K752">
        <v>3</v>
      </c>
      <c r="L752">
        <v>4</v>
      </c>
      <c r="M752" t="s">
        <v>58</v>
      </c>
      <c r="N752" t="s">
        <v>52</v>
      </c>
      <c r="O752" t="s">
        <v>36</v>
      </c>
      <c r="P752" t="s">
        <v>43</v>
      </c>
      <c r="Q752">
        <v>21</v>
      </c>
      <c r="R752">
        <v>0</v>
      </c>
      <c r="S752">
        <v>6</v>
      </c>
      <c r="T752">
        <v>1</v>
      </c>
      <c r="U752">
        <v>3</v>
      </c>
      <c r="V752">
        <v>1</v>
      </c>
      <c r="W752">
        <v>46</v>
      </c>
      <c r="X752">
        <v>330</v>
      </c>
      <c r="Y752">
        <v>15428</v>
      </c>
      <c r="Z752">
        <v>2064</v>
      </c>
      <c r="AA752">
        <v>3</v>
      </c>
      <c r="AB752">
        <v>33987</v>
      </c>
      <c r="AC752" s="10">
        <v>42969</v>
      </c>
      <c r="AD752" s="10" t="s">
        <v>72</v>
      </c>
      <c r="AE752" t="s">
        <v>72</v>
      </c>
      <c r="AF752" t="s">
        <v>45</v>
      </c>
    </row>
    <row r="753" spans="1:32" x14ac:dyDescent="0.25">
      <c r="A753">
        <v>1909</v>
      </c>
      <c r="B753">
        <v>41</v>
      </c>
      <c r="C753" t="s">
        <v>43</v>
      </c>
      <c r="D753" t="s">
        <v>33</v>
      </c>
      <c r="E753" t="s">
        <v>56</v>
      </c>
      <c r="F753" t="s">
        <v>49</v>
      </c>
      <c r="G753" t="s">
        <v>50</v>
      </c>
      <c r="H753" t="s">
        <v>47</v>
      </c>
      <c r="I753" t="s">
        <v>50</v>
      </c>
      <c r="J753" t="s">
        <v>57</v>
      </c>
      <c r="K753">
        <v>2</v>
      </c>
      <c r="L753">
        <v>4</v>
      </c>
      <c r="M753" t="s">
        <v>48</v>
      </c>
      <c r="N753" t="s">
        <v>61</v>
      </c>
      <c r="O753" t="s">
        <v>36</v>
      </c>
      <c r="P753" t="s">
        <v>43</v>
      </c>
      <c r="Q753">
        <v>21</v>
      </c>
      <c r="R753">
        <v>5</v>
      </c>
      <c r="S753">
        <v>14</v>
      </c>
      <c r="T753">
        <v>1</v>
      </c>
      <c r="U753">
        <v>4</v>
      </c>
      <c r="V753">
        <v>8</v>
      </c>
      <c r="W753">
        <v>54</v>
      </c>
      <c r="X753">
        <v>337</v>
      </c>
      <c r="Y753">
        <v>26841</v>
      </c>
      <c r="Z753">
        <v>4393</v>
      </c>
      <c r="AA753">
        <v>3</v>
      </c>
      <c r="AB753">
        <v>29866</v>
      </c>
      <c r="AC753" s="10">
        <v>42969</v>
      </c>
      <c r="AD753" s="10" t="s">
        <v>72</v>
      </c>
      <c r="AE753" t="s">
        <v>72</v>
      </c>
      <c r="AF753" t="s">
        <v>45</v>
      </c>
    </row>
    <row r="754" spans="1:32" x14ac:dyDescent="0.25">
      <c r="A754">
        <v>231</v>
      </c>
      <c r="B754">
        <v>32</v>
      </c>
      <c r="C754" t="s">
        <v>43</v>
      </c>
      <c r="D754" t="s">
        <v>33</v>
      </c>
      <c r="E754" t="s">
        <v>34</v>
      </c>
      <c r="F754" t="s">
        <v>70</v>
      </c>
      <c r="G754" t="s">
        <v>50</v>
      </c>
      <c r="H754" t="s">
        <v>37</v>
      </c>
      <c r="I754" t="s">
        <v>50</v>
      </c>
      <c r="J754" t="s">
        <v>39</v>
      </c>
      <c r="K754">
        <v>3</v>
      </c>
      <c r="L754">
        <v>4</v>
      </c>
      <c r="M754" t="s">
        <v>48</v>
      </c>
      <c r="N754" t="s">
        <v>41</v>
      </c>
      <c r="O754" t="s">
        <v>42</v>
      </c>
      <c r="P754" t="s">
        <v>43</v>
      </c>
      <c r="Q754">
        <v>20</v>
      </c>
      <c r="R754">
        <v>3</v>
      </c>
      <c r="S754">
        <v>8</v>
      </c>
      <c r="T754">
        <v>1</v>
      </c>
      <c r="U754">
        <v>4</v>
      </c>
      <c r="V754">
        <v>6</v>
      </c>
      <c r="W754">
        <v>43</v>
      </c>
      <c r="X754">
        <v>120</v>
      </c>
      <c r="Y754">
        <v>12430</v>
      </c>
      <c r="Z754">
        <v>3038</v>
      </c>
      <c r="AA754">
        <v>2</v>
      </c>
      <c r="AB754">
        <v>33419</v>
      </c>
      <c r="AC754" s="10">
        <v>42977</v>
      </c>
      <c r="AD754" s="10" t="s">
        <v>72</v>
      </c>
      <c r="AE754" t="s">
        <v>72</v>
      </c>
      <c r="AF754" t="s">
        <v>45</v>
      </c>
    </row>
    <row r="755" spans="1:32" x14ac:dyDescent="0.25">
      <c r="A755">
        <v>150</v>
      </c>
      <c r="B755">
        <v>24</v>
      </c>
      <c r="C755" t="s">
        <v>43</v>
      </c>
      <c r="D755" t="s">
        <v>33</v>
      </c>
      <c r="E755" t="s">
        <v>34</v>
      </c>
      <c r="F755" t="s">
        <v>64</v>
      </c>
      <c r="G755" t="s">
        <v>38</v>
      </c>
      <c r="H755" t="s">
        <v>37</v>
      </c>
      <c r="I755" t="s">
        <v>50</v>
      </c>
      <c r="J755" t="s">
        <v>51</v>
      </c>
      <c r="K755">
        <v>3</v>
      </c>
      <c r="L755">
        <v>2</v>
      </c>
      <c r="M755" t="s">
        <v>48</v>
      </c>
      <c r="N755" t="s">
        <v>61</v>
      </c>
      <c r="O755" t="s">
        <v>36</v>
      </c>
      <c r="P755" t="s">
        <v>43</v>
      </c>
      <c r="Q755">
        <v>12</v>
      </c>
      <c r="R755">
        <v>0</v>
      </c>
      <c r="S755">
        <v>6</v>
      </c>
      <c r="T755">
        <v>1</v>
      </c>
      <c r="U755">
        <v>2</v>
      </c>
      <c r="V755">
        <v>18</v>
      </c>
      <c r="W755">
        <v>52</v>
      </c>
      <c r="X755">
        <v>1127</v>
      </c>
      <c r="Y755">
        <v>13257</v>
      </c>
      <c r="Z755">
        <v>2774</v>
      </c>
      <c r="AA755">
        <v>2</v>
      </c>
      <c r="AB755">
        <v>36288</v>
      </c>
      <c r="AC755" s="10">
        <v>42991</v>
      </c>
      <c r="AD755" s="10" t="s">
        <v>72</v>
      </c>
      <c r="AE755" t="s">
        <v>72</v>
      </c>
      <c r="AF755" t="s">
        <v>45</v>
      </c>
    </row>
    <row r="756" spans="1:32" x14ac:dyDescent="0.25">
      <c r="A756">
        <v>1736</v>
      </c>
      <c r="B756">
        <v>31</v>
      </c>
      <c r="C756" t="s">
        <v>43</v>
      </c>
      <c r="D756" t="s">
        <v>46</v>
      </c>
      <c r="E756" t="s">
        <v>34</v>
      </c>
      <c r="F756" t="s">
        <v>64</v>
      </c>
      <c r="G756" t="s">
        <v>59</v>
      </c>
      <c r="H756" t="s">
        <v>47</v>
      </c>
      <c r="I756" t="s">
        <v>50</v>
      </c>
      <c r="J756" t="s">
        <v>65</v>
      </c>
      <c r="K756">
        <v>4</v>
      </c>
      <c r="L756">
        <v>4</v>
      </c>
      <c r="M756" t="s">
        <v>60</v>
      </c>
      <c r="N756" t="s">
        <v>41</v>
      </c>
      <c r="O756" t="s">
        <v>42</v>
      </c>
      <c r="P756" t="s">
        <v>43</v>
      </c>
      <c r="Q756">
        <v>20</v>
      </c>
      <c r="R756">
        <v>2</v>
      </c>
      <c r="S756">
        <v>9</v>
      </c>
      <c r="T756">
        <v>1</v>
      </c>
      <c r="U756">
        <v>4</v>
      </c>
      <c r="V756">
        <v>24</v>
      </c>
      <c r="W756">
        <v>30</v>
      </c>
      <c r="X756">
        <v>163</v>
      </c>
      <c r="Y756">
        <v>6670</v>
      </c>
      <c r="Z756">
        <v>5238</v>
      </c>
      <c r="AA756">
        <v>3</v>
      </c>
      <c r="AB756">
        <v>33490</v>
      </c>
      <c r="AC756" s="10">
        <v>43056</v>
      </c>
      <c r="AD756" s="10" t="s">
        <v>72</v>
      </c>
      <c r="AE756" t="s">
        <v>72</v>
      </c>
      <c r="AF756" t="s">
        <v>45</v>
      </c>
    </row>
    <row r="757" spans="1:32" x14ac:dyDescent="0.25">
      <c r="A757">
        <v>894</v>
      </c>
      <c r="B757">
        <v>42</v>
      </c>
      <c r="C757" t="s">
        <v>43</v>
      </c>
      <c r="D757" t="s">
        <v>33</v>
      </c>
      <c r="E757" t="s">
        <v>34</v>
      </c>
      <c r="F757" t="s">
        <v>49</v>
      </c>
      <c r="G757" t="s">
        <v>50</v>
      </c>
      <c r="H757" t="s">
        <v>47</v>
      </c>
      <c r="I757" t="s">
        <v>59</v>
      </c>
      <c r="J757" t="s">
        <v>51</v>
      </c>
      <c r="K757">
        <v>4</v>
      </c>
      <c r="L757">
        <v>2</v>
      </c>
      <c r="M757" t="s">
        <v>60</v>
      </c>
      <c r="N757" t="s">
        <v>61</v>
      </c>
      <c r="O757" t="s">
        <v>36</v>
      </c>
      <c r="P757" t="s">
        <v>32</v>
      </c>
      <c r="Q757">
        <v>13</v>
      </c>
      <c r="R757">
        <v>2</v>
      </c>
      <c r="S757">
        <v>17</v>
      </c>
      <c r="T757">
        <v>1</v>
      </c>
      <c r="U757">
        <v>3</v>
      </c>
      <c r="V757">
        <v>3</v>
      </c>
      <c r="W757">
        <v>95</v>
      </c>
      <c r="X757">
        <v>1265</v>
      </c>
      <c r="Y757">
        <v>23726</v>
      </c>
      <c r="Z757">
        <v>5231</v>
      </c>
      <c r="AA757">
        <v>1</v>
      </c>
      <c r="AB757">
        <v>29662</v>
      </c>
      <c r="AC757" s="10">
        <v>43068</v>
      </c>
      <c r="AD757" s="10" t="s">
        <v>72</v>
      </c>
      <c r="AE757" t="s">
        <v>72</v>
      </c>
      <c r="AF757" t="s">
        <v>45</v>
      </c>
    </row>
    <row r="758" spans="1:32" x14ac:dyDescent="0.25">
      <c r="A758">
        <v>1999</v>
      </c>
      <c r="B758">
        <v>41</v>
      </c>
      <c r="C758" t="s">
        <v>43</v>
      </c>
      <c r="D758" t="s">
        <v>33</v>
      </c>
      <c r="E758" t="s">
        <v>34</v>
      </c>
      <c r="F758" t="s">
        <v>49</v>
      </c>
      <c r="G758" t="s">
        <v>59</v>
      </c>
      <c r="H758" t="s">
        <v>37</v>
      </c>
      <c r="I758" t="s">
        <v>50</v>
      </c>
      <c r="J758" t="s">
        <v>39</v>
      </c>
      <c r="K758">
        <v>4</v>
      </c>
      <c r="L758">
        <v>4</v>
      </c>
      <c r="M758" t="s">
        <v>48</v>
      </c>
      <c r="N758" t="s">
        <v>61</v>
      </c>
      <c r="O758" t="s">
        <v>36</v>
      </c>
      <c r="P758" t="s">
        <v>43</v>
      </c>
      <c r="Q758">
        <v>22</v>
      </c>
      <c r="R758">
        <v>3</v>
      </c>
      <c r="S758">
        <v>12</v>
      </c>
      <c r="T758">
        <v>1</v>
      </c>
      <c r="U758">
        <v>0</v>
      </c>
      <c r="V758">
        <v>1</v>
      </c>
      <c r="W758">
        <v>76</v>
      </c>
      <c r="X758">
        <v>642</v>
      </c>
      <c r="Y758">
        <v>21412</v>
      </c>
      <c r="Z758">
        <v>2782</v>
      </c>
      <c r="AA758">
        <v>3</v>
      </c>
      <c r="AB758">
        <v>29850</v>
      </c>
      <c r="AC758" s="10">
        <v>43092</v>
      </c>
      <c r="AD758" s="10" t="s">
        <v>72</v>
      </c>
      <c r="AE758" t="s">
        <v>72</v>
      </c>
      <c r="AF758" t="s">
        <v>45</v>
      </c>
    </row>
    <row r="759" spans="1:32" x14ac:dyDescent="0.25">
      <c r="A759">
        <v>1469</v>
      </c>
      <c r="B759">
        <v>28</v>
      </c>
      <c r="C759" t="s">
        <v>43</v>
      </c>
      <c r="D759" t="s">
        <v>33</v>
      </c>
      <c r="E759" t="s">
        <v>56</v>
      </c>
      <c r="F759" t="s">
        <v>49</v>
      </c>
      <c r="G759" t="s">
        <v>59</v>
      </c>
      <c r="H759" t="s">
        <v>37</v>
      </c>
      <c r="I759" t="s">
        <v>50</v>
      </c>
      <c r="J759" t="s">
        <v>57</v>
      </c>
      <c r="K759">
        <v>1</v>
      </c>
      <c r="L759">
        <v>1</v>
      </c>
      <c r="M759" t="s">
        <v>48</v>
      </c>
      <c r="N759" t="s">
        <v>41</v>
      </c>
      <c r="O759" t="s">
        <v>42</v>
      </c>
      <c r="P759" t="s">
        <v>43</v>
      </c>
      <c r="Q759">
        <v>18</v>
      </c>
      <c r="R759">
        <v>0</v>
      </c>
      <c r="S759">
        <v>6</v>
      </c>
      <c r="T759">
        <v>1</v>
      </c>
      <c r="U759">
        <v>3</v>
      </c>
      <c r="V759">
        <v>5</v>
      </c>
      <c r="W759">
        <v>84</v>
      </c>
      <c r="X759">
        <v>866</v>
      </c>
      <c r="Y759">
        <v>23490</v>
      </c>
      <c r="Z759">
        <v>8463</v>
      </c>
      <c r="AA759">
        <v>4</v>
      </c>
      <c r="AB759">
        <v>34794</v>
      </c>
      <c r="AC759" s="10">
        <v>43111</v>
      </c>
      <c r="AD759" s="10" t="s">
        <v>72</v>
      </c>
      <c r="AE759" t="s">
        <v>72</v>
      </c>
      <c r="AF759" t="s">
        <v>45</v>
      </c>
    </row>
    <row r="760" spans="1:32" x14ac:dyDescent="0.25">
      <c r="A760">
        <v>1598</v>
      </c>
      <c r="B760">
        <v>40</v>
      </c>
      <c r="C760" t="s">
        <v>43</v>
      </c>
      <c r="D760" t="s">
        <v>33</v>
      </c>
      <c r="E760" t="s">
        <v>56</v>
      </c>
      <c r="F760" t="s">
        <v>67</v>
      </c>
      <c r="G760" t="s">
        <v>59</v>
      </c>
      <c r="H760" t="s">
        <v>47</v>
      </c>
      <c r="I760" t="s">
        <v>50</v>
      </c>
      <c r="J760" t="s">
        <v>57</v>
      </c>
      <c r="K760">
        <v>1</v>
      </c>
      <c r="L760">
        <v>1</v>
      </c>
      <c r="M760" t="s">
        <v>48</v>
      </c>
      <c r="N760" t="s">
        <v>61</v>
      </c>
      <c r="O760" t="s">
        <v>36</v>
      </c>
      <c r="P760" t="s">
        <v>43</v>
      </c>
      <c r="Q760">
        <v>15</v>
      </c>
      <c r="R760">
        <v>1</v>
      </c>
      <c r="S760">
        <v>5</v>
      </c>
      <c r="T760">
        <v>1</v>
      </c>
      <c r="U760">
        <v>2</v>
      </c>
      <c r="V760">
        <v>14</v>
      </c>
      <c r="W760">
        <v>84</v>
      </c>
      <c r="X760">
        <v>118</v>
      </c>
      <c r="Y760">
        <v>11262</v>
      </c>
      <c r="Z760">
        <v>4639</v>
      </c>
      <c r="AA760">
        <v>2</v>
      </c>
      <c r="AB760">
        <v>30427</v>
      </c>
      <c r="AC760" s="10">
        <v>43152</v>
      </c>
      <c r="AD760" s="10" t="s">
        <v>72</v>
      </c>
      <c r="AE760" t="s">
        <v>72</v>
      </c>
      <c r="AF760" t="s">
        <v>45</v>
      </c>
    </row>
    <row r="761" spans="1:32" x14ac:dyDescent="0.25">
      <c r="A761">
        <v>641</v>
      </c>
      <c r="B761">
        <v>26</v>
      </c>
      <c r="C761" t="s">
        <v>43</v>
      </c>
      <c r="D761" t="s">
        <v>33</v>
      </c>
      <c r="E761" t="s">
        <v>56</v>
      </c>
      <c r="F761" t="s">
        <v>67</v>
      </c>
      <c r="G761" t="s">
        <v>36</v>
      </c>
      <c r="H761" t="s">
        <v>37</v>
      </c>
      <c r="I761" t="s">
        <v>50</v>
      </c>
      <c r="J761" t="s">
        <v>57</v>
      </c>
      <c r="K761">
        <v>2</v>
      </c>
      <c r="L761">
        <v>4</v>
      </c>
      <c r="M761" t="s">
        <v>58</v>
      </c>
      <c r="N761" t="s">
        <v>61</v>
      </c>
      <c r="O761" t="s">
        <v>53</v>
      </c>
      <c r="P761" t="s">
        <v>43</v>
      </c>
      <c r="Q761">
        <v>20</v>
      </c>
      <c r="R761">
        <v>1</v>
      </c>
      <c r="S761">
        <v>6</v>
      </c>
      <c r="T761">
        <v>1</v>
      </c>
      <c r="U761">
        <v>4</v>
      </c>
      <c r="V761">
        <v>28</v>
      </c>
      <c r="W761">
        <v>66</v>
      </c>
      <c r="X761">
        <v>703</v>
      </c>
      <c r="Y761">
        <v>7428</v>
      </c>
      <c r="Z761">
        <v>6272</v>
      </c>
      <c r="AA761">
        <v>5</v>
      </c>
      <c r="AB761">
        <v>35481</v>
      </c>
      <c r="AC761" s="10">
        <v>43184</v>
      </c>
      <c r="AD761" s="10" t="s">
        <v>72</v>
      </c>
      <c r="AE761" t="s">
        <v>72</v>
      </c>
      <c r="AF761" t="s">
        <v>55</v>
      </c>
    </row>
    <row r="762" spans="1:32" x14ac:dyDescent="0.25">
      <c r="A762">
        <v>997</v>
      </c>
      <c r="B762">
        <v>50</v>
      </c>
      <c r="C762" t="s">
        <v>43</v>
      </c>
      <c r="D762" t="s">
        <v>33</v>
      </c>
      <c r="E762" t="s">
        <v>34</v>
      </c>
      <c r="F762" t="s">
        <v>67</v>
      </c>
      <c r="G762" t="s">
        <v>59</v>
      </c>
      <c r="H762" t="s">
        <v>37</v>
      </c>
      <c r="I762" t="s">
        <v>50</v>
      </c>
      <c r="J762" t="s">
        <v>71</v>
      </c>
      <c r="K762">
        <v>4</v>
      </c>
      <c r="L762">
        <v>4</v>
      </c>
      <c r="M762" t="s">
        <v>60</v>
      </c>
      <c r="N762" t="s">
        <v>52</v>
      </c>
      <c r="O762" t="s">
        <v>36</v>
      </c>
      <c r="P762" t="s">
        <v>43</v>
      </c>
      <c r="Q762">
        <v>22</v>
      </c>
      <c r="R762">
        <v>9</v>
      </c>
      <c r="S762">
        <v>32</v>
      </c>
      <c r="T762">
        <v>1</v>
      </c>
      <c r="U762">
        <v>3</v>
      </c>
      <c r="V762">
        <v>1</v>
      </c>
      <c r="W762">
        <v>66</v>
      </c>
      <c r="X762">
        <v>1126</v>
      </c>
      <c r="Y762">
        <v>6615</v>
      </c>
      <c r="Z762">
        <v>17399</v>
      </c>
      <c r="AA762">
        <v>1</v>
      </c>
      <c r="AB762">
        <v>26658</v>
      </c>
      <c r="AC762" s="10">
        <v>43222</v>
      </c>
      <c r="AD762" s="10" t="s">
        <v>72</v>
      </c>
      <c r="AE762" t="s">
        <v>72</v>
      </c>
      <c r="AF762" t="s">
        <v>45</v>
      </c>
    </row>
    <row r="763" spans="1:32" x14ac:dyDescent="0.25">
      <c r="A763">
        <v>200</v>
      </c>
      <c r="B763">
        <v>41</v>
      </c>
      <c r="C763" t="s">
        <v>43</v>
      </c>
      <c r="D763" t="s">
        <v>33</v>
      </c>
      <c r="E763" t="s">
        <v>34</v>
      </c>
      <c r="F763" t="s">
        <v>35</v>
      </c>
      <c r="G763" t="s">
        <v>50</v>
      </c>
      <c r="H763" t="s">
        <v>37</v>
      </c>
      <c r="I763" t="s">
        <v>50</v>
      </c>
      <c r="J763" t="s">
        <v>51</v>
      </c>
      <c r="K763">
        <v>1</v>
      </c>
      <c r="L763">
        <v>4</v>
      </c>
      <c r="M763" t="s">
        <v>48</v>
      </c>
      <c r="N763" t="s">
        <v>61</v>
      </c>
      <c r="O763" t="s">
        <v>36</v>
      </c>
      <c r="P763" t="s">
        <v>43</v>
      </c>
      <c r="Q763">
        <v>21</v>
      </c>
      <c r="R763">
        <v>2</v>
      </c>
      <c r="S763">
        <v>7</v>
      </c>
      <c r="T763">
        <v>1</v>
      </c>
      <c r="U763">
        <v>4</v>
      </c>
      <c r="V763">
        <v>9</v>
      </c>
      <c r="W763">
        <v>94</v>
      </c>
      <c r="X763">
        <v>933</v>
      </c>
      <c r="Y763">
        <v>6961</v>
      </c>
      <c r="Z763">
        <v>2238</v>
      </c>
      <c r="AA763">
        <v>2</v>
      </c>
      <c r="AB763">
        <v>29927</v>
      </c>
      <c r="AC763" s="10">
        <v>43234</v>
      </c>
      <c r="AD763" s="10" t="s">
        <v>72</v>
      </c>
      <c r="AE763" t="s">
        <v>72</v>
      </c>
      <c r="AF763" t="s">
        <v>45</v>
      </c>
    </row>
    <row r="764" spans="1:32" x14ac:dyDescent="0.25">
      <c r="A764">
        <v>1654</v>
      </c>
      <c r="B764">
        <v>39</v>
      </c>
      <c r="C764" t="s">
        <v>43</v>
      </c>
      <c r="D764" t="s">
        <v>33</v>
      </c>
      <c r="E764" t="s">
        <v>34</v>
      </c>
      <c r="F764" t="s">
        <v>49</v>
      </c>
      <c r="G764" t="s">
        <v>59</v>
      </c>
      <c r="H764" t="s">
        <v>37</v>
      </c>
      <c r="I764" t="s">
        <v>50</v>
      </c>
      <c r="J764" t="s">
        <v>65</v>
      </c>
      <c r="K764">
        <v>2</v>
      </c>
      <c r="L764">
        <v>4</v>
      </c>
      <c r="M764" t="s">
        <v>48</v>
      </c>
      <c r="N764" t="s">
        <v>61</v>
      </c>
      <c r="O764" t="s">
        <v>42</v>
      </c>
      <c r="P764" t="s">
        <v>43</v>
      </c>
      <c r="Q764">
        <v>21</v>
      </c>
      <c r="R764">
        <v>4</v>
      </c>
      <c r="S764">
        <v>7</v>
      </c>
      <c r="T764">
        <v>1</v>
      </c>
      <c r="U764">
        <v>0</v>
      </c>
      <c r="V764">
        <v>12</v>
      </c>
      <c r="W764">
        <v>66</v>
      </c>
      <c r="X764">
        <v>492</v>
      </c>
      <c r="Y764">
        <v>7693</v>
      </c>
      <c r="Z764">
        <v>5295</v>
      </c>
      <c r="AA764">
        <v>3</v>
      </c>
      <c r="AB764">
        <v>30733</v>
      </c>
      <c r="AC764" s="10">
        <v>43284</v>
      </c>
      <c r="AD764" s="10" t="s">
        <v>72</v>
      </c>
      <c r="AE764" t="s">
        <v>72</v>
      </c>
      <c r="AF764" t="s">
        <v>45</v>
      </c>
    </row>
    <row r="765" spans="1:32" x14ac:dyDescent="0.25">
      <c r="A765">
        <v>843</v>
      </c>
      <c r="B765">
        <v>43</v>
      </c>
      <c r="C765" t="s">
        <v>43</v>
      </c>
      <c r="D765" t="s">
        <v>33</v>
      </c>
      <c r="E765" t="s">
        <v>34</v>
      </c>
      <c r="F765" t="s">
        <v>67</v>
      </c>
      <c r="G765" t="s">
        <v>38</v>
      </c>
      <c r="H765" t="s">
        <v>37</v>
      </c>
      <c r="I765" t="s">
        <v>50</v>
      </c>
      <c r="J765" t="s">
        <v>71</v>
      </c>
      <c r="K765">
        <v>1</v>
      </c>
      <c r="L765">
        <v>4</v>
      </c>
      <c r="M765" t="s">
        <v>48</v>
      </c>
      <c r="N765" t="s">
        <v>61</v>
      </c>
      <c r="O765" t="s">
        <v>36</v>
      </c>
      <c r="P765" t="s">
        <v>43</v>
      </c>
      <c r="Q765">
        <v>24</v>
      </c>
      <c r="R765">
        <v>6</v>
      </c>
      <c r="S765">
        <v>22</v>
      </c>
      <c r="T765">
        <v>1</v>
      </c>
      <c r="U765">
        <v>0</v>
      </c>
      <c r="V765">
        <v>14</v>
      </c>
      <c r="W765">
        <v>94</v>
      </c>
      <c r="X765">
        <v>589</v>
      </c>
      <c r="Y765">
        <v>5200</v>
      </c>
      <c r="Z765">
        <v>17159</v>
      </c>
      <c r="AA765">
        <v>3</v>
      </c>
      <c r="AB765">
        <v>29246</v>
      </c>
      <c r="AC765" s="10">
        <v>43372</v>
      </c>
      <c r="AD765" s="10" t="s">
        <v>72</v>
      </c>
      <c r="AE765" t="s">
        <v>72</v>
      </c>
      <c r="AF765" t="s">
        <v>45</v>
      </c>
    </row>
    <row r="766" spans="1:32" x14ac:dyDescent="0.25">
      <c r="A766">
        <v>68</v>
      </c>
      <c r="B766">
        <v>44</v>
      </c>
      <c r="C766" t="s">
        <v>43</v>
      </c>
      <c r="D766" t="s">
        <v>33</v>
      </c>
      <c r="E766" t="s">
        <v>56</v>
      </c>
      <c r="F766" t="s">
        <v>70</v>
      </c>
      <c r="G766" t="s">
        <v>38</v>
      </c>
      <c r="H766" t="s">
        <v>47</v>
      </c>
      <c r="I766" t="s">
        <v>50</v>
      </c>
      <c r="J766" t="s">
        <v>57</v>
      </c>
      <c r="K766">
        <v>1</v>
      </c>
      <c r="L766">
        <v>4</v>
      </c>
      <c r="M766" t="s">
        <v>60</v>
      </c>
      <c r="N766" t="s">
        <v>52</v>
      </c>
      <c r="O766" t="s">
        <v>36</v>
      </c>
      <c r="P766" t="s">
        <v>32</v>
      </c>
      <c r="Q766">
        <v>21</v>
      </c>
      <c r="R766">
        <v>5</v>
      </c>
      <c r="S766">
        <v>9</v>
      </c>
      <c r="T766">
        <v>1</v>
      </c>
      <c r="U766">
        <v>3</v>
      </c>
      <c r="V766">
        <v>1</v>
      </c>
      <c r="W766">
        <v>75</v>
      </c>
      <c r="X766">
        <v>1488</v>
      </c>
      <c r="Y766">
        <v>4009</v>
      </c>
      <c r="Z766">
        <v>5454</v>
      </c>
      <c r="AA766">
        <v>2</v>
      </c>
      <c r="AB766">
        <v>28865</v>
      </c>
      <c r="AC766" s="10">
        <v>43375</v>
      </c>
      <c r="AD766" s="10" t="s">
        <v>72</v>
      </c>
      <c r="AE766" t="s">
        <v>72</v>
      </c>
      <c r="AF766" t="s">
        <v>45</v>
      </c>
    </row>
    <row r="767" spans="1:32" x14ac:dyDescent="0.25">
      <c r="A767">
        <v>800</v>
      </c>
      <c r="B767">
        <v>27</v>
      </c>
      <c r="C767" t="s">
        <v>43</v>
      </c>
      <c r="D767" t="s">
        <v>46</v>
      </c>
      <c r="E767" t="s">
        <v>56</v>
      </c>
      <c r="F767" t="s">
        <v>64</v>
      </c>
      <c r="G767" t="s">
        <v>50</v>
      </c>
      <c r="H767" t="s">
        <v>37</v>
      </c>
      <c r="I767" t="s">
        <v>50</v>
      </c>
      <c r="J767" t="s">
        <v>57</v>
      </c>
      <c r="K767">
        <v>4</v>
      </c>
      <c r="L767">
        <v>1</v>
      </c>
      <c r="M767" t="s">
        <v>48</v>
      </c>
      <c r="N767" t="s">
        <v>61</v>
      </c>
      <c r="O767" t="s">
        <v>36</v>
      </c>
      <c r="P767" t="s">
        <v>43</v>
      </c>
      <c r="Q767">
        <v>19</v>
      </c>
      <c r="R767">
        <v>0</v>
      </c>
      <c r="S767">
        <v>5</v>
      </c>
      <c r="T767">
        <v>1</v>
      </c>
      <c r="U767">
        <v>1</v>
      </c>
      <c r="V767">
        <v>8</v>
      </c>
      <c r="W767">
        <v>84</v>
      </c>
      <c r="X767">
        <v>829</v>
      </c>
      <c r="Y767">
        <v>24008</v>
      </c>
      <c r="Z767">
        <v>4342</v>
      </c>
      <c r="AA767">
        <v>3</v>
      </c>
      <c r="AB767">
        <v>35010</v>
      </c>
      <c r="AC767" s="10">
        <v>43397</v>
      </c>
      <c r="AD767" s="10" t="s">
        <v>72</v>
      </c>
      <c r="AE767" t="s">
        <v>72</v>
      </c>
      <c r="AF767" t="s">
        <v>45</v>
      </c>
    </row>
    <row r="768" spans="1:32" x14ac:dyDescent="0.25">
      <c r="A768">
        <v>1659</v>
      </c>
      <c r="B768">
        <v>36</v>
      </c>
      <c r="C768" t="s">
        <v>43</v>
      </c>
      <c r="D768" t="s">
        <v>33</v>
      </c>
      <c r="E768" t="s">
        <v>34</v>
      </c>
      <c r="F768" t="s">
        <v>49</v>
      </c>
      <c r="G768" t="s">
        <v>36</v>
      </c>
      <c r="H768" t="s">
        <v>37</v>
      </c>
      <c r="I768" t="s">
        <v>50</v>
      </c>
      <c r="J768" t="s">
        <v>51</v>
      </c>
      <c r="K768">
        <v>2</v>
      </c>
      <c r="L768">
        <v>2</v>
      </c>
      <c r="M768" t="s">
        <v>48</v>
      </c>
      <c r="N768" t="s">
        <v>41</v>
      </c>
      <c r="O768" t="s">
        <v>42</v>
      </c>
      <c r="P768" t="s">
        <v>43</v>
      </c>
      <c r="Q768">
        <v>11</v>
      </c>
      <c r="R768">
        <v>2</v>
      </c>
      <c r="S768">
        <v>15</v>
      </c>
      <c r="T768">
        <v>1</v>
      </c>
      <c r="U768">
        <v>3</v>
      </c>
      <c r="V768">
        <v>7</v>
      </c>
      <c r="W768">
        <v>77</v>
      </c>
      <c r="X768">
        <v>311</v>
      </c>
      <c r="Y768">
        <v>10950</v>
      </c>
      <c r="Z768">
        <v>2013</v>
      </c>
      <c r="AA768">
        <v>4</v>
      </c>
      <c r="AB768">
        <v>31656</v>
      </c>
      <c r="AC768" s="10">
        <v>43524</v>
      </c>
      <c r="AD768" s="10" t="s">
        <v>72</v>
      </c>
      <c r="AE768" t="s">
        <v>72</v>
      </c>
      <c r="AF768" t="s">
        <v>45</v>
      </c>
    </row>
    <row r="769" spans="1:32" x14ac:dyDescent="0.25">
      <c r="A769">
        <v>1173</v>
      </c>
      <c r="B769">
        <v>24</v>
      </c>
      <c r="C769" t="s">
        <v>43</v>
      </c>
      <c r="D769" t="s">
        <v>33</v>
      </c>
      <c r="E769" t="s">
        <v>34</v>
      </c>
      <c r="F769" t="s">
        <v>49</v>
      </c>
      <c r="G769" t="s">
        <v>59</v>
      </c>
      <c r="H769" t="s">
        <v>37</v>
      </c>
      <c r="I769" t="s">
        <v>50</v>
      </c>
      <c r="J769" t="s">
        <v>51</v>
      </c>
      <c r="K769">
        <v>2</v>
      </c>
      <c r="L769">
        <v>4</v>
      </c>
      <c r="M769" t="s">
        <v>48</v>
      </c>
      <c r="N769" t="s">
        <v>41</v>
      </c>
      <c r="O769" t="s">
        <v>42</v>
      </c>
      <c r="P769" t="s">
        <v>43</v>
      </c>
      <c r="Q769">
        <v>22</v>
      </c>
      <c r="R769">
        <v>8</v>
      </c>
      <c r="S769">
        <v>6</v>
      </c>
      <c r="T769">
        <v>1</v>
      </c>
      <c r="U769">
        <v>2</v>
      </c>
      <c r="V769">
        <v>24</v>
      </c>
      <c r="W769">
        <v>49</v>
      </c>
      <c r="X769">
        <v>477</v>
      </c>
      <c r="Y769">
        <v>6409</v>
      </c>
      <c r="Z769">
        <v>3597</v>
      </c>
      <c r="AA769">
        <v>2</v>
      </c>
      <c r="AB769">
        <v>36165</v>
      </c>
      <c r="AC769" s="10">
        <v>43570</v>
      </c>
      <c r="AD769" s="10" t="s">
        <v>72</v>
      </c>
      <c r="AE769" t="s">
        <v>72</v>
      </c>
      <c r="AF769" t="s">
        <v>45</v>
      </c>
    </row>
    <row r="770" spans="1:32" x14ac:dyDescent="0.25">
      <c r="A770">
        <v>1814</v>
      </c>
      <c r="B770">
        <v>41</v>
      </c>
      <c r="C770" t="s">
        <v>43</v>
      </c>
      <c r="D770" t="s">
        <v>33</v>
      </c>
      <c r="E770" t="s">
        <v>34</v>
      </c>
      <c r="F770" t="s">
        <v>49</v>
      </c>
      <c r="G770" t="s">
        <v>38</v>
      </c>
      <c r="H770" t="s">
        <v>37</v>
      </c>
      <c r="I770" t="s">
        <v>59</v>
      </c>
      <c r="J770" t="s">
        <v>62</v>
      </c>
      <c r="K770">
        <v>2</v>
      </c>
      <c r="L770">
        <v>1</v>
      </c>
      <c r="M770" t="s">
        <v>40</v>
      </c>
      <c r="N770" t="s">
        <v>41</v>
      </c>
      <c r="O770" t="s">
        <v>42</v>
      </c>
      <c r="P770" t="s">
        <v>43</v>
      </c>
      <c r="Q770">
        <v>12</v>
      </c>
      <c r="R770">
        <v>3</v>
      </c>
      <c r="S770">
        <v>11</v>
      </c>
      <c r="T770">
        <v>1</v>
      </c>
      <c r="U770">
        <v>2</v>
      </c>
      <c r="V770">
        <v>5</v>
      </c>
      <c r="W770">
        <v>85</v>
      </c>
      <c r="X770">
        <v>447</v>
      </c>
      <c r="Y770">
        <v>15530</v>
      </c>
      <c r="Z770">
        <v>6870</v>
      </c>
      <c r="AA770">
        <v>3</v>
      </c>
      <c r="AB770">
        <v>29943</v>
      </c>
      <c r="AC770" s="10">
        <v>43685</v>
      </c>
      <c r="AD770" s="10" t="s">
        <v>72</v>
      </c>
      <c r="AE770" t="s">
        <v>72</v>
      </c>
      <c r="AF770" t="s">
        <v>55</v>
      </c>
    </row>
    <row r="771" spans="1:32" x14ac:dyDescent="0.25">
      <c r="A771">
        <v>1509</v>
      </c>
      <c r="B771">
        <v>49</v>
      </c>
      <c r="C771" t="s">
        <v>43</v>
      </c>
      <c r="D771" t="s">
        <v>33</v>
      </c>
      <c r="E771" t="s">
        <v>34</v>
      </c>
      <c r="F771" t="s">
        <v>67</v>
      </c>
      <c r="G771" t="s">
        <v>50</v>
      </c>
      <c r="H771" t="s">
        <v>47</v>
      </c>
      <c r="I771" t="s">
        <v>38</v>
      </c>
      <c r="J771" t="s">
        <v>51</v>
      </c>
      <c r="K771">
        <v>1</v>
      </c>
      <c r="L771">
        <v>4</v>
      </c>
      <c r="M771" t="s">
        <v>48</v>
      </c>
      <c r="N771" t="s">
        <v>61</v>
      </c>
      <c r="O771" t="s">
        <v>36</v>
      </c>
      <c r="P771" t="s">
        <v>43</v>
      </c>
      <c r="Q771">
        <v>25</v>
      </c>
      <c r="R771">
        <v>4</v>
      </c>
      <c r="S771">
        <v>10</v>
      </c>
      <c r="T771">
        <v>1</v>
      </c>
      <c r="U771">
        <v>2</v>
      </c>
      <c r="V771">
        <v>3</v>
      </c>
      <c r="W771">
        <v>43</v>
      </c>
      <c r="X771">
        <v>271</v>
      </c>
      <c r="Y771">
        <v>23070</v>
      </c>
      <c r="Z771">
        <v>4789</v>
      </c>
      <c r="AA771">
        <v>3</v>
      </c>
      <c r="AB771">
        <v>27154</v>
      </c>
      <c r="AC771" s="10">
        <v>43690</v>
      </c>
      <c r="AD771" s="10" t="s">
        <v>72</v>
      </c>
      <c r="AE771" t="s">
        <v>72</v>
      </c>
      <c r="AF771" t="s">
        <v>55</v>
      </c>
    </row>
    <row r="772" spans="1:32" x14ac:dyDescent="0.25">
      <c r="A772">
        <v>305</v>
      </c>
      <c r="B772">
        <v>33</v>
      </c>
      <c r="C772" t="s">
        <v>43</v>
      </c>
      <c r="D772" t="s">
        <v>33</v>
      </c>
      <c r="E772" t="s">
        <v>34</v>
      </c>
      <c r="F772" t="s">
        <v>35</v>
      </c>
      <c r="G772" t="s">
        <v>50</v>
      </c>
      <c r="H772" t="s">
        <v>47</v>
      </c>
      <c r="I772" t="s">
        <v>38</v>
      </c>
      <c r="J772" t="s">
        <v>39</v>
      </c>
      <c r="K772">
        <v>2</v>
      </c>
      <c r="L772">
        <v>4</v>
      </c>
      <c r="M772" t="s">
        <v>48</v>
      </c>
      <c r="N772" t="s">
        <v>61</v>
      </c>
      <c r="O772" t="s">
        <v>42</v>
      </c>
      <c r="P772" t="s">
        <v>43</v>
      </c>
      <c r="Q772">
        <v>21</v>
      </c>
      <c r="R772">
        <v>6</v>
      </c>
      <c r="S772">
        <v>7</v>
      </c>
      <c r="T772">
        <v>1</v>
      </c>
      <c r="U772">
        <v>1</v>
      </c>
      <c r="V772">
        <v>4</v>
      </c>
      <c r="W772">
        <v>47</v>
      </c>
      <c r="X772">
        <v>147</v>
      </c>
      <c r="Y772">
        <v>13248</v>
      </c>
      <c r="Z772">
        <v>2622</v>
      </c>
      <c r="AA772">
        <v>3</v>
      </c>
      <c r="AB772">
        <v>33006</v>
      </c>
      <c r="AC772" s="10">
        <v>43730</v>
      </c>
      <c r="AD772" s="10" t="s">
        <v>72</v>
      </c>
      <c r="AE772" t="s">
        <v>72</v>
      </c>
      <c r="AF772" t="s">
        <v>45</v>
      </c>
    </row>
    <row r="773" spans="1:32" x14ac:dyDescent="0.25">
      <c r="A773">
        <v>707</v>
      </c>
      <c r="B773">
        <v>25</v>
      </c>
      <c r="C773" t="s">
        <v>43</v>
      </c>
      <c r="D773" t="s">
        <v>33</v>
      </c>
      <c r="E773" t="s">
        <v>56</v>
      </c>
      <c r="F773" t="s">
        <v>49</v>
      </c>
      <c r="G773" t="s">
        <v>59</v>
      </c>
      <c r="H773" t="s">
        <v>37</v>
      </c>
      <c r="I773" t="s">
        <v>59</v>
      </c>
      <c r="J773" t="s">
        <v>57</v>
      </c>
      <c r="K773">
        <v>2</v>
      </c>
      <c r="L773">
        <v>4</v>
      </c>
      <c r="M773" t="s">
        <v>48</v>
      </c>
      <c r="N773" t="s">
        <v>61</v>
      </c>
      <c r="O773" t="s">
        <v>36</v>
      </c>
      <c r="P773" t="s">
        <v>43</v>
      </c>
      <c r="Q773">
        <v>22</v>
      </c>
      <c r="R773">
        <v>0</v>
      </c>
      <c r="S773">
        <v>4</v>
      </c>
      <c r="T773">
        <v>1</v>
      </c>
      <c r="U773">
        <v>2</v>
      </c>
      <c r="V773">
        <v>8</v>
      </c>
      <c r="W773">
        <v>57</v>
      </c>
      <c r="X773">
        <v>810</v>
      </c>
      <c r="Y773">
        <v>15678</v>
      </c>
      <c r="Z773">
        <v>4851</v>
      </c>
      <c r="AA773">
        <v>4</v>
      </c>
      <c r="AB773">
        <v>35858</v>
      </c>
      <c r="AC773" s="10">
        <v>43760</v>
      </c>
      <c r="AD773" s="10" t="s">
        <v>72</v>
      </c>
      <c r="AE773" t="s">
        <v>72</v>
      </c>
      <c r="AF773" t="s">
        <v>45</v>
      </c>
    </row>
    <row r="774" spans="1:32" x14ac:dyDescent="0.25">
      <c r="A774">
        <v>1473</v>
      </c>
      <c r="B774">
        <v>49</v>
      </c>
      <c r="C774" t="s">
        <v>43</v>
      </c>
      <c r="D774" t="s">
        <v>33</v>
      </c>
      <c r="E774" t="s">
        <v>34</v>
      </c>
      <c r="F774" t="s">
        <v>35</v>
      </c>
      <c r="G774" t="s">
        <v>36</v>
      </c>
      <c r="H774" t="s">
        <v>37</v>
      </c>
      <c r="I774" t="s">
        <v>50</v>
      </c>
      <c r="J774" t="s">
        <v>62</v>
      </c>
      <c r="K774">
        <v>3</v>
      </c>
      <c r="L774">
        <v>2</v>
      </c>
      <c r="M774" t="s">
        <v>60</v>
      </c>
      <c r="N774" t="s">
        <v>61</v>
      </c>
      <c r="O774" t="s">
        <v>36</v>
      </c>
      <c r="P774" t="s">
        <v>43</v>
      </c>
      <c r="Q774">
        <v>14</v>
      </c>
      <c r="R774">
        <v>2</v>
      </c>
      <c r="S774">
        <v>20</v>
      </c>
      <c r="T774">
        <v>1</v>
      </c>
      <c r="U774">
        <v>2</v>
      </c>
      <c r="V774">
        <v>5</v>
      </c>
      <c r="W774">
        <v>96</v>
      </c>
      <c r="X774">
        <v>1495</v>
      </c>
      <c r="Y774">
        <v>21534</v>
      </c>
      <c r="Z774">
        <v>6651</v>
      </c>
      <c r="AA774">
        <v>0</v>
      </c>
      <c r="AB774">
        <v>26950</v>
      </c>
      <c r="AC774" s="10">
        <v>43782</v>
      </c>
      <c r="AD774" s="10" t="s">
        <v>72</v>
      </c>
      <c r="AE774" t="s">
        <v>72</v>
      </c>
      <c r="AF774" t="s">
        <v>45</v>
      </c>
    </row>
    <row r="775" spans="1:32" x14ac:dyDescent="0.25">
      <c r="A775">
        <v>1556</v>
      </c>
      <c r="B775">
        <v>36</v>
      </c>
      <c r="C775" t="s">
        <v>43</v>
      </c>
      <c r="D775" t="s">
        <v>33</v>
      </c>
      <c r="E775" t="s">
        <v>56</v>
      </c>
      <c r="F775" t="s">
        <v>35</v>
      </c>
      <c r="G775" t="s">
        <v>50</v>
      </c>
      <c r="H775" t="s">
        <v>37</v>
      </c>
      <c r="I775" t="s">
        <v>50</v>
      </c>
      <c r="J775" t="s">
        <v>66</v>
      </c>
      <c r="K775">
        <v>4</v>
      </c>
      <c r="L775">
        <v>4</v>
      </c>
      <c r="M775" t="s">
        <v>60</v>
      </c>
      <c r="N775" t="s">
        <v>41</v>
      </c>
      <c r="O775" t="s">
        <v>42</v>
      </c>
      <c r="P775" t="s">
        <v>32</v>
      </c>
      <c r="Q775">
        <v>21</v>
      </c>
      <c r="R775">
        <v>3</v>
      </c>
      <c r="S775">
        <v>7</v>
      </c>
      <c r="T775">
        <v>1</v>
      </c>
      <c r="U775">
        <v>2</v>
      </c>
      <c r="V775">
        <v>2</v>
      </c>
      <c r="W775">
        <v>70</v>
      </c>
      <c r="X775">
        <v>1157</v>
      </c>
      <c r="Y775">
        <v>17001</v>
      </c>
      <c r="Z775">
        <v>2644</v>
      </c>
      <c r="AA775">
        <v>3</v>
      </c>
      <c r="AB775">
        <v>31680</v>
      </c>
      <c r="AC775" s="10">
        <v>43808</v>
      </c>
      <c r="AD775" s="10" t="s">
        <v>72</v>
      </c>
      <c r="AE775" t="s">
        <v>72</v>
      </c>
      <c r="AF775" t="s">
        <v>45</v>
      </c>
    </row>
    <row r="776" spans="1:32" x14ac:dyDescent="0.25">
      <c r="A776">
        <v>1883</v>
      </c>
      <c r="B776">
        <v>29</v>
      </c>
      <c r="C776" t="s">
        <v>43</v>
      </c>
      <c r="D776" t="s">
        <v>33</v>
      </c>
      <c r="E776" t="s">
        <v>34</v>
      </c>
      <c r="F776" t="s">
        <v>49</v>
      </c>
      <c r="G776" t="s">
        <v>59</v>
      </c>
      <c r="H776" t="s">
        <v>37</v>
      </c>
      <c r="I776" t="s">
        <v>50</v>
      </c>
      <c r="J776" t="s">
        <v>51</v>
      </c>
      <c r="K776">
        <v>1</v>
      </c>
      <c r="L776">
        <v>2</v>
      </c>
      <c r="M776" t="s">
        <v>48</v>
      </c>
      <c r="N776" t="s">
        <v>41</v>
      </c>
      <c r="O776" t="s">
        <v>42</v>
      </c>
      <c r="P776" t="s">
        <v>43</v>
      </c>
      <c r="Q776">
        <v>14</v>
      </c>
      <c r="R776">
        <v>3</v>
      </c>
      <c r="S776">
        <v>11</v>
      </c>
      <c r="T776">
        <v>1</v>
      </c>
      <c r="U776">
        <v>2</v>
      </c>
      <c r="V776">
        <v>7</v>
      </c>
      <c r="W776">
        <v>59</v>
      </c>
      <c r="X776">
        <v>592</v>
      </c>
      <c r="Y776">
        <v>19384</v>
      </c>
      <c r="Z776">
        <v>2062</v>
      </c>
      <c r="AA776">
        <v>2</v>
      </c>
      <c r="AB776">
        <v>34242</v>
      </c>
      <c r="AC776" s="10">
        <v>43810</v>
      </c>
      <c r="AD776" s="10" t="s">
        <v>72</v>
      </c>
      <c r="AE776" t="s">
        <v>72</v>
      </c>
      <c r="AF776" t="s">
        <v>45</v>
      </c>
    </row>
    <row r="777" spans="1:32" x14ac:dyDescent="0.25">
      <c r="A777">
        <v>525</v>
      </c>
      <c r="B777">
        <v>43</v>
      </c>
      <c r="C777" t="s">
        <v>43</v>
      </c>
      <c r="D777" t="s">
        <v>46</v>
      </c>
      <c r="E777" t="s">
        <v>34</v>
      </c>
      <c r="F777" t="s">
        <v>49</v>
      </c>
      <c r="G777" t="s">
        <v>59</v>
      </c>
      <c r="H777" t="s">
        <v>37</v>
      </c>
      <c r="I777" t="s">
        <v>50</v>
      </c>
      <c r="J777" t="s">
        <v>51</v>
      </c>
      <c r="K777">
        <v>4</v>
      </c>
      <c r="L777">
        <v>4</v>
      </c>
      <c r="M777" t="s">
        <v>48</v>
      </c>
      <c r="N777" t="s">
        <v>61</v>
      </c>
      <c r="O777" t="s">
        <v>36</v>
      </c>
      <c r="P777" t="s">
        <v>43</v>
      </c>
      <c r="Q777">
        <v>20</v>
      </c>
      <c r="R777">
        <v>7</v>
      </c>
      <c r="S777">
        <v>8</v>
      </c>
      <c r="T777">
        <v>1</v>
      </c>
      <c r="U777">
        <v>2</v>
      </c>
      <c r="V777">
        <v>21</v>
      </c>
      <c r="W777">
        <v>61</v>
      </c>
      <c r="X777">
        <v>313</v>
      </c>
      <c r="Y777">
        <v>15238</v>
      </c>
      <c r="Z777">
        <v>2258</v>
      </c>
      <c r="AA777">
        <v>1</v>
      </c>
      <c r="AB777">
        <v>29394</v>
      </c>
      <c r="AC777" s="10">
        <v>43814</v>
      </c>
      <c r="AD777" s="10" t="s">
        <v>72</v>
      </c>
      <c r="AE777" t="s">
        <v>72</v>
      </c>
      <c r="AF777" t="s">
        <v>55</v>
      </c>
    </row>
    <row r="778" spans="1:32" x14ac:dyDescent="0.25">
      <c r="A778">
        <v>1441</v>
      </c>
      <c r="B778">
        <v>56</v>
      </c>
      <c r="C778" t="s">
        <v>43</v>
      </c>
      <c r="D778" t="s">
        <v>33</v>
      </c>
      <c r="E778" t="s">
        <v>34</v>
      </c>
      <c r="F778" t="s">
        <v>67</v>
      </c>
      <c r="G778" t="s">
        <v>36</v>
      </c>
      <c r="H778" t="s">
        <v>47</v>
      </c>
      <c r="I778" t="s">
        <v>50</v>
      </c>
      <c r="J778" t="s">
        <v>39</v>
      </c>
      <c r="K778">
        <v>1</v>
      </c>
      <c r="L778">
        <v>4</v>
      </c>
      <c r="M778" t="s">
        <v>58</v>
      </c>
      <c r="N778" t="s">
        <v>61</v>
      </c>
      <c r="O778" t="s">
        <v>36</v>
      </c>
      <c r="P778" t="s">
        <v>43</v>
      </c>
      <c r="Q778">
        <v>22</v>
      </c>
      <c r="R778">
        <v>2</v>
      </c>
      <c r="S778">
        <v>5</v>
      </c>
      <c r="T778">
        <v>1</v>
      </c>
      <c r="U778">
        <v>0</v>
      </c>
      <c r="V778">
        <v>1</v>
      </c>
      <c r="W778">
        <v>90</v>
      </c>
      <c r="X778">
        <v>1255</v>
      </c>
      <c r="Y778">
        <v>10494</v>
      </c>
      <c r="Z778">
        <v>2066</v>
      </c>
      <c r="AA778">
        <v>3</v>
      </c>
      <c r="AB778">
        <v>24582</v>
      </c>
      <c r="AC778" s="10">
        <v>43831</v>
      </c>
      <c r="AD778" s="10" t="s">
        <v>72</v>
      </c>
      <c r="AE778" t="s">
        <v>72</v>
      </c>
      <c r="AF778" t="s">
        <v>45</v>
      </c>
    </row>
    <row r="779" spans="1:32" x14ac:dyDescent="0.25">
      <c r="A779">
        <v>1834</v>
      </c>
      <c r="B779">
        <v>28</v>
      </c>
      <c r="C779" t="s">
        <v>43</v>
      </c>
      <c r="D779" t="s">
        <v>33</v>
      </c>
      <c r="E779" t="s">
        <v>34</v>
      </c>
      <c r="F779" t="s">
        <v>49</v>
      </c>
      <c r="G779" t="s">
        <v>50</v>
      </c>
      <c r="H779" t="s">
        <v>47</v>
      </c>
      <c r="I779" t="s">
        <v>50</v>
      </c>
      <c r="J779" t="s">
        <v>39</v>
      </c>
      <c r="K779">
        <v>1</v>
      </c>
      <c r="L779">
        <v>4</v>
      </c>
      <c r="M779" t="s">
        <v>48</v>
      </c>
      <c r="N779" t="s">
        <v>61</v>
      </c>
      <c r="O779" t="s">
        <v>36</v>
      </c>
      <c r="P779" t="s">
        <v>43</v>
      </c>
      <c r="Q779">
        <v>25</v>
      </c>
      <c r="R779">
        <v>1</v>
      </c>
      <c r="S779">
        <v>3</v>
      </c>
      <c r="T779">
        <v>1</v>
      </c>
      <c r="U779">
        <v>2</v>
      </c>
      <c r="V779">
        <v>1</v>
      </c>
      <c r="W779">
        <v>67</v>
      </c>
      <c r="X779">
        <v>1217</v>
      </c>
      <c r="Y779">
        <v>12719</v>
      </c>
      <c r="Z779">
        <v>3591</v>
      </c>
      <c r="AA779">
        <v>3</v>
      </c>
      <c r="AB779">
        <v>34612</v>
      </c>
      <c r="AC779" s="10">
        <v>44002</v>
      </c>
      <c r="AD779" s="10" t="s">
        <v>72</v>
      </c>
      <c r="AE779" t="s">
        <v>72</v>
      </c>
      <c r="AF779" t="s">
        <v>45</v>
      </c>
    </row>
    <row r="780" spans="1:32" x14ac:dyDescent="0.25">
      <c r="A780">
        <v>1028</v>
      </c>
      <c r="B780">
        <v>35</v>
      </c>
      <c r="C780" t="s">
        <v>43</v>
      </c>
      <c r="D780" t="s">
        <v>33</v>
      </c>
      <c r="E780" t="s">
        <v>34</v>
      </c>
      <c r="F780" t="s">
        <v>49</v>
      </c>
      <c r="G780" t="s">
        <v>38</v>
      </c>
      <c r="H780" t="s">
        <v>37</v>
      </c>
      <c r="I780" t="s">
        <v>50</v>
      </c>
      <c r="J780" t="s">
        <v>51</v>
      </c>
      <c r="K780">
        <v>4</v>
      </c>
      <c r="L780">
        <v>4</v>
      </c>
      <c r="M780" t="s">
        <v>60</v>
      </c>
      <c r="N780" t="s">
        <v>52</v>
      </c>
      <c r="O780" t="s">
        <v>36</v>
      </c>
      <c r="P780" t="s">
        <v>43</v>
      </c>
      <c r="Q780">
        <v>20</v>
      </c>
      <c r="R780">
        <v>1</v>
      </c>
      <c r="S780">
        <v>3</v>
      </c>
      <c r="T780">
        <v>1</v>
      </c>
      <c r="U780">
        <v>2</v>
      </c>
      <c r="V780">
        <v>10</v>
      </c>
      <c r="W780">
        <v>45</v>
      </c>
      <c r="X780">
        <v>802</v>
      </c>
      <c r="Y780">
        <v>9541</v>
      </c>
      <c r="Z780">
        <v>3917</v>
      </c>
      <c r="AA780">
        <v>4</v>
      </c>
      <c r="AB780">
        <v>32228</v>
      </c>
      <c r="AC780" s="10">
        <v>44022</v>
      </c>
      <c r="AD780" s="10" t="s">
        <v>72</v>
      </c>
      <c r="AE780" t="s">
        <v>72</v>
      </c>
      <c r="AF780" t="s">
        <v>45</v>
      </c>
    </row>
    <row r="781" spans="1:32" x14ac:dyDescent="0.25">
      <c r="A781">
        <v>897</v>
      </c>
      <c r="B781">
        <v>53</v>
      </c>
      <c r="C781" t="s">
        <v>43</v>
      </c>
      <c r="D781" t="s">
        <v>33</v>
      </c>
      <c r="E781" t="s">
        <v>56</v>
      </c>
      <c r="F781" t="s">
        <v>49</v>
      </c>
      <c r="G781" t="s">
        <v>36</v>
      </c>
      <c r="H781" t="s">
        <v>37</v>
      </c>
      <c r="I781" t="s">
        <v>50</v>
      </c>
      <c r="J781" t="s">
        <v>57</v>
      </c>
      <c r="K781">
        <v>4</v>
      </c>
      <c r="L781">
        <v>4</v>
      </c>
      <c r="M781" t="s">
        <v>48</v>
      </c>
      <c r="N781" t="s">
        <v>61</v>
      </c>
      <c r="O781" t="s">
        <v>36</v>
      </c>
      <c r="P781" t="s">
        <v>43</v>
      </c>
      <c r="Q781">
        <v>14</v>
      </c>
      <c r="R781">
        <v>5</v>
      </c>
      <c r="S781">
        <v>28</v>
      </c>
      <c r="T781">
        <v>1</v>
      </c>
      <c r="U781">
        <v>1</v>
      </c>
      <c r="V781">
        <v>8</v>
      </c>
      <c r="W781">
        <v>73</v>
      </c>
      <c r="X781">
        <v>868</v>
      </c>
      <c r="Y781">
        <v>22789</v>
      </c>
      <c r="Z781">
        <v>11836</v>
      </c>
      <c r="AA781">
        <v>3</v>
      </c>
      <c r="AB781">
        <v>25595</v>
      </c>
      <c r="AC781" s="10">
        <v>44260</v>
      </c>
      <c r="AD781" s="10" t="s">
        <v>72</v>
      </c>
      <c r="AE781" t="s">
        <v>72</v>
      </c>
      <c r="AF781" t="s">
        <v>45</v>
      </c>
    </row>
    <row r="782" spans="1:32" x14ac:dyDescent="0.25">
      <c r="A782">
        <v>1644</v>
      </c>
      <c r="B782">
        <v>48</v>
      </c>
      <c r="C782" t="s">
        <v>43</v>
      </c>
      <c r="D782" t="s">
        <v>46</v>
      </c>
      <c r="E782" t="s">
        <v>34</v>
      </c>
      <c r="F782" t="s">
        <v>70</v>
      </c>
      <c r="G782" t="s">
        <v>50</v>
      </c>
      <c r="H782" t="s">
        <v>37</v>
      </c>
      <c r="I782" t="s">
        <v>38</v>
      </c>
      <c r="J782" t="s">
        <v>69</v>
      </c>
      <c r="K782">
        <v>4</v>
      </c>
      <c r="L782">
        <v>4</v>
      </c>
      <c r="M782" t="s">
        <v>48</v>
      </c>
      <c r="N782" t="s">
        <v>61</v>
      </c>
      <c r="O782" t="s">
        <v>36</v>
      </c>
      <c r="P782" t="s">
        <v>43</v>
      </c>
      <c r="Q782">
        <v>25</v>
      </c>
      <c r="R782">
        <v>2</v>
      </c>
      <c r="S782">
        <v>23</v>
      </c>
      <c r="T782">
        <v>1</v>
      </c>
      <c r="U782">
        <v>1</v>
      </c>
      <c r="V782">
        <v>4</v>
      </c>
      <c r="W782">
        <v>89</v>
      </c>
      <c r="X782">
        <v>365</v>
      </c>
      <c r="Y782">
        <v>5602</v>
      </c>
      <c r="Z782">
        <v>15202</v>
      </c>
      <c r="AA782">
        <v>3</v>
      </c>
      <c r="AB782">
        <v>27341</v>
      </c>
      <c r="AC782" s="10">
        <v>44275</v>
      </c>
      <c r="AD782" s="10" t="s">
        <v>72</v>
      </c>
      <c r="AE782" t="s">
        <v>72</v>
      </c>
      <c r="AF782" t="s">
        <v>55</v>
      </c>
    </row>
    <row r="783" spans="1:32" x14ac:dyDescent="0.25">
      <c r="A783">
        <v>531</v>
      </c>
      <c r="B783">
        <v>39</v>
      </c>
      <c r="C783" t="s">
        <v>43</v>
      </c>
      <c r="D783" t="s">
        <v>46</v>
      </c>
      <c r="E783" t="s">
        <v>34</v>
      </c>
      <c r="F783" t="s">
        <v>64</v>
      </c>
      <c r="G783" t="s">
        <v>38</v>
      </c>
      <c r="H783" t="s">
        <v>37</v>
      </c>
      <c r="I783" t="s">
        <v>50</v>
      </c>
      <c r="J783" t="s">
        <v>69</v>
      </c>
      <c r="K783">
        <v>3</v>
      </c>
      <c r="L783">
        <v>3</v>
      </c>
      <c r="M783" t="s">
        <v>48</v>
      </c>
      <c r="N783" t="s">
        <v>52</v>
      </c>
      <c r="O783" t="s">
        <v>36</v>
      </c>
      <c r="P783" t="s">
        <v>32</v>
      </c>
      <c r="Q783">
        <v>14</v>
      </c>
      <c r="R783">
        <v>1</v>
      </c>
      <c r="S783">
        <v>21</v>
      </c>
      <c r="T783">
        <v>1</v>
      </c>
      <c r="U783">
        <v>6</v>
      </c>
      <c r="V783">
        <v>1</v>
      </c>
      <c r="W783">
        <v>52</v>
      </c>
      <c r="X783">
        <v>1218</v>
      </c>
      <c r="Y783">
        <v>8213</v>
      </c>
      <c r="Z783">
        <v>19197</v>
      </c>
      <c r="AA783">
        <v>3</v>
      </c>
      <c r="AB783">
        <v>30537</v>
      </c>
      <c r="AC783" s="10">
        <v>37373</v>
      </c>
      <c r="AD783" s="10" t="s">
        <v>72</v>
      </c>
      <c r="AE783" t="s">
        <v>72</v>
      </c>
      <c r="AF783" t="s">
        <v>45</v>
      </c>
    </row>
    <row r="784" spans="1:32" x14ac:dyDescent="0.25">
      <c r="A784">
        <v>599</v>
      </c>
      <c r="B784">
        <v>41</v>
      </c>
      <c r="C784" t="s">
        <v>43</v>
      </c>
      <c r="D784" t="s">
        <v>63</v>
      </c>
      <c r="E784" t="s">
        <v>56</v>
      </c>
      <c r="F784" t="s">
        <v>67</v>
      </c>
      <c r="G784" t="s">
        <v>59</v>
      </c>
      <c r="H784" t="s">
        <v>37</v>
      </c>
      <c r="I784" t="s">
        <v>50</v>
      </c>
      <c r="J784" t="s">
        <v>57</v>
      </c>
      <c r="K784">
        <v>4</v>
      </c>
      <c r="L784">
        <v>3</v>
      </c>
      <c r="M784" t="s">
        <v>48</v>
      </c>
      <c r="N784" t="s">
        <v>41</v>
      </c>
      <c r="O784" t="s">
        <v>42</v>
      </c>
      <c r="P784" t="s">
        <v>43</v>
      </c>
      <c r="Q784">
        <v>14</v>
      </c>
      <c r="R784">
        <v>7</v>
      </c>
      <c r="S784">
        <v>16</v>
      </c>
      <c r="T784">
        <v>1</v>
      </c>
      <c r="U784">
        <v>10</v>
      </c>
      <c r="V784">
        <v>10</v>
      </c>
      <c r="W784">
        <v>56</v>
      </c>
      <c r="X784">
        <v>267</v>
      </c>
      <c r="Y784">
        <v>13430</v>
      </c>
      <c r="Z784">
        <v>6230</v>
      </c>
      <c r="AA784">
        <v>3</v>
      </c>
      <c r="AB784">
        <v>29997</v>
      </c>
      <c r="AC784" s="10">
        <v>39970</v>
      </c>
      <c r="AD784" s="10" t="s">
        <v>72</v>
      </c>
      <c r="AE784" t="s">
        <v>72</v>
      </c>
      <c r="AF784" t="s">
        <v>45</v>
      </c>
    </row>
    <row r="785" spans="1:32" x14ac:dyDescent="0.25">
      <c r="A785">
        <v>481</v>
      </c>
      <c r="B785">
        <v>36</v>
      </c>
      <c r="C785" t="s">
        <v>43</v>
      </c>
      <c r="D785" t="s">
        <v>46</v>
      </c>
      <c r="E785" t="s">
        <v>56</v>
      </c>
      <c r="F785" t="s">
        <v>35</v>
      </c>
      <c r="G785" t="s">
        <v>36</v>
      </c>
      <c r="H785" t="s">
        <v>37</v>
      </c>
      <c r="I785" t="s">
        <v>38</v>
      </c>
      <c r="J785" t="s">
        <v>57</v>
      </c>
      <c r="K785">
        <v>4</v>
      </c>
      <c r="L785">
        <v>3</v>
      </c>
      <c r="M785" t="s">
        <v>48</v>
      </c>
      <c r="N785" t="s">
        <v>61</v>
      </c>
      <c r="O785" t="s">
        <v>36</v>
      </c>
      <c r="P785" t="s">
        <v>43</v>
      </c>
      <c r="Q785">
        <v>11</v>
      </c>
      <c r="R785">
        <v>4</v>
      </c>
      <c r="S785">
        <v>16</v>
      </c>
      <c r="T785">
        <v>1</v>
      </c>
      <c r="U785">
        <v>12</v>
      </c>
      <c r="V785">
        <v>3</v>
      </c>
      <c r="W785">
        <v>48</v>
      </c>
      <c r="X785">
        <v>541</v>
      </c>
      <c r="Y785">
        <v>7246</v>
      </c>
      <c r="Z785">
        <v>9699</v>
      </c>
      <c r="AA785">
        <v>2</v>
      </c>
      <c r="AB785">
        <v>31733</v>
      </c>
      <c r="AC785" s="10">
        <v>40238</v>
      </c>
      <c r="AD785" s="10" t="s">
        <v>72</v>
      </c>
      <c r="AE785" t="s">
        <v>72</v>
      </c>
      <c r="AF785" t="s">
        <v>45</v>
      </c>
    </row>
    <row r="786" spans="1:32" x14ac:dyDescent="0.25">
      <c r="A786">
        <v>1756</v>
      </c>
      <c r="B786">
        <v>33</v>
      </c>
      <c r="C786" t="s">
        <v>43</v>
      </c>
      <c r="D786" t="s">
        <v>63</v>
      </c>
      <c r="E786" t="s">
        <v>56</v>
      </c>
      <c r="F786" t="s">
        <v>49</v>
      </c>
      <c r="G786" t="s">
        <v>59</v>
      </c>
      <c r="H786" t="s">
        <v>47</v>
      </c>
      <c r="I786" t="s">
        <v>50</v>
      </c>
      <c r="J786" t="s">
        <v>57</v>
      </c>
      <c r="K786">
        <v>2</v>
      </c>
      <c r="L786">
        <v>3</v>
      </c>
      <c r="M786" t="s">
        <v>60</v>
      </c>
      <c r="N786" t="s">
        <v>41</v>
      </c>
      <c r="O786" t="s">
        <v>42</v>
      </c>
      <c r="P786" t="s">
        <v>43</v>
      </c>
      <c r="Q786">
        <v>15</v>
      </c>
      <c r="R786">
        <v>8</v>
      </c>
      <c r="S786">
        <v>13</v>
      </c>
      <c r="T786">
        <v>1</v>
      </c>
      <c r="U786">
        <v>7</v>
      </c>
      <c r="V786">
        <v>2</v>
      </c>
      <c r="W786">
        <v>62</v>
      </c>
      <c r="X786">
        <v>1283</v>
      </c>
      <c r="Y786">
        <v>10697</v>
      </c>
      <c r="Z786">
        <v>5147</v>
      </c>
      <c r="AA786">
        <v>2</v>
      </c>
      <c r="AB786">
        <v>32800</v>
      </c>
      <c r="AC786" s="10">
        <v>40820</v>
      </c>
      <c r="AD786" s="10" t="s">
        <v>72</v>
      </c>
      <c r="AE786" t="s">
        <v>72</v>
      </c>
      <c r="AF786" t="s">
        <v>45</v>
      </c>
    </row>
    <row r="787" spans="1:32" x14ac:dyDescent="0.25">
      <c r="A787">
        <v>1289</v>
      </c>
      <c r="B787">
        <v>34</v>
      </c>
      <c r="C787" t="s">
        <v>43</v>
      </c>
      <c r="D787" t="s">
        <v>46</v>
      </c>
      <c r="E787" t="s">
        <v>68</v>
      </c>
      <c r="F787" t="s">
        <v>49</v>
      </c>
      <c r="G787" t="s">
        <v>50</v>
      </c>
      <c r="H787" t="s">
        <v>37</v>
      </c>
      <c r="I787" t="s">
        <v>38</v>
      </c>
      <c r="J787" t="s">
        <v>68</v>
      </c>
      <c r="K787">
        <v>2</v>
      </c>
      <c r="L787">
        <v>3</v>
      </c>
      <c r="M787" t="s">
        <v>58</v>
      </c>
      <c r="N787" t="s">
        <v>61</v>
      </c>
      <c r="O787" t="s">
        <v>53</v>
      </c>
      <c r="P787" t="s">
        <v>43</v>
      </c>
      <c r="Q787">
        <v>11</v>
      </c>
      <c r="R787">
        <v>4</v>
      </c>
      <c r="S787">
        <v>14</v>
      </c>
      <c r="T787">
        <v>1</v>
      </c>
      <c r="U787">
        <v>8</v>
      </c>
      <c r="V787">
        <v>11</v>
      </c>
      <c r="W787">
        <v>56</v>
      </c>
      <c r="X787">
        <v>648</v>
      </c>
      <c r="Y787">
        <v>21833</v>
      </c>
      <c r="Z787">
        <v>4490</v>
      </c>
      <c r="AA787">
        <v>5</v>
      </c>
      <c r="AB787">
        <v>32498</v>
      </c>
      <c r="AC787" s="10">
        <v>41160</v>
      </c>
      <c r="AD787" s="10" t="s">
        <v>72</v>
      </c>
      <c r="AE787" t="s">
        <v>72</v>
      </c>
      <c r="AF787" t="s">
        <v>45</v>
      </c>
    </row>
    <row r="788" spans="1:32" x14ac:dyDescent="0.25">
      <c r="A788">
        <v>256</v>
      </c>
      <c r="B788">
        <v>34</v>
      </c>
      <c r="C788" t="s">
        <v>43</v>
      </c>
      <c r="D788" t="s">
        <v>46</v>
      </c>
      <c r="E788" t="s">
        <v>34</v>
      </c>
      <c r="F788" t="s">
        <v>64</v>
      </c>
      <c r="G788" t="s">
        <v>59</v>
      </c>
      <c r="H788" t="s">
        <v>37</v>
      </c>
      <c r="I788" t="s">
        <v>38</v>
      </c>
      <c r="J788" t="s">
        <v>65</v>
      </c>
      <c r="K788">
        <v>3</v>
      </c>
      <c r="L788">
        <v>3</v>
      </c>
      <c r="M788" t="s">
        <v>60</v>
      </c>
      <c r="N788" t="s">
        <v>61</v>
      </c>
      <c r="O788" t="s">
        <v>42</v>
      </c>
      <c r="P788" t="s">
        <v>43</v>
      </c>
      <c r="Q788">
        <v>17</v>
      </c>
      <c r="R788">
        <v>1</v>
      </c>
      <c r="S788">
        <v>10</v>
      </c>
      <c r="T788">
        <v>1</v>
      </c>
      <c r="U788">
        <v>9</v>
      </c>
      <c r="V788">
        <v>2</v>
      </c>
      <c r="W788">
        <v>45</v>
      </c>
      <c r="X788">
        <v>1069</v>
      </c>
      <c r="Y788">
        <v>14074</v>
      </c>
      <c r="Z788">
        <v>9547</v>
      </c>
      <c r="AA788">
        <v>2</v>
      </c>
      <c r="AB788">
        <v>32505</v>
      </c>
      <c r="AC788" s="10">
        <v>41310</v>
      </c>
      <c r="AD788" s="10" t="s">
        <v>72</v>
      </c>
      <c r="AE788" t="s">
        <v>72</v>
      </c>
      <c r="AF788" t="s">
        <v>45</v>
      </c>
    </row>
    <row r="789" spans="1:32" x14ac:dyDescent="0.25">
      <c r="A789">
        <v>1350</v>
      </c>
      <c r="B789">
        <v>35</v>
      </c>
      <c r="C789" t="s">
        <v>43</v>
      </c>
      <c r="D789" t="s">
        <v>46</v>
      </c>
      <c r="E789" t="s">
        <v>34</v>
      </c>
      <c r="F789" t="s">
        <v>35</v>
      </c>
      <c r="G789" t="s">
        <v>50</v>
      </c>
      <c r="H789" t="s">
        <v>37</v>
      </c>
      <c r="I789" t="s">
        <v>50</v>
      </c>
      <c r="J789" t="s">
        <v>39</v>
      </c>
      <c r="K789">
        <v>3</v>
      </c>
      <c r="L789">
        <v>3</v>
      </c>
      <c r="M789" t="s">
        <v>48</v>
      </c>
      <c r="N789" t="s">
        <v>41</v>
      </c>
      <c r="O789" t="s">
        <v>42</v>
      </c>
      <c r="P789" t="s">
        <v>32</v>
      </c>
      <c r="Q789">
        <v>11</v>
      </c>
      <c r="R789">
        <v>1</v>
      </c>
      <c r="S789">
        <v>9</v>
      </c>
      <c r="T789">
        <v>1</v>
      </c>
      <c r="U789">
        <v>1</v>
      </c>
      <c r="V789">
        <v>4</v>
      </c>
      <c r="W789">
        <v>87</v>
      </c>
      <c r="X789">
        <v>482</v>
      </c>
      <c r="Y789">
        <v>2690</v>
      </c>
      <c r="Z789">
        <v>4249</v>
      </c>
      <c r="AA789">
        <v>3</v>
      </c>
      <c r="AB789">
        <v>32009</v>
      </c>
      <c r="AC789" s="10">
        <v>41532</v>
      </c>
      <c r="AD789" s="10" t="s">
        <v>72</v>
      </c>
      <c r="AE789" t="s">
        <v>72</v>
      </c>
      <c r="AF789" t="s">
        <v>55</v>
      </c>
    </row>
    <row r="790" spans="1:32" x14ac:dyDescent="0.25">
      <c r="A790">
        <v>2057</v>
      </c>
      <c r="B790">
        <v>31</v>
      </c>
      <c r="C790" t="s">
        <v>43</v>
      </c>
      <c r="D790" t="s">
        <v>63</v>
      </c>
      <c r="E790" t="s">
        <v>34</v>
      </c>
      <c r="F790" t="s">
        <v>49</v>
      </c>
      <c r="G790" t="s">
        <v>38</v>
      </c>
      <c r="H790" t="s">
        <v>37</v>
      </c>
      <c r="I790" t="s">
        <v>50</v>
      </c>
      <c r="J790" t="s">
        <v>65</v>
      </c>
      <c r="K790">
        <v>1</v>
      </c>
      <c r="L790">
        <v>3</v>
      </c>
      <c r="M790" t="s">
        <v>48</v>
      </c>
      <c r="N790" t="s">
        <v>41</v>
      </c>
      <c r="O790" t="s">
        <v>42</v>
      </c>
      <c r="P790" t="s">
        <v>43</v>
      </c>
      <c r="Q790">
        <v>19</v>
      </c>
      <c r="R790">
        <v>0</v>
      </c>
      <c r="S790">
        <v>10</v>
      </c>
      <c r="T790">
        <v>1</v>
      </c>
      <c r="U790">
        <v>7</v>
      </c>
      <c r="V790">
        <v>5</v>
      </c>
      <c r="W790">
        <v>74</v>
      </c>
      <c r="X790">
        <v>325</v>
      </c>
      <c r="Y790">
        <v>3787</v>
      </c>
      <c r="Z790">
        <v>9936</v>
      </c>
      <c r="AA790">
        <v>2</v>
      </c>
      <c r="AB790">
        <v>33701</v>
      </c>
      <c r="AC790" s="10">
        <v>41594</v>
      </c>
      <c r="AD790" s="10" t="s">
        <v>72</v>
      </c>
      <c r="AE790" t="s">
        <v>72</v>
      </c>
      <c r="AF790" t="s">
        <v>45</v>
      </c>
    </row>
    <row r="791" spans="1:32" x14ac:dyDescent="0.25">
      <c r="A791">
        <v>1771</v>
      </c>
      <c r="B791">
        <v>33</v>
      </c>
      <c r="C791" t="s">
        <v>43</v>
      </c>
      <c r="D791" t="s">
        <v>63</v>
      </c>
      <c r="E791" t="s">
        <v>34</v>
      </c>
      <c r="F791" t="s">
        <v>49</v>
      </c>
      <c r="G791" t="s">
        <v>59</v>
      </c>
      <c r="H791" t="s">
        <v>37</v>
      </c>
      <c r="I791" t="s">
        <v>50</v>
      </c>
      <c r="J791" t="s">
        <v>39</v>
      </c>
      <c r="K791">
        <v>2</v>
      </c>
      <c r="L791">
        <v>3</v>
      </c>
      <c r="M791" t="s">
        <v>60</v>
      </c>
      <c r="N791" t="s">
        <v>52</v>
      </c>
      <c r="O791" t="s">
        <v>53</v>
      </c>
      <c r="P791" t="s">
        <v>43</v>
      </c>
      <c r="Q791">
        <v>15</v>
      </c>
      <c r="R791">
        <v>5</v>
      </c>
      <c r="S791">
        <v>11</v>
      </c>
      <c r="T791">
        <v>1</v>
      </c>
      <c r="U791">
        <v>7</v>
      </c>
      <c r="V791">
        <v>4</v>
      </c>
      <c r="W791">
        <v>90</v>
      </c>
      <c r="X791">
        <v>775</v>
      </c>
      <c r="Y791">
        <v>6194</v>
      </c>
      <c r="Z791">
        <v>3055</v>
      </c>
      <c r="AA791">
        <v>2</v>
      </c>
      <c r="AB791">
        <v>33062</v>
      </c>
      <c r="AC791" s="10">
        <v>41672</v>
      </c>
      <c r="AD791" s="10" t="s">
        <v>72</v>
      </c>
      <c r="AE791" t="s">
        <v>72</v>
      </c>
      <c r="AF791" t="s">
        <v>55</v>
      </c>
    </row>
    <row r="792" spans="1:32" x14ac:dyDescent="0.25">
      <c r="A792">
        <v>56</v>
      </c>
      <c r="B792">
        <v>27</v>
      </c>
      <c r="C792" t="s">
        <v>43</v>
      </c>
      <c r="D792" t="s">
        <v>46</v>
      </c>
      <c r="E792" t="s">
        <v>56</v>
      </c>
      <c r="F792" t="s">
        <v>49</v>
      </c>
      <c r="G792" t="s">
        <v>59</v>
      </c>
      <c r="H792" t="s">
        <v>37</v>
      </c>
      <c r="I792" t="s">
        <v>50</v>
      </c>
      <c r="J792" t="s">
        <v>57</v>
      </c>
      <c r="K792">
        <v>3</v>
      </c>
      <c r="L792">
        <v>3</v>
      </c>
      <c r="M792" t="s">
        <v>48</v>
      </c>
      <c r="N792" t="s">
        <v>41</v>
      </c>
      <c r="O792" t="s">
        <v>42</v>
      </c>
      <c r="P792" t="s">
        <v>43</v>
      </c>
      <c r="Q792">
        <v>15</v>
      </c>
      <c r="R792">
        <v>1</v>
      </c>
      <c r="S792">
        <v>9</v>
      </c>
      <c r="T792">
        <v>1</v>
      </c>
      <c r="U792">
        <v>7</v>
      </c>
      <c r="V792">
        <v>8</v>
      </c>
      <c r="W792">
        <v>37</v>
      </c>
      <c r="X792">
        <v>994</v>
      </c>
      <c r="Y792">
        <v>2975</v>
      </c>
      <c r="Z792">
        <v>8726</v>
      </c>
      <c r="AA792">
        <v>0</v>
      </c>
      <c r="AB792">
        <v>35152</v>
      </c>
      <c r="AC792" s="10">
        <v>41800</v>
      </c>
      <c r="AD792" s="10" t="s">
        <v>72</v>
      </c>
      <c r="AE792" t="s">
        <v>72</v>
      </c>
      <c r="AF792" t="s">
        <v>45</v>
      </c>
    </row>
    <row r="793" spans="1:32" x14ac:dyDescent="0.25">
      <c r="A793">
        <v>430</v>
      </c>
      <c r="B793">
        <v>43</v>
      </c>
      <c r="C793" t="s">
        <v>43</v>
      </c>
      <c r="D793" t="s">
        <v>46</v>
      </c>
      <c r="E793" t="s">
        <v>34</v>
      </c>
      <c r="F793" t="s">
        <v>35</v>
      </c>
      <c r="G793" t="s">
        <v>50</v>
      </c>
      <c r="H793" t="s">
        <v>47</v>
      </c>
      <c r="I793" t="s">
        <v>50</v>
      </c>
      <c r="J793" t="s">
        <v>51</v>
      </c>
      <c r="K793">
        <v>4</v>
      </c>
      <c r="L793">
        <v>3</v>
      </c>
      <c r="M793" t="s">
        <v>48</v>
      </c>
      <c r="N793" t="s">
        <v>41</v>
      </c>
      <c r="O793" t="s">
        <v>42</v>
      </c>
      <c r="P793" t="s">
        <v>43</v>
      </c>
      <c r="Q793">
        <v>19</v>
      </c>
      <c r="R793">
        <v>0</v>
      </c>
      <c r="S793">
        <v>9</v>
      </c>
      <c r="T793">
        <v>1</v>
      </c>
      <c r="U793">
        <v>7</v>
      </c>
      <c r="V793">
        <v>10</v>
      </c>
      <c r="W793">
        <v>33</v>
      </c>
      <c r="X793">
        <v>185</v>
      </c>
      <c r="Y793">
        <v>10675</v>
      </c>
      <c r="Z793">
        <v>2455</v>
      </c>
      <c r="AA793">
        <v>5</v>
      </c>
      <c r="AB793">
        <v>29314</v>
      </c>
      <c r="AC793" s="10">
        <v>41861</v>
      </c>
      <c r="AD793" s="10" t="s">
        <v>72</v>
      </c>
      <c r="AE793" t="s">
        <v>72</v>
      </c>
      <c r="AF793" t="s">
        <v>45</v>
      </c>
    </row>
    <row r="794" spans="1:32" x14ac:dyDescent="0.25">
      <c r="A794">
        <v>1934</v>
      </c>
      <c r="B794">
        <v>47</v>
      </c>
      <c r="C794" t="s">
        <v>43</v>
      </c>
      <c r="D794" t="s">
        <v>63</v>
      </c>
      <c r="E794" t="s">
        <v>34</v>
      </c>
      <c r="F794" t="s">
        <v>35</v>
      </c>
      <c r="G794" t="s">
        <v>50</v>
      </c>
      <c r="H794" t="s">
        <v>37</v>
      </c>
      <c r="I794" t="s">
        <v>50</v>
      </c>
      <c r="J794" t="s">
        <v>39</v>
      </c>
      <c r="K794">
        <v>2</v>
      </c>
      <c r="L794">
        <v>3</v>
      </c>
      <c r="M794" t="s">
        <v>58</v>
      </c>
      <c r="N794" t="s">
        <v>61</v>
      </c>
      <c r="O794" t="s">
        <v>36</v>
      </c>
      <c r="P794" t="s">
        <v>43</v>
      </c>
      <c r="Q794">
        <v>18</v>
      </c>
      <c r="R794">
        <v>8</v>
      </c>
      <c r="S794">
        <v>16</v>
      </c>
      <c r="T794">
        <v>1</v>
      </c>
      <c r="U794">
        <v>7</v>
      </c>
      <c r="V794">
        <v>14</v>
      </c>
      <c r="W794">
        <v>64</v>
      </c>
      <c r="X794">
        <v>1169</v>
      </c>
      <c r="Y794">
        <v>2125</v>
      </c>
      <c r="Z794">
        <v>5467</v>
      </c>
      <c r="AA794">
        <v>4</v>
      </c>
      <c r="AB794">
        <v>27643</v>
      </c>
      <c r="AC794" s="10">
        <v>41892</v>
      </c>
      <c r="AD794" s="10" t="s">
        <v>72</v>
      </c>
      <c r="AE794" t="s">
        <v>72</v>
      </c>
      <c r="AF794" t="s">
        <v>45</v>
      </c>
    </row>
    <row r="795" spans="1:32" x14ac:dyDescent="0.25">
      <c r="A795">
        <v>286</v>
      </c>
      <c r="B795">
        <v>36</v>
      </c>
      <c r="C795" t="s">
        <v>43</v>
      </c>
      <c r="D795" t="s">
        <v>46</v>
      </c>
      <c r="E795" t="s">
        <v>34</v>
      </c>
      <c r="F795" t="s">
        <v>64</v>
      </c>
      <c r="G795" t="s">
        <v>38</v>
      </c>
      <c r="H795" t="s">
        <v>47</v>
      </c>
      <c r="I795" t="s">
        <v>50</v>
      </c>
      <c r="J795" t="s">
        <v>51</v>
      </c>
      <c r="K795">
        <v>4</v>
      </c>
      <c r="L795">
        <v>3</v>
      </c>
      <c r="M795" t="s">
        <v>48</v>
      </c>
      <c r="N795" t="s">
        <v>41</v>
      </c>
      <c r="O795" t="s">
        <v>42</v>
      </c>
      <c r="P795" t="s">
        <v>43</v>
      </c>
      <c r="Q795">
        <v>13</v>
      </c>
      <c r="R795">
        <v>1</v>
      </c>
      <c r="S795">
        <v>8</v>
      </c>
      <c r="T795">
        <v>1</v>
      </c>
      <c r="U795">
        <v>7</v>
      </c>
      <c r="V795">
        <v>18</v>
      </c>
      <c r="W795">
        <v>73</v>
      </c>
      <c r="X795">
        <v>635</v>
      </c>
      <c r="Y795">
        <v>7703</v>
      </c>
      <c r="Z795">
        <v>2153</v>
      </c>
      <c r="AA795">
        <v>2</v>
      </c>
      <c r="AB795">
        <v>31768</v>
      </c>
      <c r="AC795" s="10">
        <v>41976</v>
      </c>
      <c r="AD795" s="10" t="s">
        <v>72</v>
      </c>
      <c r="AE795" t="s">
        <v>72</v>
      </c>
      <c r="AF795" t="s">
        <v>45</v>
      </c>
    </row>
    <row r="796" spans="1:32" x14ac:dyDescent="0.25">
      <c r="A796">
        <v>1804</v>
      </c>
      <c r="B796">
        <v>35</v>
      </c>
      <c r="C796" t="s">
        <v>43</v>
      </c>
      <c r="D796" t="s">
        <v>63</v>
      </c>
      <c r="E796" t="s">
        <v>34</v>
      </c>
      <c r="F796" t="s">
        <v>67</v>
      </c>
      <c r="G796" t="s">
        <v>38</v>
      </c>
      <c r="H796" t="s">
        <v>37</v>
      </c>
      <c r="I796" t="s">
        <v>50</v>
      </c>
      <c r="J796" t="s">
        <v>65</v>
      </c>
      <c r="K796">
        <v>4</v>
      </c>
      <c r="L796">
        <v>3</v>
      </c>
      <c r="M796" t="s">
        <v>48</v>
      </c>
      <c r="N796" t="s">
        <v>52</v>
      </c>
      <c r="O796" t="s">
        <v>36</v>
      </c>
      <c r="P796" t="s">
        <v>43</v>
      </c>
      <c r="Q796">
        <v>14</v>
      </c>
      <c r="R796">
        <v>2</v>
      </c>
      <c r="S796">
        <v>15</v>
      </c>
      <c r="T796">
        <v>1</v>
      </c>
      <c r="U796">
        <v>7</v>
      </c>
      <c r="V796">
        <v>2</v>
      </c>
      <c r="W796">
        <v>90</v>
      </c>
      <c r="X796">
        <v>1180</v>
      </c>
      <c r="Y796">
        <v>24442</v>
      </c>
      <c r="Z796">
        <v>5762</v>
      </c>
      <c r="AA796">
        <v>6</v>
      </c>
      <c r="AB796">
        <v>32189</v>
      </c>
      <c r="AC796" s="10">
        <v>42288</v>
      </c>
      <c r="AD796" s="10" t="s">
        <v>72</v>
      </c>
      <c r="AE796" t="s">
        <v>72</v>
      </c>
      <c r="AF796" t="s">
        <v>45</v>
      </c>
    </row>
    <row r="797" spans="1:32" x14ac:dyDescent="0.25">
      <c r="A797">
        <v>1143</v>
      </c>
      <c r="B797">
        <v>29</v>
      </c>
      <c r="C797" t="s">
        <v>43</v>
      </c>
      <c r="D797" t="s">
        <v>46</v>
      </c>
      <c r="E797" t="s">
        <v>34</v>
      </c>
      <c r="F797" t="s">
        <v>49</v>
      </c>
      <c r="G797" t="s">
        <v>59</v>
      </c>
      <c r="H797" t="s">
        <v>47</v>
      </c>
      <c r="I797" t="s">
        <v>50</v>
      </c>
      <c r="J797" t="s">
        <v>39</v>
      </c>
      <c r="K797">
        <v>2</v>
      </c>
      <c r="L797">
        <v>3</v>
      </c>
      <c r="M797" t="s">
        <v>60</v>
      </c>
      <c r="N797" t="s">
        <v>52</v>
      </c>
      <c r="O797" t="s">
        <v>53</v>
      </c>
      <c r="P797" t="s">
        <v>43</v>
      </c>
      <c r="Q797">
        <v>14</v>
      </c>
      <c r="R797">
        <v>0</v>
      </c>
      <c r="S797">
        <v>8</v>
      </c>
      <c r="T797">
        <v>1</v>
      </c>
      <c r="U797">
        <v>1</v>
      </c>
      <c r="V797">
        <v>10</v>
      </c>
      <c r="W797">
        <v>61</v>
      </c>
      <c r="X797">
        <v>490</v>
      </c>
      <c r="Y797">
        <v>17940</v>
      </c>
      <c r="Z797">
        <v>3291</v>
      </c>
      <c r="AA797">
        <v>2</v>
      </c>
      <c r="AB797">
        <v>34508</v>
      </c>
      <c r="AC797" s="10">
        <v>42333</v>
      </c>
      <c r="AD797" s="10" t="s">
        <v>72</v>
      </c>
      <c r="AE797" t="s">
        <v>72</v>
      </c>
      <c r="AF797" t="s">
        <v>55</v>
      </c>
    </row>
    <row r="798" spans="1:32" x14ac:dyDescent="0.25">
      <c r="A798">
        <v>275</v>
      </c>
      <c r="B798">
        <v>49</v>
      </c>
      <c r="C798" t="s">
        <v>43</v>
      </c>
      <c r="D798" t="s">
        <v>63</v>
      </c>
      <c r="E798" t="s">
        <v>34</v>
      </c>
      <c r="F798" t="s">
        <v>35</v>
      </c>
      <c r="G798" t="s">
        <v>59</v>
      </c>
      <c r="H798" t="s">
        <v>37</v>
      </c>
      <c r="I798" t="s">
        <v>50</v>
      </c>
      <c r="J798" t="s">
        <v>65</v>
      </c>
      <c r="K798">
        <v>4</v>
      </c>
      <c r="L798">
        <v>3</v>
      </c>
      <c r="M798" t="s">
        <v>48</v>
      </c>
      <c r="N798" t="s">
        <v>52</v>
      </c>
      <c r="O798" t="s">
        <v>53</v>
      </c>
      <c r="P798" t="s">
        <v>32</v>
      </c>
      <c r="Q798">
        <v>15</v>
      </c>
      <c r="R798">
        <v>1</v>
      </c>
      <c r="S798">
        <v>7</v>
      </c>
      <c r="T798">
        <v>1</v>
      </c>
      <c r="U798">
        <v>7</v>
      </c>
      <c r="V798">
        <v>18</v>
      </c>
      <c r="W798">
        <v>92</v>
      </c>
      <c r="X798">
        <v>1002</v>
      </c>
      <c r="Y798">
        <v>23793</v>
      </c>
      <c r="Z798">
        <v>6804</v>
      </c>
      <c r="AA798">
        <v>0</v>
      </c>
      <c r="AB798">
        <v>26897</v>
      </c>
      <c r="AC798" s="10">
        <v>42345</v>
      </c>
      <c r="AD798" s="10" t="s">
        <v>72</v>
      </c>
      <c r="AE798" t="s">
        <v>72</v>
      </c>
      <c r="AF798" t="s">
        <v>55</v>
      </c>
    </row>
    <row r="799" spans="1:32" x14ac:dyDescent="0.25">
      <c r="A799">
        <v>1440</v>
      </c>
      <c r="B799">
        <v>37</v>
      </c>
      <c r="C799" t="s">
        <v>43</v>
      </c>
      <c r="D799" t="s">
        <v>63</v>
      </c>
      <c r="E799" t="s">
        <v>34</v>
      </c>
      <c r="F799" t="s">
        <v>67</v>
      </c>
      <c r="G799" t="s">
        <v>50</v>
      </c>
      <c r="H799" t="s">
        <v>37</v>
      </c>
      <c r="I799" t="s">
        <v>59</v>
      </c>
      <c r="J799" t="s">
        <v>51</v>
      </c>
      <c r="K799">
        <v>3</v>
      </c>
      <c r="L799">
        <v>3</v>
      </c>
      <c r="M799" t="s">
        <v>40</v>
      </c>
      <c r="N799" t="s">
        <v>41</v>
      </c>
      <c r="O799" t="s">
        <v>42</v>
      </c>
      <c r="P799" t="s">
        <v>43</v>
      </c>
      <c r="Q799">
        <v>14</v>
      </c>
      <c r="R799">
        <v>0</v>
      </c>
      <c r="S799">
        <v>7</v>
      </c>
      <c r="T799">
        <v>1</v>
      </c>
      <c r="U799">
        <v>3</v>
      </c>
      <c r="V799">
        <v>5</v>
      </c>
      <c r="W799">
        <v>84</v>
      </c>
      <c r="X799">
        <v>1413</v>
      </c>
      <c r="Y799">
        <v>25470</v>
      </c>
      <c r="Z799">
        <v>3500</v>
      </c>
      <c r="AA799">
        <v>2</v>
      </c>
      <c r="AB799">
        <v>31593</v>
      </c>
      <c r="AC799" s="10">
        <v>42579</v>
      </c>
      <c r="AD799" s="10" t="s">
        <v>72</v>
      </c>
      <c r="AE799" t="s">
        <v>72</v>
      </c>
      <c r="AF799" t="s">
        <v>45</v>
      </c>
    </row>
    <row r="800" spans="1:32" x14ac:dyDescent="0.25">
      <c r="A800">
        <v>269</v>
      </c>
      <c r="B800">
        <v>35</v>
      </c>
      <c r="C800" t="s">
        <v>43</v>
      </c>
      <c r="D800" t="s">
        <v>46</v>
      </c>
      <c r="E800" t="s">
        <v>34</v>
      </c>
      <c r="F800" t="s">
        <v>49</v>
      </c>
      <c r="G800" t="s">
        <v>38</v>
      </c>
      <c r="H800" t="s">
        <v>47</v>
      </c>
      <c r="I800" t="s">
        <v>50</v>
      </c>
      <c r="J800" t="s">
        <v>51</v>
      </c>
      <c r="K800">
        <v>2</v>
      </c>
      <c r="L800">
        <v>3</v>
      </c>
      <c r="M800" t="s">
        <v>48</v>
      </c>
      <c r="N800" t="s">
        <v>41</v>
      </c>
      <c r="O800" t="s">
        <v>42</v>
      </c>
      <c r="P800" t="s">
        <v>43</v>
      </c>
      <c r="Q800">
        <v>11</v>
      </c>
      <c r="R800">
        <v>5</v>
      </c>
      <c r="S800">
        <v>10</v>
      </c>
      <c r="T800">
        <v>1</v>
      </c>
      <c r="U800">
        <v>2</v>
      </c>
      <c r="V800">
        <v>2</v>
      </c>
      <c r="W800">
        <v>37</v>
      </c>
      <c r="X800">
        <v>138</v>
      </c>
      <c r="Y800">
        <v>15986</v>
      </c>
      <c r="Z800">
        <v>4425</v>
      </c>
      <c r="AA800">
        <v>5</v>
      </c>
      <c r="AB800">
        <v>32261</v>
      </c>
      <c r="AC800" s="10">
        <v>42594</v>
      </c>
      <c r="AD800" s="10" t="s">
        <v>72</v>
      </c>
      <c r="AE800" t="s">
        <v>72</v>
      </c>
      <c r="AF800" t="s">
        <v>45</v>
      </c>
    </row>
    <row r="801" spans="1:32" x14ac:dyDescent="0.25">
      <c r="A801">
        <v>998</v>
      </c>
      <c r="B801">
        <v>33</v>
      </c>
      <c r="C801" t="s">
        <v>43</v>
      </c>
      <c r="D801" t="s">
        <v>46</v>
      </c>
      <c r="E801" t="s">
        <v>34</v>
      </c>
      <c r="F801" t="s">
        <v>35</v>
      </c>
      <c r="G801" t="s">
        <v>50</v>
      </c>
      <c r="H801" t="s">
        <v>47</v>
      </c>
      <c r="I801" t="s">
        <v>59</v>
      </c>
      <c r="J801" t="s">
        <v>62</v>
      </c>
      <c r="K801">
        <v>2</v>
      </c>
      <c r="L801">
        <v>3</v>
      </c>
      <c r="M801" t="s">
        <v>48</v>
      </c>
      <c r="N801" t="s">
        <v>61</v>
      </c>
      <c r="O801" t="s">
        <v>36</v>
      </c>
      <c r="P801" t="s">
        <v>32</v>
      </c>
      <c r="Q801">
        <v>13</v>
      </c>
      <c r="R801">
        <v>1</v>
      </c>
      <c r="S801">
        <v>6</v>
      </c>
      <c r="T801">
        <v>1</v>
      </c>
      <c r="U801">
        <v>2</v>
      </c>
      <c r="V801">
        <v>1</v>
      </c>
      <c r="W801">
        <v>84</v>
      </c>
      <c r="X801">
        <v>827</v>
      </c>
      <c r="Y801">
        <v>20161</v>
      </c>
      <c r="Z801">
        <v>5488</v>
      </c>
      <c r="AA801">
        <v>2</v>
      </c>
      <c r="AB801">
        <v>32882</v>
      </c>
      <c r="AC801" s="10">
        <v>42634</v>
      </c>
      <c r="AD801" s="10" t="s">
        <v>72</v>
      </c>
      <c r="AE801" t="s">
        <v>72</v>
      </c>
      <c r="AF801" t="s">
        <v>45</v>
      </c>
    </row>
    <row r="802" spans="1:32" x14ac:dyDescent="0.25">
      <c r="A802">
        <v>2022</v>
      </c>
      <c r="B802">
        <v>39</v>
      </c>
      <c r="C802" t="s">
        <v>43</v>
      </c>
      <c r="D802" t="s">
        <v>63</v>
      </c>
      <c r="E802" t="s">
        <v>34</v>
      </c>
      <c r="F802" t="s">
        <v>49</v>
      </c>
      <c r="G802" t="s">
        <v>59</v>
      </c>
      <c r="H802" t="s">
        <v>37</v>
      </c>
      <c r="I802" t="s">
        <v>50</v>
      </c>
      <c r="J802" t="s">
        <v>69</v>
      </c>
      <c r="K802">
        <v>4</v>
      </c>
      <c r="L802">
        <v>3</v>
      </c>
      <c r="M802" t="s">
        <v>60</v>
      </c>
      <c r="N802" t="s">
        <v>41</v>
      </c>
      <c r="O802" t="s">
        <v>42</v>
      </c>
      <c r="P802" t="s">
        <v>43</v>
      </c>
      <c r="Q802">
        <v>13</v>
      </c>
      <c r="R802">
        <v>2</v>
      </c>
      <c r="S802">
        <v>21</v>
      </c>
      <c r="T802">
        <v>1</v>
      </c>
      <c r="U802">
        <v>3</v>
      </c>
      <c r="V802">
        <v>9</v>
      </c>
      <c r="W802">
        <v>87</v>
      </c>
      <c r="X802">
        <v>105</v>
      </c>
      <c r="Y802">
        <v>15302</v>
      </c>
      <c r="Z802">
        <v>19431</v>
      </c>
      <c r="AA802">
        <v>3</v>
      </c>
      <c r="AB802">
        <v>30634</v>
      </c>
      <c r="AC802" s="10">
        <v>42679</v>
      </c>
      <c r="AD802" s="10" t="s">
        <v>72</v>
      </c>
      <c r="AE802" t="s">
        <v>72</v>
      </c>
      <c r="AF802" t="s">
        <v>45</v>
      </c>
    </row>
    <row r="803" spans="1:32" x14ac:dyDescent="0.25">
      <c r="A803">
        <v>1700</v>
      </c>
      <c r="B803">
        <v>37</v>
      </c>
      <c r="C803" t="s">
        <v>43</v>
      </c>
      <c r="D803" t="s">
        <v>46</v>
      </c>
      <c r="E803" t="s">
        <v>56</v>
      </c>
      <c r="F803" t="s">
        <v>35</v>
      </c>
      <c r="G803" t="s">
        <v>50</v>
      </c>
      <c r="H803" t="s">
        <v>37</v>
      </c>
      <c r="I803" t="s">
        <v>36</v>
      </c>
      <c r="J803" t="s">
        <v>57</v>
      </c>
      <c r="K803">
        <v>4</v>
      </c>
      <c r="L803">
        <v>3</v>
      </c>
      <c r="M803" t="s">
        <v>60</v>
      </c>
      <c r="N803" t="s">
        <v>52</v>
      </c>
      <c r="O803" t="s">
        <v>53</v>
      </c>
      <c r="P803" t="s">
        <v>43</v>
      </c>
      <c r="Q803">
        <v>14</v>
      </c>
      <c r="R803">
        <v>1</v>
      </c>
      <c r="S803">
        <v>6</v>
      </c>
      <c r="T803">
        <v>1</v>
      </c>
      <c r="U803">
        <v>3</v>
      </c>
      <c r="V803">
        <v>1</v>
      </c>
      <c r="W803">
        <v>31</v>
      </c>
      <c r="X803">
        <v>1278</v>
      </c>
      <c r="Y803">
        <v>7677</v>
      </c>
      <c r="Z803">
        <v>9525</v>
      </c>
      <c r="AA803">
        <v>2</v>
      </c>
      <c r="AB803">
        <v>31345</v>
      </c>
      <c r="AC803" s="10">
        <v>42722</v>
      </c>
      <c r="AD803" s="10" t="s">
        <v>72</v>
      </c>
      <c r="AE803" t="s">
        <v>72</v>
      </c>
      <c r="AF803" t="s">
        <v>45</v>
      </c>
    </row>
    <row r="804" spans="1:32" x14ac:dyDescent="0.25">
      <c r="A804">
        <v>1563</v>
      </c>
      <c r="B804">
        <v>38</v>
      </c>
      <c r="C804" t="s">
        <v>43</v>
      </c>
      <c r="D804" t="s">
        <v>46</v>
      </c>
      <c r="E804" t="s">
        <v>68</v>
      </c>
      <c r="F804" t="s">
        <v>35</v>
      </c>
      <c r="G804" t="s">
        <v>50</v>
      </c>
      <c r="H804" t="s">
        <v>37</v>
      </c>
      <c r="I804" t="s">
        <v>50</v>
      </c>
      <c r="J804" t="s">
        <v>68</v>
      </c>
      <c r="K804">
        <v>3</v>
      </c>
      <c r="L804">
        <v>3</v>
      </c>
      <c r="M804" t="s">
        <v>48</v>
      </c>
      <c r="N804" t="s">
        <v>61</v>
      </c>
      <c r="O804" t="s">
        <v>42</v>
      </c>
      <c r="P804" t="s">
        <v>43</v>
      </c>
      <c r="Q804">
        <v>11</v>
      </c>
      <c r="R804">
        <v>3</v>
      </c>
      <c r="S804">
        <v>10</v>
      </c>
      <c r="T804">
        <v>1</v>
      </c>
      <c r="U804">
        <v>2</v>
      </c>
      <c r="V804">
        <v>10</v>
      </c>
      <c r="W804">
        <v>71</v>
      </c>
      <c r="X804">
        <v>888</v>
      </c>
      <c r="Y804">
        <v>14814</v>
      </c>
      <c r="Z804">
        <v>6077</v>
      </c>
      <c r="AA804">
        <v>2</v>
      </c>
      <c r="AB804">
        <v>31218</v>
      </c>
      <c r="AC804" s="10">
        <v>42792</v>
      </c>
      <c r="AD804" s="10" t="s">
        <v>72</v>
      </c>
      <c r="AE804" t="s">
        <v>72</v>
      </c>
      <c r="AF804" t="s">
        <v>45</v>
      </c>
    </row>
    <row r="805" spans="1:32" x14ac:dyDescent="0.25">
      <c r="A805">
        <v>1590</v>
      </c>
      <c r="B805">
        <v>29</v>
      </c>
      <c r="C805" t="s">
        <v>43</v>
      </c>
      <c r="D805" t="s">
        <v>46</v>
      </c>
      <c r="E805" t="s">
        <v>34</v>
      </c>
      <c r="F805" t="s">
        <v>64</v>
      </c>
      <c r="G805" t="s">
        <v>36</v>
      </c>
      <c r="H805" t="s">
        <v>37</v>
      </c>
      <c r="I805" t="s">
        <v>50</v>
      </c>
      <c r="J805" t="s">
        <v>62</v>
      </c>
      <c r="K805">
        <v>4</v>
      </c>
      <c r="L805">
        <v>3</v>
      </c>
      <c r="M805" t="s">
        <v>58</v>
      </c>
      <c r="N805" t="s">
        <v>52</v>
      </c>
      <c r="O805" t="s">
        <v>36</v>
      </c>
      <c r="P805" t="s">
        <v>43</v>
      </c>
      <c r="Q805">
        <v>19</v>
      </c>
      <c r="R805">
        <v>1</v>
      </c>
      <c r="S805">
        <v>6</v>
      </c>
      <c r="T805">
        <v>1</v>
      </c>
      <c r="U805">
        <v>3</v>
      </c>
      <c r="V805">
        <v>2</v>
      </c>
      <c r="W805">
        <v>87</v>
      </c>
      <c r="X805">
        <v>995</v>
      </c>
      <c r="Y805">
        <v>24483</v>
      </c>
      <c r="Z805">
        <v>8853</v>
      </c>
      <c r="AA805">
        <v>0</v>
      </c>
      <c r="AB805">
        <v>34299</v>
      </c>
      <c r="AC805" s="10">
        <v>42800</v>
      </c>
      <c r="AD805" s="10" t="s">
        <v>72</v>
      </c>
      <c r="AE805" t="s">
        <v>72</v>
      </c>
      <c r="AF805" t="s">
        <v>45</v>
      </c>
    </row>
    <row r="806" spans="1:32" x14ac:dyDescent="0.25">
      <c r="A806">
        <v>1972</v>
      </c>
      <c r="B806">
        <v>38</v>
      </c>
      <c r="C806" t="s">
        <v>43</v>
      </c>
      <c r="D806" t="s">
        <v>46</v>
      </c>
      <c r="E806" t="s">
        <v>68</v>
      </c>
      <c r="F806" t="s">
        <v>35</v>
      </c>
      <c r="G806" t="s">
        <v>59</v>
      </c>
      <c r="H806" t="s">
        <v>37</v>
      </c>
      <c r="I806" t="s">
        <v>50</v>
      </c>
      <c r="J806" t="s">
        <v>68</v>
      </c>
      <c r="K806">
        <v>2</v>
      </c>
      <c r="L806">
        <v>3</v>
      </c>
      <c r="M806" t="s">
        <v>48</v>
      </c>
      <c r="N806" t="s">
        <v>61</v>
      </c>
      <c r="O806" t="s">
        <v>36</v>
      </c>
      <c r="P806" t="s">
        <v>32</v>
      </c>
      <c r="Q806">
        <v>11</v>
      </c>
      <c r="R806">
        <v>0</v>
      </c>
      <c r="S806">
        <v>7</v>
      </c>
      <c r="T806">
        <v>1</v>
      </c>
      <c r="U806">
        <v>2</v>
      </c>
      <c r="V806">
        <v>1</v>
      </c>
      <c r="W806">
        <v>88</v>
      </c>
      <c r="X806">
        <v>1444</v>
      </c>
      <c r="Y806">
        <v>5224</v>
      </c>
      <c r="Z806">
        <v>2991</v>
      </c>
      <c r="AA806">
        <v>2</v>
      </c>
      <c r="AB806">
        <v>31187</v>
      </c>
      <c r="AC806" s="10">
        <v>42818</v>
      </c>
      <c r="AD806" s="10" t="s">
        <v>72</v>
      </c>
      <c r="AE806" t="s">
        <v>72</v>
      </c>
      <c r="AF806" t="s">
        <v>45</v>
      </c>
    </row>
    <row r="807" spans="1:32" x14ac:dyDescent="0.25">
      <c r="A807">
        <v>1646</v>
      </c>
      <c r="B807">
        <v>24</v>
      </c>
      <c r="C807" t="s">
        <v>43</v>
      </c>
      <c r="D807" t="s">
        <v>46</v>
      </c>
      <c r="E807" t="s">
        <v>34</v>
      </c>
      <c r="F807" t="s">
        <v>64</v>
      </c>
      <c r="G807" t="s">
        <v>36</v>
      </c>
      <c r="H807" t="s">
        <v>47</v>
      </c>
      <c r="I807" t="s">
        <v>50</v>
      </c>
      <c r="J807" t="s">
        <v>39</v>
      </c>
      <c r="K807">
        <v>4</v>
      </c>
      <c r="L807">
        <v>3</v>
      </c>
      <c r="M807" t="s">
        <v>48</v>
      </c>
      <c r="N807" t="s">
        <v>41</v>
      </c>
      <c r="O807" t="s">
        <v>42</v>
      </c>
      <c r="P807" t="s">
        <v>32</v>
      </c>
      <c r="Q807">
        <v>13</v>
      </c>
      <c r="R807">
        <v>1</v>
      </c>
      <c r="S807">
        <v>6</v>
      </c>
      <c r="T807">
        <v>1</v>
      </c>
      <c r="U807">
        <v>3</v>
      </c>
      <c r="V807">
        <v>2</v>
      </c>
      <c r="W807">
        <v>32</v>
      </c>
      <c r="X807">
        <v>567</v>
      </c>
      <c r="Y807">
        <v>17218</v>
      </c>
      <c r="Z807">
        <v>3760</v>
      </c>
      <c r="AA807">
        <v>2</v>
      </c>
      <c r="AB807">
        <v>36279</v>
      </c>
      <c r="AC807" s="10">
        <v>42838</v>
      </c>
      <c r="AD807" s="10" t="s">
        <v>72</v>
      </c>
      <c r="AE807" t="s">
        <v>72</v>
      </c>
      <c r="AF807" t="s">
        <v>45</v>
      </c>
    </row>
    <row r="808" spans="1:32" x14ac:dyDescent="0.25">
      <c r="A808">
        <v>369</v>
      </c>
      <c r="B808">
        <v>25</v>
      </c>
      <c r="C808" t="s">
        <v>43</v>
      </c>
      <c r="D808" t="s">
        <v>63</v>
      </c>
      <c r="E808" t="s">
        <v>34</v>
      </c>
      <c r="F808" t="s">
        <v>67</v>
      </c>
      <c r="G808" t="s">
        <v>38</v>
      </c>
      <c r="H808" t="s">
        <v>37</v>
      </c>
      <c r="I808" t="s">
        <v>59</v>
      </c>
      <c r="J808" t="s">
        <v>62</v>
      </c>
      <c r="K808">
        <v>1</v>
      </c>
      <c r="L808">
        <v>3</v>
      </c>
      <c r="M808" t="s">
        <v>48</v>
      </c>
      <c r="N808" t="s">
        <v>52</v>
      </c>
      <c r="O808" t="s">
        <v>53</v>
      </c>
      <c r="P808" t="s">
        <v>43</v>
      </c>
      <c r="Q808">
        <v>12</v>
      </c>
      <c r="R808">
        <v>1</v>
      </c>
      <c r="S808">
        <v>6</v>
      </c>
      <c r="T808">
        <v>1</v>
      </c>
      <c r="U808">
        <v>5</v>
      </c>
      <c r="V808">
        <v>5</v>
      </c>
      <c r="W808">
        <v>85</v>
      </c>
      <c r="X808">
        <v>675</v>
      </c>
      <c r="Y808">
        <v>18384</v>
      </c>
      <c r="Z808">
        <v>4000</v>
      </c>
      <c r="AA808">
        <v>2</v>
      </c>
      <c r="AB808">
        <v>35797</v>
      </c>
      <c r="AC808" s="10">
        <v>42935</v>
      </c>
      <c r="AD808" s="10" t="s">
        <v>72</v>
      </c>
      <c r="AE808" t="s">
        <v>72</v>
      </c>
      <c r="AF808" t="s">
        <v>55</v>
      </c>
    </row>
    <row r="809" spans="1:32" x14ac:dyDescent="0.25">
      <c r="A809">
        <v>1395</v>
      </c>
      <c r="B809">
        <v>33</v>
      </c>
      <c r="C809" t="s">
        <v>43</v>
      </c>
      <c r="D809" t="s">
        <v>46</v>
      </c>
      <c r="E809" t="s">
        <v>56</v>
      </c>
      <c r="F809" t="s">
        <v>64</v>
      </c>
      <c r="G809" t="s">
        <v>38</v>
      </c>
      <c r="H809" t="s">
        <v>37</v>
      </c>
      <c r="I809" t="s">
        <v>50</v>
      </c>
      <c r="J809" t="s">
        <v>57</v>
      </c>
      <c r="K809">
        <v>4</v>
      </c>
      <c r="L809">
        <v>3</v>
      </c>
      <c r="M809" t="s">
        <v>58</v>
      </c>
      <c r="N809" t="s">
        <v>61</v>
      </c>
      <c r="O809" t="s">
        <v>42</v>
      </c>
      <c r="P809" t="s">
        <v>43</v>
      </c>
      <c r="Q809">
        <v>13</v>
      </c>
      <c r="R809">
        <v>6</v>
      </c>
      <c r="S809">
        <v>8</v>
      </c>
      <c r="T809">
        <v>1</v>
      </c>
      <c r="U809">
        <v>2</v>
      </c>
      <c r="V809">
        <v>5</v>
      </c>
      <c r="W809">
        <v>61</v>
      </c>
      <c r="X809">
        <v>1111</v>
      </c>
      <c r="Y809">
        <v>19293</v>
      </c>
      <c r="Z809">
        <v>9998</v>
      </c>
      <c r="AA809">
        <v>2</v>
      </c>
      <c r="AB809">
        <v>33068</v>
      </c>
      <c r="AC809" s="10">
        <v>42952</v>
      </c>
      <c r="AD809" s="10" t="s">
        <v>72</v>
      </c>
      <c r="AE809" t="s">
        <v>72</v>
      </c>
      <c r="AF809" t="s">
        <v>45</v>
      </c>
    </row>
    <row r="810" spans="1:32" x14ac:dyDescent="0.25">
      <c r="A810">
        <v>983</v>
      </c>
      <c r="B810">
        <v>38</v>
      </c>
      <c r="C810" t="s">
        <v>43</v>
      </c>
      <c r="D810" t="s">
        <v>63</v>
      </c>
      <c r="E810" t="s">
        <v>56</v>
      </c>
      <c r="F810" t="s">
        <v>49</v>
      </c>
      <c r="G810" t="s">
        <v>50</v>
      </c>
      <c r="H810" t="s">
        <v>47</v>
      </c>
      <c r="I810" t="s">
        <v>50</v>
      </c>
      <c r="J810" t="s">
        <v>57</v>
      </c>
      <c r="K810">
        <v>4</v>
      </c>
      <c r="L810">
        <v>3</v>
      </c>
      <c r="M810" t="s">
        <v>48</v>
      </c>
      <c r="N810" t="s">
        <v>41</v>
      </c>
      <c r="O810" t="s">
        <v>42</v>
      </c>
      <c r="P810" t="s">
        <v>32</v>
      </c>
      <c r="Q810">
        <v>13</v>
      </c>
      <c r="R810">
        <v>1</v>
      </c>
      <c r="S810">
        <v>6</v>
      </c>
      <c r="T810">
        <v>1</v>
      </c>
      <c r="U810">
        <v>3</v>
      </c>
      <c r="V810">
        <v>10</v>
      </c>
      <c r="W810">
        <v>85</v>
      </c>
      <c r="X810">
        <v>152</v>
      </c>
      <c r="Y810">
        <v>19899</v>
      </c>
      <c r="Z810">
        <v>5666</v>
      </c>
      <c r="AA810">
        <v>1</v>
      </c>
      <c r="AB810">
        <v>31199</v>
      </c>
      <c r="AC810" s="10">
        <v>42956</v>
      </c>
      <c r="AD810" s="10" t="s">
        <v>72</v>
      </c>
      <c r="AE810" t="s">
        <v>72</v>
      </c>
      <c r="AF810" t="s">
        <v>45</v>
      </c>
    </row>
    <row r="811" spans="1:32" x14ac:dyDescent="0.25">
      <c r="A811">
        <v>52</v>
      </c>
      <c r="B811">
        <v>33</v>
      </c>
      <c r="C811" t="s">
        <v>43</v>
      </c>
      <c r="D811" t="s">
        <v>46</v>
      </c>
      <c r="E811" t="s">
        <v>56</v>
      </c>
      <c r="F811" t="s">
        <v>49</v>
      </c>
      <c r="G811" t="s">
        <v>50</v>
      </c>
      <c r="H811" t="s">
        <v>47</v>
      </c>
      <c r="I811" t="s">
        <v>59</v>
      </c>
      <c r="J811" t="s">
        <v>57</v>
      </c>
      <c r="K811">
        <v>1</v>
      </c>
      <c r="L811">
        <v>3</v>
      </c>
      <c r="M811" t="s">
        <v>48</v>
      </c>
      <c r="N811" t="s">
        <v>61</v>
      </c>
      <c r="O811" t="s">
        <v>53</v>
      </c>
      <c r="P811" t="s">
        <v>43</v>
      </c>
      <c r="Q811">
        <v>19</v>
      </c>
      <c r="R811">
        <v>2</v>
      </c>
      <c r="S811">
        <v>10</v>
      </c>
      <c r="T811">
        <v>1</v>
      </c>
      <c r="U811">
        <v>3</v>
      </c>
      <c r="V811">
        <v>1</v>
      </c>
      <c r="W811">
        <v>42</v>
      </c>
      <c r="X811">
        <v>1141</v>
      </c>
      <c r="Y811">
        <v>3193</v>
      </c>
      <c r="Z811">
        <v>5376</v>
      </c>
      <c r="AA811">
        <v>3</v>
      </c>
      <c r="AB811">
        <v>32905</v>
      </c>
      <c r="AC811" s="10">
        <v>42986</v>
      </c>
      <c r="AD811" s="10" t="s">
        <v>72</v>
      </c>
      <c r="AE811" t="s">
        <v>72</v>
      </c>
      <c r="AF811" t="s">
        <v>55</v>
      </c>
    </row>
    <row r="812" spans="1:32" x14ac:dyDescent="0.25">
      <c r="A812">
        <v>1068</v>
      </c>
      <c r="B812">
        <v>26</v>
      </c>
      <c r="C812" t="s">
        <v>43</v>
      </c>
      <c r="D812" t="s">
        <v>46</v>
      </c>
      <c r="E812" t="s">
        <v>34</v>
      </c>
      <c r="F812" t="s">
        <v>64</v>
      </c>
      <c r="G812" t="s">
        <v>36</v>
      </c>
      <c r="H812" t="s">
        <v>47</v>
      </c>
      <c r="I812" t="s">
        <v>38</v>
      </c>
      <c r="J812" t="s">
        <v>39</v>
      </c>
      <c r="K812">
        <v>3</v>
      </c>
      <c r="L812">
        <v>3</v>
      </c>
      <c r="M812" t="s">
        <v>48</v>
      </c>
      <c r="N812" t="s">
        <v>52</v>
      </c>
      <c r="O812" t="s">
        <v>53</v>
      </c>
      <c r="P812" t="s">
        <v>43</v>
      </c>
      <c r="Q812">
        <v>13</v>
      </c>
      <c r="R812">
        <v>1</v>
      </c>
      <c r="S812">
        <v>5</v>
      </c>
      <c r="T812">
        <v>1</v>
      </c>
      <c r="U812">
        <v>3</v>
      </c>
      <c r="V812">
        <v>1</v>
      </c>
      <c r="W812">
        <v>66</v>
      </c>
      <c r="X812">
        <v>921</v>
      </c>
      <c r="Y812">
        <v>25265</v>
      </c>
      <c r="Z812">
        <v>2007</v>
      </c>
      <c r="AA812">
        <v>5</v>
      </c>
      <c r="AB812">
        <v>35521</v>
      </c>
      <c r="AC812" s="10">
        <v>43048</v>
      </c>
      <c r="AD812" s="10" t="s">
        <v>72</v>
      </c>
      <c r="AE812" t="s">
        <v>72</v>
      </c>
      <c r="AF812" t="s">
        <v>45</v>
      </c>
    </row>
    <row r="813" spans="1:32" x14ac:dyDescent="0.25">
      <c r="A813">
        <v>449</v>
      </c>
      <c r="B813">
        <v>27</v>
      </c>
      <c r="C813" t="s">
        <v>43</v>
      </c>
      <c r="D813" t="s">
        <v>63</v>
      </c>
      <c r="E813" t="s">
        <v>56</v>
      </c>
      <c r="F813" t="s">
        <v>64</v>
      </c>
      <c r="G813" t="s">
        <v>50</v>
      </c>
      <c r="H813" t="s">
        <v>37</v>
      </c>
      <c r="I813" t="s">
        <v>50</v>
      </c>
      <c r="J813" t="s">
        <v>57</v>
      </c>
      <c r="K813">
        <v>2</v>
      </c>
      <c r="L813">
        <v>3</v>
      </c>
      <c r="M813" t="s">
        <v>48</v>
      </c>
      <c r="N813" t="s">
        <v>61</v>
      </c>
      <c r="O813" t="s">
        <v>36</v>
      </c>
      <c r="P813" t="s">
        <v>32</v>
      </c>
      <c r="Q813">
        <v>13</v>
      </c>
      <c r="R813">
        <v>0</v>
      </c>
      <c r="S813">
        <v>6</v>
      </c>
      <c r="T813">
        <v>1</v>
      </c>
      <c r="U813">
        <v>4</v>
      </c>
      <c r="V813">
        <v>1</v>
      </c>
      <c r="W813">
        <v>73</v>
      </c>
      <c r="X813">
        <v>210</v>
      </c>
      <c r="Y813">
        <v>22107</v>
      </c>
      <c r="Z813">
        <v>6349</v>
      </c>
      <c r="AA813">
        <v>0</v>
      </c>
      <c r="AB813">
        <v>35125</v>
      </c>
      <c r="AC813" s="10">
        <v>43056</v>
      </c>
      <c r="AD813" s="10" t="s">
        <v>72</v>
      </c>
      <c r="AE813" t="s">
        <v>72</v>
      </c>
      <c r="AF813" t="s">
        <v>45</v>
      </c>
    </row>
    <row r="814" spans="1:32" x14ac:dyDescent="0.25">
      <c r="A814">
        <v>308</v>
      </c>
      <c r="B814">
        <v>31</v>
      </c>
      <c r="C814" t="s">
        <v>43</v>
      </c>
      <c r="D814" t="s">
        <v>63</v>
      </c>
      <c r="E814" t="s">
        <v>34</v>
      </c>
      <c r="F814" t="s">
        <v>35</v>
      </c>
      <c r="G814" t="s">
        <v>50</v>
      </c>
      <c r="H814" t="s">
        <v>37</v>
      </c>
      <c r="I814" t="s">
        <v>36</v>
      </c>
      <c r="J814" t="s">
        <v>65</v>
      </c>
      <c r="K814">
        <v>3</v>
      </c>
      <c r="L814">
        <v>3</v>
      </c>
      <c r="M814" t="s">
        <v>48</v>
      </c>
      <c r="N814" t="s">
        <v>61</v>
      </c>
      <c r="O814" t="s">
        <v>36</v>
      </c>
      <c r="P814" t="s">
        <v>43</v>
      </c>
      <c r="Q814">
        <v>12</v>
      </c>
      <c r="R814">
        <v>0</v>
      </c>
      <c r="S814">
        <v>6</v>
      </c>
      <c r="T814">
        <v>1</v>
      </c>
      <c r="U814">
        <v>4</v>
      </c>
      <c r="V814">
        <v>1</v>
      </c>
      <c r="W814">
        <v>90</v>
      </c>
      <c r="X814">
        <v>979</v>
      </c>
      <c r="Y814">
        <v>4381</v>
      </c>
      <c r="Z814">
        <v>4345</v>
      </c>
      <c r="AA814">
        <v>2</v>
      </c>
      <c r="AB814">
        <v>33613</v>
      </c>
      <c r="AC814" s="10">
        <v>43076</v>
      </c>
      <c r="AD814" s="10" t="s">
        <v>72</v>
      </c>
      <c r="AE814" t="s">
        <v>72</v>
      </c>
      <c r="AF814" t="s">
        <v>45</v>
      </c>
    </row>
    <row r="815" spans="1:32" x14ac:dyDescent="0.25">
      <c r="A815">
        <v>562</v>
      </c>
      <c r="B815">
        <v>30</v>
      </c>
      <c r="C815" t="s">
        <v>43</v>
      </c>
      <c r="D815" t="s">
        <v>63</v>
      </c>
      <c r="E815" t="s">
        <v>34</v>
      </c>
      <c r="F815" t="s">
        <v>49</v>
      </c>
      <c r="G815" t="s">
        <v>50</v>
      </c>
      <c r="H815" t="s">
        <v>37</v>
      </c>
      <c r="I815" t="s">
        <v>50</v>
      </c>
      <c r="J815" t="s">
        <v>51</v>
      </c>
      <c r="K815">
        <v>4</v>
      </c>
      <c r="L815">
        <v>3</v>
      </c>
      <c r="M815" t="s">
        <v>40</v>
      </c>
      <c r="N815" t="s">
        <v>61</v>
      </c>
      <c r="O815" t="s">
        <v>36</v>
      </c>
      <c r="P815" t="s">
        <v>43</v>
      </c>
      <c r="Q815">
        <v>15</v>
      </c>
      <c r="R815">
        <v>4</v>
      </c>
      <c r="S815">
        <v>9</v>
      </c>
      <c r="T815">
        <v>1</v>
      </c>
      <c r="U815">
        <v>4</v>
      </c>
      <c r="V815">
        <v>3</v>
      </c>
      <c r="W815">
        <v>53</v>
      </c>
      <c r="X815">
        <v>1400</v>
      </c>
      <c r="Y815">
        <v>16734</v>
      </c>
      <c r="Z815">
        <v>2097</v>
      </c>
      <c r="AA815">
        <v>3</v>
      </c>
      <c r="AB815">
        <v>34006</v>
      </c>
      <c r="AC815" s="10">
        <v>43103</v>
      </c>
      <c r="AD815" s="10" t="s">
        <v>72</v>
      </c>
      <c r="AE815" t="s">
        <v>72</v>
      </c>
      <c r="AF815" t="s">
        <v>45</v>
      </c>
    </row>
    <row r="816" spans="1:32" x14ac:dyDescent="0.25">
      <c r="A816">
        <v>1947</v>
      </c>
      <c r="B816">
        <v>28</v>
      </c>
      <c r="C816" t="s">
        <v>43</v>
      </c>
      <c r="D816" t="s">
        <v>63</v>
      </c>
      <c r="E816" t="s">
        <v>34</v>
      </c>
      <c r="F816" t="s">
        <v>49</v>
      </c>
      <c r="G816" t="s">
        <v>50</v>
      </c>
      <c r="H816" t="s">
        <v>37</v>
      </c>
      <c r="I816" t="s">
        <v>50</v>
      </c>
      <c r="J816" t="s">
        <v>39</v>
      </c>
      <c r="K816">
        <v>3</v>
      </c>
      <c r="L816">
        <v>3</v>
      </c>
      <c r="M816" t="s">
        <v>60</v>
      </c>
      <c r="N816" t="s">
        <v>41</v>
      </c>
      <c r="O816" t="s">
        <v>42</v>
      </c>
      <c r="P816" t="s">
        <v>43</v>
      </c>
      <c r="Q816">
        <v>14</v>
      </c>
      <c r="R816">
        <v>1</v>
      </c>
      <c r="S816">
        <v>5</v>
      </c>
      <c r="T816">
        <v>1</v>
      </c>
      <c r="U816">
        <v>4</v>
      </c>
      <c r="V816">
        <v>16</v>
      </c>
      <c r="W816">
        <v>49</v>
      </c>
      <c r="X816">
        <v>1103</v>
      </c>
      <c r="Y816">
        <v>2122</v>
      </c>
      <c r="Z816">
        <v>2144</v>
      </c>
      <c r="AA816">
        <v>3</v>
      </c>
      <c r="AB816">
        <v>34586</v>
      </c>
      <c r="AC816" s="10">
        <v>43163</v>
      </c>
      <c r="AD816" s="10" t="s">
        <v>72</v>
      </c>
      <c r="AE816" t="s">
        <v>72</v>
      </c>
      <c r="AF816" t="s">
        <v>45</v>
      </c>
    </row>
    <row r="817" spans="1:32" x14ac:dyDescent="0.25">
      <c r="A817">
        <v>1955</v>
      </c>
      <c r="B817">
        <v>32</v>
      </c>
      <c r="C817" t="s">
        <v>43</v>
      </c>
      <c r="D817" t="s">
        <v>63</v>
      </c>
      <c r="E817" t="s">
        <v>34</v>
      </c>
      <c r="F817" t="s">
        <v>35</v>
      </c>
      <c r="G817" t="s">
        <v>50</v>
      </c>
      <c r="H817" t="s">
        <v>47</v>
      </c>
      <c r="I817" t="s">
        <v>50</v>
      </c>
      <c r="J817" t="s">
        <v>62</v>
      </c>
      <c r="K817">
        <v>4</v>
      </c>
      <c r="L817">
        <v>3</v>
      </c>
      <c r="M817" t="s">
        <v>48</v>
      </c>
      <c r="N817" t="s">
        <v>52</v>
      </c>
      <c r="O817" t="s">
        <v>36</v>
      </c>
      <c r="P817" t="s">
        <v>43</v>
      </c>
      <c r="Q817">
        <v>18</v>
      </c>
      <c r="R817">
        <v>5</v>
      </c>
      <c r="S817">
        <v>9</v>
      </c>
      <c r="T817">
        <v>1</v>
      </c>
      <c r="U817">
        <v>2</v>
      </c>
      <c r="V817">
        <v>15</v>
      </c>
      <c r="W817">
        <v>34</v>
      </c>
      <c r="X817">
        <v>1146</v>
      </c>
      <c r="Y817">
        <v>16542</v>
      </c>
      <c r="Z817">
        <v>6667</v>
      </c>
      <c r="AA817">
        <v>6</v>
      </c>
      <c r="AB817">
        <v>33183</v>
      </c>
      <c r="AC817" s="10">
        <v>43174</v>
      </c>
      <c r="AD817" s="10" t="s">
        <v>72</v>
      </c>
      <c r="AE817" t="s">
        <v>72</v>
      </c>
      <c r="AF817" t="s">
        <v>55</v>
      </c>
    </row>
    <row r="818" spans="1:32" x14ac:dyDescent="0.25">
      <c r="A818">
        <v>838</v>
      </c>
      <c r="B818">
        <v>34</v>
      </c>
      <c r="C818" t="s">
        <v>43</v>
      </c>
      <c r="D818" t="s">
        <v>46</v>
      </c>
      <c r="E818" t="s">
        <v>34</v>
      </c>
      <c r="F818" t="s">
        <v>35</v>
      </c>
      <c r="G818" t="s">
        <v>50</v>
      </c>
      <c r="H818" t="s">
        <v>47</v>
      </c>
      <c r="I818" t="s">
        <v>38</v>
      </c>
      <c r="J818" t="s">
        <v>39</v>
      </c>
      <c r="K818">
        <v>4</v>
      </c>
      <c r="L818">
        <v>3</v>
      </c>
      <c r="M818" t="s">
        <v>48</v>
      </c>
      <c r="N818" t="s">
        <v>41</v>
      </c>
      <c r="O818" t="s">
        <v>42</v>
      </c>
      <c r="P818" t="s">
        <v>43</v>
      </c>
      <c r="Q818">
        <v>16</v>
      </c>
      <c r="R818">
        <v>1</v>
      </c>
      <c r="S818">
        <v>6</v>
      </c>
      <c r="T818">
        <v>1</v>
      </c>
      <c r="U818">
        <v>3</v>
      </c>
      <c r="V818">
        <v>16</v>
      </c>
      <c r="W818">
        <v>100</v>
      </c>
      <c r="X818">
        <v>702</v>
      </c>
      <c r="Y818">
        <v>8306</v>
      </c>
      <c r="Z818">
        <v>2553</v>
      </c>
      <c r="AA818">
        <v>3</v>
      </c>
      <c r="AB818">
        <v>32436</v>
      </c>
      <c r="AC818" s="10">
        <v>43175</v>
      </c>
      <c r="AD818" s="10" t="s">
        <v>72</v>
      </c>
      <c r="AE818" t="s">
        <v>72</v>
      </c>
      <c r="AF818" t="s">
        <v>45</v>
      </c>
    </row>
    <row r="819" spans="1:32" x14ac:dyDescent="0.25">
      <c r="A819">
        <v>422</v>
      </c>
      <c r="B819">
        <v>58</v>
      </c>
      <c r="C819" t="s">
        <v>43</v>
      </c>
      <c r="D819" t="s">
        <v>63</v>
      </c>
      <c r="E819" t="s">
        <v>34</v>
      </c>
      <c r="F819" t="s">
        <v>35</v>
      </c>
      <c r="G819" t="s">
        <v>59</v>
      </c>
      <c r="H819" t="s">
        <v>37</v>
      </c>
      <c r="I819" t="s">
        <v>36</v>
      </c>
      <c r="J819" t="s">
        <v>62</v>
      </c>
      <c r="K819">
        <v>3</v>
      </c>
      <c r="L819">
        <v>3</v>
      </c>
      <c r="M819" t="s">
        <v>48</v>
      </c>
      <c r="N819" t="s">
        <v>52</v>
      </c>
      <c r="O819" t="s">
        <v>36</v>
      </c>
      <c r="P819" t="s">
        <v>32</v>
      </c>
      <c r="Q819">
        <v>13</v>
      </c>
      <c r="R819">
        <v>2</v>
      </c>
      <c r="S819">
        <v>12</v>
      </c>
      <c r="T819">
        <v>1</v>
      </c>
      <c r="U819">
        <v>2</v>
      </c>
      <c r="V819">
        <v>1</v>
      </c>
      <c r="W819">
        <v>32</v>
      </c>
      <c r="X819">
        <v>390</v>
      </c>
      <c r="Y819">
        <v>17056</v>
      </c>
      <c r="Z819">
        <v>5660</v>
      </c>
      <c r="AA819">
        <v>2</v>
      </c>
      <c r="AB819">
        <v>23669</v>
      </c>
      <c r="AC819" s="10">
        <v>43180</v>
      </c>
      <c r="AD819" s="10" t="s">
        <v>72</v>
      </c>
      <c r="AE819" t="s">
        <v>72</v>
      </c>
      <c r="AF819" t="s">
        <v>55</v>
      </c>
    </row>
    <row r="820" spans="1:32" x14ac:dyDescent="0.25">
      <c r="A820">
        <v>1245</v>
      </c>
      <c r="B820">
        <v>54</v>
      </c>
      <c r="C820" t="s">
        <v>43</v>
      </c>
      <c r="D820" t="s">
        <v>46</v>
      </c>
      <c r="E820" t="s">
        <v>34</v>
      </c>
      <c r="F820" t="s">
        <v>35</v>
      </c>
      <c r="G820" t="s">
        <v>59</v>
      </c>
      <c r="H820" t="s">
        <v>47</v>
      </c>
      <c r="I820" t="s">
        <v>50</v>
      </c>
      <c r="J820" t="s">
        <v>65</v>
      </c>
      <c r="K820">
        <v>3</v>
      </c>
      <c r="L820">
        <v>3</v>
      </c>
      <c r="M820" t="s">
        <v>40</v>
      </c>
      <c r="N820" t="s">
        <v>52</v>
      </c>
      <c r="O820" t="s">
        <v>36</v>
      </c>
      <c r="P820" t="s">
        <v>43</v>
      </c>
      <c r="Q820">
        <v>17</v>
      </c>
      <c r="R820">
        <v>7</v>
      </c>
      <c r="S820">
        <v>33</v>
      </c>
      <c r="T820">
        <v>1</v>
      </c>
      <c r="U820">
        <v>4</v>
      </c>
      <c r="V820">
        <v>1</v>
      </c>
      <c r="W820">
        <v>53</v>
      </c>
      <c r="X820">
        <v>966</v>
      </c>
      <c r="Y820">
        <v>9659</v>
      </c>
      <c r="Z820">
        <v>10502</v>
      </c>
      <c r="AA820">
        <v>2</v>
      </c>
      <c r="AB820">
        <v>25234</v>
      </c>
      <c r="AC820" s="10">
        <v>43207</v>
      </c>
      <c r="AD820" s="10" t="s">
        <v>72</v>
      </c>
      <c r="AE820" t="s">
        <v>72</v>
      </c>
      <c r="AF820" t="s">
        <v>55</v>
      </c>
    </row>
    <row r="821" spans="1:32" x14ac:dyDescent="0.25">
      <c r="A821">
        <v>744</v>
      </c>
      <c r="B821">
        <v>44</v>
      </c>
      <c r="C821" t="s">
        <v>43</v>
      </c>
      <c r="D821" t="s">
        <v>63</v>
      </c>
      <c r="E821" t="s">
        <v>34</v>
      </c>
      <c r="F821" t="s">
        <v>49</v>
      </c>
      <c r="G821" t="s">
        <v>36</v>
      </c>
      <c r="H821" t="s">
        <v>37</v>
      </c>
      <c r="I821" t="s">
        <v>36</v>
      </c>
      <c r="J821" t="s">
        <v>51</v>
      </c>
      <c r="K821">
        <v>3</v>
      </c>
      <c r="L821">
        <v>3</v>
      </c>
      <c r="M821" t="s">
        <v>48</v>
      </c>
      <c r="N821" t="s">
        <v>41</v>
      </c>
      <c r="O821" t="s">
        <v>42</v>
      </c>
      <c r="P821" t="s">
        <v>43</v>
      </c>
      <c r="Q821">
        <v>14</v>
      </c>
      <c r="R821">
        <v>2</v>
      </c>
      <c r="S821">
        <v>9</v>
      </c>
      <c r="T821">
        <v>1</v>
      </c>
      <c r="U821">
        <v>4</v>
      </c>
      <c r="V821">
        <v>24</v>
      </c>
      <c r="W821">
        <v>49</v>
      </c>
      <c r="X821">
        <v>381</v>
      </c>
      <c r="Y821">
        <v>2104</v>
      </c>
      <c r="Z821">
        <v>3708</v>
      </c>
      <c r="AA821">
        <v>5</v>
      </c>
      <c r="AB821">
        <v>28904</v>
      </c>
      <c r="AC821" s="10">
        <v>43229</v>
      </c>
      <c r="AD821" s="10" t="s">
        <v>72</v>
      </c>
      <c r="AE821" t="s">
        <v>72</v>
      </c>
      <c r="AF821" t="s">
        <v>45</v>
      </c>
    </row>
    <row r="822" spans="1:32" x14ac:dyDescent="0.25">
      <c r="A822">
        <v>1720</v>
      </c>
      <c r="B822">
        <v>32</v>
      </c>
      <c r="C822" t="s">
        <v>43</v>
      </c>
      <c r="D822" t="s">
        <v>46</v>
      </c>
      <c r="E822" t="s">
        <v>34</v>
      </c>
      <c r="F822" t="s">
        <v>49</v>
      </c>
      <c r="G822" t="s">
        <v>36</v>
      </c>
      <c r="H822" t="s">
        <v>37</v>
      </c>
      <c r="I822" t="s">
        <v>50</v>
      </c>
      <c r="J822" t="s">
        <v>39</v>
      </c>
      <c r="K822">
        <v>3</v>
      </c>
      <c r="L822">
        <v>3</v>
      </c>
      <c r="M822" t="s">
        <v>60</v>
      </c>
      <c r="N822" t="s">
        <v>61</v>
      </c>
      <c r="O822" t="s">
        <v>36</v>
      </c>
      <c r="P822" t="s">
        <v>43</v>
      </c>
      <c r="Q822">
        <v>13</v>
      </c>
      <c r="R822">
        <v>6</v>
      </c>
      <c r="S822">
        <v>10</v>
      </c>
      <c r="T822">
        <v>1</v>
      </c>
      <c r="U822">
        <v>3</v>
      </c>
      <c r="V822">
        <v>10</v>
      </c>
      <c r="W822">
        <v>56</v>
      </c>
      <c r="X822">
        <v>585</v>
      </c>
      <c r="Y822">
        <v>17360</v>
      </c>
      <c r="Z822">
        <v>3433</v>
      </c>
      <c r="AA822">
        <v>3</v>
      </c>
      <c r="AB822">
        <v>33113</v>
      </c>
      <c r="AC822" s="10">
        <v>43277</v>
      </c>
      <c r="AD822" s="10" t="s">
        <v>72</v>
      </c>
      <c r="AE822" t="s">
        <v>72</v>
      </c>
      <c r="AF822" t="s">
        <v>45</v>
      </c>
    </row>
    <row r="823" spans="1:32" x14ac:dyDescent="0.25">
      <c r="A823">
        <v>1704</v>
      </c>
      <c r="B823">
        <v>35</v>
      </c>
      <c r="C823" t="s">
        <v>43</v>
      </c>
      <c r="D823" t="s">
        <v>46</v>
      </c>
      <c r="E823" t="s">
        <v>34</v>
      </c>
      <c r="F823" t="s">
        <v>35</v>
      </c>
      <c r="G823" t="s">
        <v>36</v>
      </c>
      <c r="H823" t="s">
        <v>37</v>
      </c>
      <c r="I823" t="s">
        <v>38</v>
      </c>
      <c r="J823" t="s">
        <v>39</v>
      </c>
      <c r="K823">
        <v>4</v>
      </c>
      <c r="L823">
        <v>3</v>
      </c>
      <c r="M823" t="s">
        <v>58</v>
      </c>
      <c r="N823" t="s">
        <v>41</v>
      </c>
      <c r="O823" t="s">
        <v>42</v>
      </c>
      <c r="P823" t="s">
        <v>32</v>
      </c>
      <c r="Q823">
        <v>14</v>
      </c>
      <c r="R823">
        <v>0</v>
      </c>
      <c r="S823">
        <v>6</v>
      </c>
      <c r="T823">
        <v>1</v>
      </c>
      <c r="U823">
        <v>4</v>
      </c>
      <c r="V823">
        <v>2</v>
      </c>
      <c r="W823">
        <v>79</v>
      </c>
      <c r="X823">
        <v>146</v>
      </c>
      <c r="Y823">
        <v>13970</v>
      </c>
      <c r="Z823">
        <v>4930</v>
      </c>
      <c r="AA823">
        <v>2</v>
      </c>
      <c r="AB823">
        <v>32206</v>
      </c>
      <c r="AC823" s="10">
        <v>43282</v>
      </c>
      <c r="AD823" s="10" t="s">
        <v>72</v>
      </c>
      <c r="AE823" t="s">
        <v>72</v>
      </c>
      <c r="AF823" t="s">
        <v>45</v>
      </c>
    </row>
    <row r="824" spans="1:32" x14ac:dyDescent="0.25">
      <c r="A824">
        <v>1648</v>
      </c>
      <c r="B824">
        <v>27</v>
      </c>
      <c r="C824" t="s">
        <v>43</v>
      </c>
      <c r="D824" t="s">
        <v>46</v>
      </c>
      <c r="E824" t="s">
        <v>34</v>
      </c>
      <c r="F824" t="s">
        <v>49</v>
      </c>
      <c r="G824" t="s">
        <v>59</v>
      </c>
      <c r="H824" t="s">
        <v>37</v>
      </c>
      <c r="I824" t="s">
        <v>50</v>
      </c>
      <c r="J824" t="s">
        <v>39</v>
      </c>
      <c r="K824">
        <v>4</v>
      </c>
      <c r="L824">
        <v>3</v>
      </c>
      <c r="M824" t="s">
        <v>60</v>
      </c>
      <c r="N824" t="s">
        <v>41</v>
      </c>
      <c r="O824" t="s">
        <v>42</v>
      </c>
      <c r="P824" t="s">
        <v>43</v>
      </c>
      <c r="Q824">
        <v>13</v>
      </c>
      <c r="R824">
        <v>2</v>
      </c>
      <c r="S824">
        <v>6</v>
      </c>
      <c r="T824">
        <v>1</v>
      </c>
      <c r="U824">
        <v>2</v>
      </c>
      <c r="V824">
        <v>2</v>
      </c>
      <c r="W824">
        <v>87</v>
      </c>
      <c r="X824">
        <v>591</v>
      </c>
      <c r="Y824">
        <v>6297</v>
      </c>
      <c r="Z824">
        <v>2580</v>
      </c>
      <c r="AA824">
        <v>0</v>
      </c>
      <c r="AB824">
        <v>34966</v>
      </c>
      <c r="AC824" s="10">
        <v>43361</v>
      </c>
      <c r="AD824" s="10" t="s">
        <v>72</v>
      </c>
      <c r="AE824" t="s">
        <v>72</v>
      </c>
      <c r="AF824" t="s">
        <v>45</v>
      </c>
    </row>
    <row r="825" spans="1:32" x14ac:dyDescent="0.25">
      <c r="A825">
        <v>26</v>
      </c>
      <c r="B825">
        <v>24</v>
      </c>
      <c r="C825" t="s">
        <v>43</v>
      </c>
      <c r="D825" t="s">
        <v>63</v>
      </c>
      <c r="E825" t="s">
        <v>34</v>
      </c>
      <c r="F825" t="s">
        <v>67</v>
      </c>
      <c r="G825" t="s">
        <v>36</v>
      </c>
      <c r="H825" t="s">
        <v>47</v>
      </c>
      <c r="I825" t="s">
        <v>59</v>
      </c>
      <c r="J825" t="s">
        <v>65</v>
      </c>
      <c r="K825">
        <v>3</v>
      </c>
      <c r="L825">
        <v>3</v>
      </c>
      <c r="M825" t="s">
        <v>60</v>
      </c>
      <c r="N825" t="s">
        <v>52</v>
      </c>
      <c r="O825" t="s">
        <v>36</v>
      </c>
      <c r="P825" t="s">
        <v>43</v>
      </c>
      <c r="Q825">
        <v>18</v>
      </c>
      <c r="R825">
        <v>0</v>
      </c>
      <c r="S825">
        <v>5</v>
      </c>
      <c r="T825">
        <v>1</v>
      </c>
      <c r="U825">
        <v>3</v>
      </c>
      <c r="V825">
        <v>11</v>
      </c>
      <c r="W825">
        <v>96</v>
      </c>
      <c r="X825">
        <v>673</v>
      </c>
      <c r="Y825">
        <v>8232</v>
      </c>
      <c r="Z825">
        <v>4011</v>
      </c>
      <c r="AA825">
        <v>5</v>
      </c>
      <c r="AB825">
        <v>36322</v>
      </c>
      <c r="AC825" s="10">
        <v>43363</v>
      </c>
      <c r="AD825" s="10" t="s">
        <v>72</v>
      </c>
      <c r="AE825" t="s">
        <v>72</v>
      </c>
      <c r="AF825" t="s">
        <v>45</v>
      </c>
    </row>
    <row r="826" spans="1:32" x14ac:dyDescent="0.25">
      <c r="A826">
        <v>1507</v>
      </c>
      <c r="B826">
        <v>28</v>
      </c>
      <c r="C826" t="s">
        <v>43</v>
      </c>
      <c r="D826" t="s">
        <v>46</v>
      </c>
      <c r="E826" t="s">
        <v>56</v>
      </c>
      <c r="F826" t="s">
        <v>49</v>
      </c>
      <c r="G826" t="s">
        <v>50</v>
      </c>
      <c r="H826" t="s">
        <v>37</v>
      </c>
      <c r="I826" t="s">
        <v>50</v>
      </c>
      <c r="J826" t="s">
        <v>57</v>
      </c>
      <c r="K826">
        <v>1</v>
      </c>
      <c r="L826">
        <v>3</v>
      </c>
      <c r="M826" t="s">
        <v>48</v>
      </c>
      <c r="N826" t="s">
        <v>41</v>
      </c>
      <c r="O826" t="s">
        <v>42</v>
      </c>
      <c r="P826" t="s">
        <v>43</v>
      </c>
      <c r="Q826">
        <v>14</v>
      </c>
      <c r="R826">
        <v>0</v>
      </c>
      <c r="S826">
        <v>5</v>
      </c>
      <c r="T826">
        <v>1</v>
      </c>
      <c r="U826">
        <v>3</v>
      </c>
      <c r="V826">
        <v>7</v>
      </c>
      <c r="W826">
        <v>55</v>
      </c>
      <c r="X826">
        <v>467</v>
      </c>
      <c r="Y826">
        <v>11827</v>
      </c>
      <c r="Z826">
        <v>4898</v>
      </c>
      <c r="AA826">
        <v>5</v>
      </c>
      <c r="AB826">
        <v>34719</v>
      </c>
      <c r="AC826" s="10">
        <v>43368</v>
      </c>
      <c r="AD826" s="10" t="s">
        <v>72</v>
      </c>
      <c r="AE826" t="s">
        <v>72</v>
      </c>
      <c r="AF826" t="s">
        <v>55</v>
      </c>
    </row>
    <row r="827" spans="1:32" x14ac:dyDescent="0.25">
      <c r="A827">
        <v>1605</v>
      </c>
      <c r="B827">
        <v>22</v>
      </c>
      <c r="C827" t="s">
        <v>43</v>
      </c>
      <c r="D827" t="s">
        <v>63</v>
      </c>
      <c r="E827" t="s">
        <v>34</v>
      </c>
      <c r="F827" t="s">
        <v>67</v>
      </c>
      <c r="G827" t="s">
        <v>38</v>
      </c>
      <c r="H827" t="s">
        <v>47</v>
      </c>
      <c r="I827" t="s">
        <v>38</v>
      </c>
      <c r="J827" t="s">
        <v>39</v>
      </c>
      <c r="K827">
        <v>3</v>
      </c>
      <c r="L827">
        <v>3</v>
      </c>
      <c r="M827" t="s">
        <v>60</v>
      </c>
      <c r="N827" t="s">
        <v>61</v>
      </c>
      <c r="O827" t="s">
        <v>42</v>
      </c>
      <c r="P827" t="s">
        <v>32</v>
      </c>
      <c r="Q827">
        <v>14</v>
      </c>
      <c r="R827">
        <v>1</v>
      </c>
      <c r="S827">
        <v>4</v>
      </c>
      <c r="T827">
        <v>1</v>
      </c>
      <c r="U827">
        <v>3</v>
      </c>
      <c r="V827">
        <v>26</v>
      </c>
      <c r="W827">
        <v>85</v>
      </c>
      <c r="X827">
        <v>457</v>
      </c>
      <c r="Y827">
        <v>10293</v>
      </c>
      <c r="Z827">
        <v>2814</v>
      </c>
      <c r="AA827">
        <v>2</v>
      </c>
      <c r="AB827">
        <v>37000</v>
      </c>
      <c r="AC827" s="10">
        <v>43395</v>
      </c>
      <c r="AD827" s="10" t="s">
        <v>72</v>
      </c>
      <c r="AE827" t="s">
        <v>72</v>
      </c>
      <c r="AF827" t="s">
        <v>45</v>
      </c>
    </row>
    <row r="828" spans="1:32" x14ac:dyDescent="0.25">
      <c r="A828">
        <v>91</v>
      </c>
      <c r="B828">
        <v>59</v>
      </c>
      <c r="C828" t="s">
        <v>43</v>
      </c>
      <c r="D828" t="s">
        <v>46</v>
      </c>
      <c r="E828" t="s">
        <v>56</v>
      </c>
      <c r="F828" t="s">
        <v>64</v>
      </c>
      <c r="G828" t="s">
        <v>36</v>
      </c>
      <c r="H828" t="s">
        <v>47</v>
      </c>
      <c r="I828" t="s">
        <v>38</v>
      </c>
      <c r="J828" t="s">
        <v>57</v>
      </c>
      <c r="K828">
        <v>3</v>
      </c>
      <c r="L828">
        <v>3</v>
      </c>
      <c r="M828" t="s">
        <v>60</v>
      </c>
      <c r="N828" t="s">
        <v>41</v>
      </c>
      <c r="O828" t="s">
        <v>42</v>
      </c>
      <c r="P828" t="s">
        <v>43</v>
      </c>
      <c r="Q828">
        <v>11</v>
      </c>
      <c r="R828">
        <v>7</v>
      </c>
      <c r="S828">
        <v>20</v>
      </c>
      <c r="T828">
        <v>1</v>
      </c>
      <c r="U828">
        <v>3</v>
      </c>
      <c r="V828">
        <v>1</v>
      </c>
      <c r="W828">
        <v>57</v>
      </c>
      <c r="X828">
        <v>1225</v>
      </c>
      <c r="Y828">
        <v>24668</v>
      </c>
      <c r="Z828">
        <v>5473</v>
      </c>
      <c r="AA828">
        <v>2</v>
      </c>
      <c r="AB828">
        <v>23534</v>
      </c>
      <c r="AC828" s="10">
        <v>43411</v>
      </c>
      <c r="AD828" s="10" t="s">
        <v>72</v>
      </c>
      <c r="AE828" t="s">
        <v>72</v>
      </c>
      <c r="AF828" t="s">
        <v>45</v>
      </c>
    </row>
    <row r="829" spans="1:32" x14ac:dyDescent="0.25">
      <c r="A829">
        <v>403</v>
      </c>
      <c r="B829">
        <v>37</v>
      </c>
      <c r="C829" t="s">
        <v>43</v>
      </c>
      <c r="D829" t="s">
        <v>46</v>
      </c>
      <c r="E829" t="s">
        <v>34</v>
      </c>
      <c r="F829" t="s">
        <v>49</v>
      </c>
      <c r="G829" t="s">
        <v>38</v>
      </c>
      <c r="H829" t="s">
        <v>37</v>
      </c>
      <c r="I829" t="s">
        <v>50</v>
      </c>
      <c r="J829" t="s">
        <v>39</v>
      </c>
      <c r="K829">
        <v>4</v>
      </c>
      <c r="L829">
        <v>3</v>
      </c>
      <c r="M829" t="s">
        <v>60</v>
      </c>
      <c r="N829" t="s">
        <v>61</v>
      </c>
      <c r="O829" t="s">
        <v>50</v>
      </c>
      <c r="P829" t="s">
        <v>32</v>
      </c>
      <c r="Q829">
        <v>12</v>
      </c>
      <c r="R829">
        <v>1</v>
      </c>
      <c r="S829">
        <v>4</v>
      </c>
      <c r="T829">
        <v>1</v>
      </c>
      <c r="U829">
        <v>2</v>
      </c>
      <c r="V829">
        <v>9</v>
      </c>
      <c r="W829">
        <v>53</v>
      </c>
      <c r="X829">
        <v>889</v>
      </c>
      <c r="Y829">
        <v>11411</v>
      </c>
      <c r="Z829">
        <v>2326</v>
      </c>
      <c r="AA829">
        <v>3</v>
      </c>
      <c r="AB829">
        <v>31557</v>
      </c>
      <c r="AC829" s="10">
        <v>43462</v>
      </c>
      <c r="AD829" s="10" t="s">
        <v>72</v>
      </c>
      <c r="AE829" t="s">
        <v>72</v>
      </c>
      <c r="AF829" t="s">
        <v>45</v>
      </c>
    </row>
    <row r="830" spans="1:32" x14ac:dyDescent="0.25">
      <c r="A830">
        <v>1431</v>
      </c>
      <c r="B830">
        <v>34</v>
      </c>
      <c r="C830" t="s">
        <v>43</v>
      </c>
      <c r="D830" t="s">
        <v>46</v>
      </c>
      <c r="E830" t="s">
        <v>34</v>
      </c>
      <c r="F830" t="s">
        <v>35</v>
      </c>
      <c r="G830" t="s">
        <v>59</v>
      </c>
      <c r="H830" t="s">
        <v>37</v>
      </c>
      <c r="I830" t="s">
        <v>50</v>
      </c>
      <c r="J830" t="s">
        <v>39</v>
      </c>
      <c r="K830">
        <v>1</v>
      </c>
      <c r="L830">
        <v>3</v>
      </c>
      <c r="M830" t="s">
        <v>48</v>
      </c>
      <c r="N830" t="s">
        <v>52</v>
      </c>
      <c r="O830" t="s">
        <v>53</v>
      </c>
      <c r="P830" t="s">
        <v>43</v>
      </c>
      <c r="Q830">
        <v>14</v>
      </c>
      <c r="R830">
        <v>5</v>
      </c>
      <c r="S830">
        <v>10</v>
      </c>
      <c r="T830">
        <v>1</v>
      </c>
      <c r="U830">
        <v>3</v>
      </c>
      <c r="V830">
        <v>1</v>
      </c>
      <c r="W830">
        <v>91</v>
      </c>
      <c r="X830">
        <v>560</v>
      </c>
      <c r="Y830">
        <v>20284</v>
      </c>
      <c r="Z830">
        <v>2996</v>
      </c>
      <c r="AA830">
        <v>2</v>
      </c>
      <c r="AB830">
        <v>32651</v>
      </c>
      <c r="AC830" s="10">
        <v>43483</v>
      </c>
      <c r="AD830" s="10" t="s">
        <v>72</v>
      </c>
      <c r="AE830" t="s">
        <v>72</v>
      </c>
      <c r="AF830" t="s">
        <v>45</v>
      </c>
    </row>
    <row r="831" spans="1:32" x14ac:dyDescent="0.25">
      <c r="A831">
        <v>216</v>
      </c>
      <c r="B831">
        <v>34</v>
      </c>
      <c r="C831" t="s">
        <v>43</v>
      </c>
      <c r="D831" t="s">
        <v>46</v>
      </c>
      <c r="E831" t="s">
        <v>56</v>
      </c>
      <c r="F831" t="s">
        <v>35</v>
      </c>
      <c r="G831" t="s">
        <v>50</v>
      </c>
      <c r="H831" t="s">
        <v>47</v>
      </c>
      <c r="I831" t="s">
        <v>50</v>
      </c>
      <c r="J831" t="s">
        <v>66</v>
      </c>
      <c r="K831">
        <v>3</v>
      </c>
      <c r="L831">
        <v>3</v>
      </c>
      <c r="M831" t="s">
        <v>48</v>
      </c>
      <c r="N831" t="s">
        <v>61</v>
      </c>
      <c r="O831" t="s">
        <v>36</v>
      </c>
      <c r="P831" t="s">
        <v>43</v>
      </c>
      <c r="Q831">
        <v>18</v>
      </c>
      <c r="R831">
        <v>6</v>
      </c>
      <c r="S831">
        <v>6</v>
      </c>
      <c r="T831">
        <v>1</v>
      </c>
      <c r="U831">
        <v>2</v>
      </c>
      <c r="V831">
        <v>2</v>
      </c>
      <c r="W831">
        <v>75</v>
      </c>
      <c r="X831">
        <v>303</v>
      </c>
      <c r="Y831">
        <v>11314</v>
      </c>
      <c r="Z831">
        <v>2231</v>
      </c>
      <c r="AA831">
        <v>3</v>
      </c>
      <c r="AB831">
        <v>32647</v>
      </c>
      <c r="AC831" s="10">
        <v>43491</v>
      </c>
      <c r="AD831" s="10" t="s">
        <v>72</v>
      </c>
      <c r="AE831" t="s">
        <v>72</v>
      </c>
      <c r="AF831" t="s">
        <v>45</v>
      </c>
    </row>
    <row r="832" spans="1:32" x14ac:dyDescent="0.25">
      <c r="A832">
        <v>791</v>
      </c>
      <c r="B832">
        <v>52</v>
      </c>
      <c r="C832" t="s">
        <v>43</v>
      </c>
      <c r="D832" t="s">
        <v>63</v>
      </c>
      <c r="E832" t="s">
        <v>34</v>
      </c>
      <c r="F832" t="s">
        <v>35</v>
      </c>
      <c r="G832" t="s">
        <v>59</v>
      </c>
      <c r="H832" t="s">
        <v>37</v>
      </c>
      <c r="I832" t="s">
        <v>50</v>
      </c>
      <c r="J832" t="s">
        <v>39</v>
      </c>
      <c r="K832">
        <v>4</v>
      </c>
      <c r="L832">
        <v>3</v>
      </c>
      <c r="M832" t="s">
        <v>48</v>
      </c>
      <c r="N832" t="s">
        <v>61</v>
      </c>
      <c r="O832" t="s">
        <v>36</v>
      </c>
      <c r="P832" t="s">
        <v>43</v>
      </c>
      <c r="Q832">
        <v>18</v>
      </c>
      <c r="R832">
        <v>0</v>
      </c>
      <c r="S832">
        <v>5</v>
      </c>
      <c r="T832">
        <v>1</v>
      </c>
      <c r="U832">
        <v>2</v>
      </c>
      <c r="V832">
        <v>19</v>
      </c>
      <c r="W832">
        <v>41</v>
      </c>
      <c r="X832">
        <v>715</v>
      </c>
      <c r="Y832">
        <v>26589</v>
      </c>
      <c r="Z832">
        <v>4258</v>
      </c>
      <c r="AA832">
        <v>3</v>
      </c>
      <c r="AB832">
        <v>26029</v>
      </c>
      <c r="AC832" s="10">
        <v>43549</v>
      </c>
      <c r="AD832" s="10" t="s">
        <v>72</v>
      </c>
      <c r="AE832" t="s">
        <v>72</v>
      </c>
      <c r="AF832" t="s">
        <v>45</v>
      </c>
    </row>
    <row r="833" spans="1:32" x14ac:dyDescent="0.25">
      <c r="A833">
        <v>837</v>
      </c>
      <c r="B833">
        <v>38</v>
      </c>
      <c r="C833" t="s">
        <v>43</v>
      </c>
      <c r="D833" t="s">
        <v>46</v>
      </c>
      <c r="E833" t="s">
        <v>34</v>
      </c>
      <c r="F833" t="s">
        <v>49</v>
      </c>
      <c r="G833" t="s">
        <v>36</v>
      </c>
      <c r="H833" t="s">
        <v>37</v>
      </c>
      <c r="I833" t="s">
        <v>38</v>
      </c>
      <c r="J833" t="s">
        <v>62</v>
      </c>
      <c r="K833">
        <v>1</v>
      </c>
      <c r="L833">
        <v>3</v>
      </c>
      <c r="M833" t="s">
        <v>60</v>
      </c>
      <c r="N833" t="s">
        <v>52</v>
      </c>
      <c r="O833" t="s">
        <v>36</v>
      </c>
      <c r="P833" t="s">
        <v>43</v>
      </c>
      <c r="Q833">
        <v>15</v>
      </c>
      <c r="R833">
        <v>2</v>
      </c>
      <c r="S833">
        <v>13</v>
      </c>
      <c r="T833">
        <v>1</v>
      </c>
      <c r="U833">
        <v>2</v>
      </c>
      <c r="V833">
        <v>12</v>
      </c>
      <c r="W833">
        <v>45</v>
      </c>
      <c r="X833">
        <v>471</v>
      </c>
      <c r="Y833">
        <v>4284</v>
      </c>
      <c r="Z833">
        <v>6288</v>
      </c>
      <c r="AA833">
        <v>3</v>
      </c>
      <c r="AB833">
        <v>30944</v>
      </c>
      <c r="AC833" s="10">
        <v>43586</v>
      </c>
      <c r="AD833" s="10" t="s">
        <v>72</v>
      </c>
      <c r="AE833" t="s">
        <v>72</v>
      </c>
      <c r="AF833" t="s">
        <v>45</v>
      </c>
    </row>
    <row r="834" spans="1:32" x14ac:dyDescent="0.25">
      <c r="A834">
        <v>1813</v>
      </c>
      <c r="B834">
        <v>43</v>
      </c>
      <c r="C834" t="s">
        <v>43</v>
      </c>
      <c r="D834" t="s">
        <v>63</v>
      </c>
      <c r="E834" t="s">
        <v>34</v>
      </c>
      <c r="F834" t="s">
        <v>49</v>
      </c>
      <c r="G834" t="s">
        <v>36</v>
      </c>
      <c r="H834" t="s">
        <v>37</v>
      </c>
      <c r="I834" t="s">
        <v>50</v>
      </c>
      <c r="J834" t="s">
        <v>39</v>
      </c>
      <c r="K834">
        <v>3</v>
      </c>
      <c r="L834">
        <v>3</v>
      </c>
      <c r="M834" t="s">
        <v>60</v>
      </c>
      <c r="N834" t="s">
        <v>41</v>
      </c>
      <c r="O834" t="s">
        <v>42</v>
      </c>
      <c r="P834" t="s">
        <v>43</v>
      </c>
      <c r="Q834">
        <v>13</v>
      </c>
      <c r="R834">
        <v>4</v>
      </c>
      <c r="S834">
        <v>7</v>
      </c>
      <c r="T834">
        <v>1</v>
      </c>
      <c r="U834">
        <v>2</v>
      </c>
      <c r="V834">
        <v>9</v>
      </c>
      <c r="W834">
        <v>52</v>
      </c>
      <c r="X834">
        <v>343</v>
      </c>
      <c r="Y834">
        <v>24978</v>
      </c>
      <c r="Z834">
        <v>2438</v>
      </c>
      <c r="AA834">
        <v>2</v>
      </c>
      <c r="AB834">
        <v>29317</v>
      </c>
      <c r="AC834" s="10">
        <v>43675</v>
      </c>
      <c r="AD834" s="10" t="s">
        <v>72</v>
      </c>
      <c r="AE834" t="s">
        <v>72</v>
      </c>
      <c r="AF834" t="s">
        <v>55</v>
      </c>
    </row>
    <row r="835" spans="1:32" x14ac:dyDescent="0.25">
      <c r="A835">
        <v>171</v>
      </c>
      <c r="B835">
        <v>43</v>
      </c>
      <c r="C835" t="s">
        <v>43</v>
      </c>
      <c r="D835" t="s">
        <v>46</v>
      </c>
      <c r="E835" t="s">
        <v>34</v>
      </c>
      <c r="F835" t="s">
        <v>49</v>
      </c>
      <c r="G835" t="s">
        <v>38</v>
      </c>
      <c r="H835" t="s">
        <v>47</v>
      </c>
      <c r="I835" t="s">
        <v>59</v>
      </c>
      <c r="J835" t="s">
        <v>39</v>
      </c>
      <c r="K835">
        <v>3</v>
      </c>
      <c r="L835">
        <v>3</v>
      </c>
      <c r="M835" t="s">
        <v>48</v>
      </c>
      <c r="N835" t="s">
        <v>41</v>
      </c>
      <c r="O835" t="s">
        <v>42</v>
      </c>
      <c r="P835" t="s">
        <v>43</v>
      </c>
      <c r="Q835">
        <v>12</v>
      </c>
      <c r="R835">
        <v>4</v>
      </c>
      <c r="S835">
        <v>18</v>
      </c>
      <c r="T835">
        <v>1</v>
      </c>
      <c r="U835">
        <v>2</v>
      </c>
      <c r="V835">
        <v>28</v>
      </c>
      <c r="W835">
        <v>72</v>
      </c>
      <c r="X835">
        <v>957</v>
      </c>
      <c r="Y835">
        <v>16090</v>
      </c>
      <c r="Z835">
        <v>4739</v>
      </c>
      <c r="AA835">
        <v>2</v>
      </c>
      <c r="AB835">
        <v>29132</v>
      </c>
      <c r="AC835" s="10">
        <v>43711</v>
      </c>
      <c r="AD835" s="10" t="s">
        <v>72</v>
      </c>
      <c r="AE835" t="s">
        <v>72</v>
      </c>
      <c r="AF835" t="s">
        <v>45</v>
      </c>
    </row>
    <row r="836" spans="1:32" x14ac:dyDescent="0.25">
      <c r="A836">
        <v>1096</v>
      </c>
      <c r="B836">
        <v>55</v>
      </c>
      <c r="C836" t="s">
        <v>43</v>
      </c>
      <c r="D836" t="s">
        <v>46</v>
      </c>
      <c r="E836" t="s">
        <v>34</v>
      </c>
      <c r="F836" t="s">
        <v>64</v>
      </c>
      <c r="G836" t="s">
        <v>59</v>
      </c>
      <c r="H836" t="s">
        <v>37</v>
      </c>
      <c r="I836" t="s">
        <v>50</v>
      </c>
      <c r="J836" t="s">
        <v>65</v>
      </c>
      <c r="K836">
        <v>2</v>
      </c>
      <c r="L836">
        <v>3</v>
      </c>
      <c r="M836" t="s">
        <v>48</v>
      </c>
      <c r="N836" t="s">
        <v>61</v>
      </c>
      <c r="O836" t="s">
        <v>36</v>
      </c>
      <c r="P836" t="s">
        <v>43</v>
      </c>
      <c r="Q836">
        <v>18</v>
      </c>
      <c r="R836">
        <v>3</v>
      </c>
      <c r="S836">
        <v>23</v>
      </c>
      <c r="T836">
        <v>1</v>
      </c>
      <c r="U836">
        <v>2</v>
      </c>
      <c r="V836">
        <v>2</v>
      </c>
      <c r="W836">
        <v>65</v>
      </c>
      <c r="X836">
        <v>1091</v>
      </c>
      <c r="Y836">
        <v>15813</v>
      </c>
      <c r="Z836">
        <v>10976</v>
      </c>
      <c r="AA836">
        <v>4</v>
      </c>
      <c r="AB836">
        <v>25048</v>
      </c>
      <c r="AC836" s="10">
        <v>43752</v>
      </c>
      <c r="AD836" s="10" t="s">
        <v>72</v>
      </c>
      <c r="AE836" t="s">
        <v>72</v>
      </c>
      <c r="AF836" t="s">
        <v>45</v>
      </c>
    </row>
    <row r="837" spans="1:32" x14ac:dyDescent="0.25">
      <c r="A837">
        <v>396</v>
      </c>
      <c r="B837">
        <v>49</v>
      </c>
      <c r="C837" t="s">
        <v>43</v>
      </c>
      <c r="D837" t="s">
        <v>46</v>
      </c>
      <c r="E837" t="s">
        <v>34</v>
      </c>
      <c r="F837" t="s">
        <v>35</v>
      </c>
      <c r="G837" t="s">
        <v>50</v>
      </c>
      <c r="H837" t="s">
        <v>47</v>
      </c>
      <c r="I837" t="s">
        <v>50</v>
      </c>
      <c r="J837" t="s">
        <v>71</v>
      </c>
      <c r="K837">
        <v>1</v>
      </c>
      <c r="L837">
        <v>3</v>
      </c>
      <c r="M837" t="s">
        <v>48</v>
      </c>
      <c r="N837" t="s">
        <v>41</v>
      </c>
      <c r="O837" t="s">
        <v>42</v>
      </c>
      <c r="P837" t="s">
        <v>32</v>
      </c>
      <c r="Q837">
        <v>11</v>
      </c>
      <c r="R837">
        <v>9</v>
      </c>
      <c r="S837">
        <v>22</v>
      </c>
      <c r="T837">
        <v>1</v>
      </c>
      <c r="U837">
        <v>2</v>
      </c>
      <c r="V837">
        <v>10</v>
      </c>
      <c r="W837">
        <v>35</v>
      </c>
      <c r="X837">
        <v>636</v>
      </c>
      <c r="Y837">
        <v>25594</v>
      </c>
      <c r="Z837">
        <v>18665</v>
      </c>
      <c r="AA837">
        <v>4</v>
      </c>
      <c r="AB837">
        <v>27070</v>
      </c>
      <c r="AC837" s="10">
        <v>43788</v>
      </c>
      <c r="AD837" s="10" t="s">
        <v>72</v>
      </c>
      <c r="AE837" t="s">
        <v>72</v>
      </c>
      <c r="AF837" t="s">
        <v>45</v>
      </c>
    </row>
    <row r="838" spans="1:32" x14ac:dyDescent="0.25">
      <c r="A838">
        <v>523</v>
      </c>
      <c r="B838">
        <v>34</v>
      </c>
      <c r="C838" t="s">
        <v>43</v>
      </c>
      <c r="D838" t="s">
        <v>63</v>
      </c>
      <c r="E838" t="s">
        <v>56</v>
      </c>
      <c r="F838" t="s">
        <v>35</v>
      </c>
      <c r="G838" t="s">
        <v>50</v>
      </c>
      <c r="H838" t="s">
        <v>47</v>
      </c>
      <c r="I838" t="s">
        <v>50</v>
      </c>
      <c r="J838" t="s">
        <v>57</v>
      </c>
      <c r="K838">
        <v>3</v>
      </c>
      <c r="L838">
        <v>3</v>
      </c>
      <c r="M838" t="s">
        <v>48</v>
      </c>
      <c r="N838" t="s">
        <v>61</v>
      </c>
      <c r="O838" t="s">
        <v>36</v>
      </c>
      <c r="P838" t="s">
        <v>43</v>
      </c>
      <c r="Q838">
        <v>15</v>
      </c>
      <c r="R838">
        <v>9</v>
      </c>
      <c r="S838">
        <v>6</v>
      </c>
      <c r="T838">
        <v>1</v>
      </c>
      <c r="U838">
        <v>2</v>
      </c>
      <c r="V838">
        <v>4</v>
      </c>
      <c r="W838">
        <v>72</v>
      </c>
      <c r="X838">
        <v>1381</v>
      </c>
      <c r="Y838">
        <v>12740</v>
      </c>
      <c r="Z838">
        <v>6538</v>
      </c>
      <c r="AA838">
        <v>3</v>
      </c>
      <c r="AB838">
        <v>32492</v>
      </c>
      <c r="AC838" s="10">
        <v>43848</v>
      </c>
      <c r="AD838" s="10" t="s">
        <v>72</v>
      </c>
      <c r="AE838" t="s">
        <v>72</v>
      </c>
      <c r="AF838" t="s">
        <v>45</v>
      </c>
    </row>
    <row r="839" spans="1:32" x14ac:dyDescent="0.25">
      <c r="A839">
        <v>1929</v>
      </c>
      <c r="B839">
        <v>39</v>
      </c>
      <c r="C839" t="s">
        <v>43</v>
      </c>
      <c r="D839" t="s">
        <v>63</v>
      </c>
      <c r="E839" t="s">
        <v>56</v>
      </c>
      <c r="F839" t="s">
        <v>35</v>
      </c>
      <c r="G839" t="s">
        <v>36</v>
      </c>
      <c r="H839" t="s">
        <v>47</v>
      </c>
      <c r="I839" t="s">
        <v>36</v>
      </c>
      <c r="J839" t="s">
        <v>57</v>
      </c>
      <c r="K839">
        <v>3</v>
      </c>
      <c r="L839">
        <v>3</v>
      </c>
      <c r="M839" t="s">
        <v>48</v>
      </c>
      <c r="N839" t="s">
        <v>61</v>
      </c>
      <c r="O839" t="s">
        <v>36</v>
      </c>
      <c r="P839" t="s">
        <v>43</v>
      </c>
      <c r="Q839">
        <v>19</v>
      </c>
      <c r="R839">
        <v>6</v>
      </c>
      <c r="S839">
        <v>10</v>
      </c>
      <c r="T839">
        <v>1</v>
      </c>
      <c r="U839">
        <v>2</v>
      </c>
      <c r="V839">
        <v>21</v>
      </c>
      <c r="W839">
        <v>32</v>
      </c>
      <c r="X839">
        <v>1251</v>
      </c>
      <c r="Y839">
        <v>3987</v>
      </c>
      <c r="Z839">
        <v>5736</v>
      </c>
      <c r="AA839">
        <v>1</v>
      </c>
      <c r="AB839">
        <v>30634</v>
      </c>
      <c r="AC839" s="10">
        <v>43848</v>
      </c>
      <c r="AD839" s="10" t="s">
        <v>72</v>
      </c>
      <c r="AE839" t="s">
        <v>72</v>
      </c>
      <c r="AF839" t="s">
        <v>45</v>
      </c>
    </row>
    <row r="840" spans="1:32" x14ac:dyDescent="0.25">
      <c r="A840">
        <v>1094</v>
      </c>
      <c r="B840">
        <v>27</v>
      </c>
      <c r="C840" t="s">
        <v>43</v>
      </c>
      <c r="D840" t="s">
        <v>63</v>
      </c>
      <c r="E840" t="s">
        <v>34</v>
      </c>
      <c r="F840" t="s">
        <v>70</v>
      </c>
      <c r="G840" t="s">
        <v>36</v>
      </c>
      <c r="H840" t="s">
        <v>37</v>
      </c>
      <c r="I840" t="s">
        <v>36</v>
      </c>
      <c r="J840" t="s">
        <v>51</v>
      </c>
      <c r="K840">
        <v>3</v>
      </c>
      <c r="L840">
        <v>3</v>
      </c>
      <c r="M840" t="s">
        <v>48</v>
      </c>
      <c r="N840" t="s">
        <v>61</v>
      </c>
      <c r="O840" t="s">
        <v>50</v>
      </c>
      <c r="P840" t="s">
        <v>43</v>
      </c>
      <c r="Q840">
        <v>19</v>
      </c>
      <c r="R840">
        <v>1</v>
      </c>
      <c r="S840">
        <v>3</v>
      </c>
      <c r="T840">
        <v>1</v>
      </c>
      <c r="U840">
        <v>2</v>
      </c>
      <c r="V840">
        <v>8</v>
      </c>
      <c r="W840">
        <v>87</v>
      </c>
      <c r="X840">
        <v>1277</v>
      </c>
      <c r="Y840">
        <v>5869</v>
      </c>
      <c r="Z840">
        <v>4621</v>
      </c>
      <c r="AA840">
        <v>4</v>
      </c>
      <c r="AB840">
        <v>34964</v>
      </c>
      <c r="AC840" s="10">
        <v>43889</v>
      </c>
      <c r="AD840" s="10" t="s">
        <v>72</v>
      </c>
      <c r="AE840" t="s">
        <v>72</v>
      </c>
      <c r="AF840" t="s">
        <v>45</v>
      </c>
    </row>
    <row r="841" spans="1:32" x14ac:dyDescent="0.25">
      <c r="A841">
        <v>1662</v>
      </c>
      <c r="B841">
        <v>36</v>
      </c>
      <c r="C841" t="s">
        <v>43</v>
      </c>
      <c r="D841" t="s">
        <v>63</v>
      </c>
      <c r="E841" t="s">
        <v>34</v>
      </c>
      <c r="F841" t="s">
        <v>35</v>
      </c>
      <c r="G841" t="s">
        <v>59</v>
      </c>
      <c r="H841" t="s">
        <v>47</v>
      </c>
      <c r="I841" t="s">
        <v>38</v>
      </c>
      <c r="J841" t="s">
        <v>65</v>
      </c>
      <c r="K841">
        <v>3</v>
      </c>
      <c r="L841">
        <v>3</v>
      </c>
      <c r="M841" t="s">
        <v>48</v>
      </c>
      <c r="N841" t="s">
        <v>61</v>
      </c>
      <c r="O841" t="s">
        <v>42</v>
      </c>
      <c r="P841" t="s">
        <v>43</v>
      </c>
      <c r="Q841">
        <v>15</v>
      </c>
      <c r="R841">
        <v>0</v>
      </c>
      <c r="S841">
        <v>4</v>
      </c>
      <c r="T841">
        <v>1</v>
      </c>
      <c r="U841">
        <v>2</v>
      </c>
      <c r="V841">
        <v>1</v>
      </c>
      <c r="W841">
        <v>33</v>
      </c>
      <c r="X841">
        <v>894</v>
      </c>
      <c r="Y841">
        <v>15411</v>
      </c>
      <c r="Z841">
        <v>4374</v>
      </c>
      <c r="AA841">
        <v>6</v>
      </c>
      <c r="AB841">
        <v>31954</v>
      </c>
      <c r="AC841" s="10">
        <v>43895</v>
      </c>
      <c r="AD841" s="10" t="s">
        <v>72</v>
      </c>
      <c r="AE841" t="s">
        <v>72</v>
      </c>
      <c r="AF841" t="s">
        <v>45</v>
      </c>
    </row>
    <row r="842" spans="1:32" x14ac:dyDescent="0.25">
      <c r="A842">
        <v>88</v>
      </c>
      <c r="B842">
        <v>35</v>
      </c>
      <c r="C842" t="s">
        <v>43</v>
      </c>
      <c r="D842" t="s">
        <v>46</v>
      </c>
      <c r="E842" t="s">
        <v>34</v>
      </c>
      <c r="F842" t="s">
        <v>49</v>
      </c>
      <c r="G842" t="s">
        <v>38</v>
      </c>
      <c r="H842" t="s">
        <v>37</v>
      </c>
      <c r="I842" t="s">
        <v>50</v>
      </c>
      <c r="J842" t="s">
        <v>39</v>
      </c>
      <c r="K842">
        <v>1</v>
      </c>
      <c r="L842">
        <v>3</v>
      </c>
      <c r="M842" t="s">
        <v>60</v>
      </c>
      <c r="N842" t="s">
        <v>61</v>
      </c>
      <c r="O842" t="s">
        <v>36</v>
      </c>
      <c r="P842" t="s">
        <v>43</v>
      </c>
      <c r="Q842">
        <v>13</v>
      </c>
      <c r="R842">
        <v>4</v>
      </c>
      <c r="S842">
        <v>5</v>
      </c>
      <c r="T842">
        <v>1</v>
      </c>
      <c r="U842">
        <v>2</v>
      </c>
      <c r="V842">
        <v>1</v>
      </c>
      <c r="W842">
        <v>79</v>
      </c>
      <c r="X842">
        <v>664</v>
      </c>
      <c r="Y842">
        <v>5868</v>
      </c>
      <c r="Z842">
        <v>2194</v>
      </c>
      <c r="AA842">
        <v>2</v>
      </c>
      <c r="AB842">
        <v>32092</v>
      </c>
      <c r="AC842" s="10">
        <v>43913</v>
      </c>
      <c r="AD842" s="10" t="s">
        <v>72</v>
      </c>
      <c r="AE842" t="s">
        <v>72</v>
      </c>
      <c r="AF842" t="s">
        <v>45</v>
      </c>
    </row>
    <row r="843" spans="1:32" x14ac:dyDescent="0.25">
      <c r="A843">
        <v>132</v>
      </c>
      <c r="B843">
        <v>44</v>
      </c>
      <c r="C843" t="s">
        <v>43</v>
      </c>
      <c r="D843" t="s">
        <v>63</v>
      </c>
      <c r="E843" t="s">
        <v>34</v>
      </c>
      <c r="F843" t="s">
        <v>49</v>
      </c>
      <c r="G843" t="s">
        <v>38</v>
      </c>
      <c r="H843" t="s">
        <v>37</v>
      </c>
      <c r="I843" t="s">
        <v>50</v>
      </c>
      <c r="J843" t="s">
        <v>51</v>
      </c>
      <c r="K843">
        <v>2</v>
      </c>
      <c r="L843">
        <v>3</v>
      </c>
      <c r="M843" t="s">
        <v>58</v>
      </c>
      <c r="N843" t="s">
        <v>61</v>
      </c>
      <c r="O843" t="s">
        <v>36</v>
      </c>
      <c r="P843" t="s">
        <v>43</v>
      </c>
      <c r="Q843">
        <v>12</v>
      </c>
      <c r="R843">
        <v>4</v>
      </c>
      <c r="S843">
        <v>17</v>
      </c>
      <c r="T843">
        <v>1</v>
      </c>
      <c r="U843">
        <v>2</v>
      </c>
      <c r="V843">
        <v>23</v>
      </c>
      <c r="W843">
        <v>67</v>
      </c>
      <c r="X843">
        <v>489</v>
      </c>
      <c r="Y843">
        <v>25043</v>
      </c>
      <c r="Z843">
        <v>2042</v>
      </c>
      <c r="AA843">
        <v>3</v>
      </c>
      <c r="AB843">
        <v>28970</v>
      </c>
      <c r="AC843" s="10">
        <v>43972</v>
      </c>
      <c r="AD843" s="10" t="s">
        <v>72</v>
      </c>
      <c r="AE843" t="s">
        <v>72</v>
      </c>
      <c r="AF843" t="s">
        <v>45</v>
      </c>
    </row>
    <row r="844" spans="1:32" x14ac:dyDescent="0.25">
      <c r="A844">
        <v>1722</v>
      </c>
      <c r="B844">
        <v>41</v>
      </c>
      <c r="C844" t="s">
        <v>43</v>
      </c>
      <c r="D844" t="s">
        <v>63</v>
      </c>
      <c r="E844" t="s">
        <v>68</v>
      </c>
      <c r="F844" t="s">
        <v>49</v>
      </c>
      <c r="G844" t="s">
        <v>50</v>
      </c>
      <c r="H844" t="s">
        <v>37</v>
      </c>
      <c r="I844" t="s">
        <v>36</v>
      </c>
      <c r="J844" t="s">
        <v>68</v>
      </c>
      <c r="K844">
        <v>2</v>
      </c>
      <c r="L844">
        <v>3</v>
      </c>
      <c r="M844" t="s">
        <v>48</v>
      </c>
      <c r="N844" t="s">
        <v>61</v>
      </c>
      <c r="O844" t="s">
        <v>36</v>
      </c>
      <c r="P844" t="s">
        <v>43</v>
      </c>
      <c r="Q844">
        <v>19</v>
      </c>
      <c r="R844">
        <v>6</v>
      </c>
      <c r="S844">
        <v>10</v>
      </c>
      <c r="T844">
        <v>1</v>
      </c>
      <c r="U844">
        <v>2</v>
      </c>
      <c r="V844">
        <v>4</v>
      </c>
      <c r="W844">
        <v>60</v>
      </c>
      <c r="X844">
        <v>552</v>
      </c>
      <c r="Y844">
        <v>20794</v>
      </c>
      <c r="Z844">
        <v>6430</v>
      </c>
      <c r="AA844">
        <v>4</v>
      </c>
      <c r="AB844">
        <v>30030</v>
      </c>
      <c r="AC844" s="10">
        <v>43978</v>
      </c>
      <c r="AD844" s="10" t="s">
        <v>72</v>
      </c>
      <c r="AE844" t="s">
        <v>72</v>
      </c>
      <c r="AF844" t="s">
        <v>55</v>
      </c>
    </row>
    <row r="845" spans="1:32" x14ac:dyDescent="0.25">
      <c r="A845">
        <v>1185</v>
      </c>
      <c r="B845">
        <v>35</v>
      </c>
      <c r="C845" t="s">
        <v>43</v>
      </c>
      <c r="D845" t="s">
        <v>46</v>
      </c>
      <c r="E845" t="s">
        <v>34</v>
      </c>
      <c r="F845" t="s">
        <v>35</v>
      </c>
      <c r="G845" t="s">
        <v>59</v>
      </c>
      <c r="H845" t="s">
        <v>37</v>
      </c>
      <c r="I845" t="s">
        <v>38</v>
      </c>
      <c r="J845" t="s">
        <v>51</v>
      </c>
      <c r="K845">
        <v>4</v>
      </c>
      <c r="L845">
        <v>3</v>
      </c>
      <c r="M845" t="s">
        <v>58</v>
      </c>
      <c r="N845" t="s">
        <v>61</v>
      </c>
      <c r="O845" t="s">
        <v>36</v>
      </c>
      <c r="P845" t="s">
        <v>43</v>
      </c>
      <c r="Q845">
        <v>13</v>
      </c>
      <c r="R845">
        <v>1</v>
      </c>
      <c r="S845">
        <v>2</v>
      </c>
      <c r="T845">
        <v>1</v>
      </c>
      <c r="U845">
        <v>1</v>
      </c>
      <c r="V845">
        <v>4</v>
      </c>
      <c r="W845">
        <v>47</v>
      </c>
      <c r="X845">
        <v>636</v>
      </c>
      <c r="Y845">
        <v>26537</v>
      </c>
      <c r="Z845">
        <v>2376</v>
      </c>
      <c r="AA845">
        <v>2</v>
      </c>
      <c r="AB845">
        <v>32019</v>
      </c>
      <c r="AC845" s="10">
        <v>44240</v>
      </c>
      <c r="AD845" s="10" t="s">
        <v>72</v>
      </c>
      <c r="AE845" t="s">
        <v>72</v>
      </c>
      <c r="AF845" t="s">
        <v>55</v>
      </c>
    </row>
    <row r="846" spans="1:32" x14ac:dyDescent="0.25">
      <c r="A846">
        <v>1044</v>
      </c>
      <c r="B846">
        <v>33</v>
      </c>
      <c r="C846" t="s">
        <v>43</v>
      </c>
      <c r="D846" t="s">
        <v>63</v>
      </c>
      <c r="E846" t="s">
        <v>56</v>
      </c>
      <c r="F846" t="s">
        <v>64</v>
      </c>
      <c r="G846" t="s">
        <v>38</v>
      </c>
      <c r="H846" t="s">
        <v>47</v>
      </c>
      <c r="I846" t="s">
        <v>38</v>
      </c>
      <c r="J846" t="s">
        <v>66</v>
      </c>
      <c r="K846">
        <v>4</v>
      </c>
      <c r="L846">
        <v>3</v>
      </c>
      <c r="M846" t="s">
        <v>60</v>
      </c>
      <c r="N846" t="s">
        <v>41</v>
      </c>
      <c r="O846" t="s">
        <v>42</v>
      </c>
      <c r="P846" t="s">
        <v>43</v>
      </c>
      <c r="Q846">
        <v>19</v>
      </c>
      <c r="R846">
        <v>0</v>
      </c>
      <c r="S846">
        <v>3</v>
      </c>
      <c r="T846">
        <v>1</v>
      </c>
      <c r="U846">
        <v>1</v>
      </c>
      <c r="V846">
        <v>8</v>
      </c>
      <c r="W846">
        <v>88</v>
      </c>
      <c r="X846">
        <v>1038</v>
      </c>
      <c r="Y846">
        <v>21437</v>
      </c>
      <c r="Z846">
        <v>2342</v>
      </c>
      <c r="AA846">
        <v>2</v>
      </c>
      <c r="AB846">
        <v>33077</v>
      </c>
      <c r="AC846" s="10">
        <v>44243</v>
      </c>
      <c r="AD846" s="10" t="s">
        <v>72</v>
      </c>
      <c r="AE846" t="s">
        <v>72</v>
      </c>
      <c r="AF846" t="s">
        <v>45</v>
      </c>
    </row>
    <row r="847" spans="1:32" x14ac:dyDescent="0.25">
      <c r="A847">
        <v>1296</v>
      </c>
      <c r="B847">
        <v>28</v>
      </c>
      <c r="C847" t="s">
        <v>43</v>
      </c>
      <c r="D847" t="s">
        <v>46</v>
      </c>
      <c r="E847" t="s">
        <v>34</v>
      </c>
      <c r="F847" t="s">
        <v>49</v>
      </c>
      <c r="G847" t="s">
        <v>59</v>
      </c>
      <c r="H847" t="s">
        <v>37</v>
      </c>
      <c r="I847" t="s">
        <v>38</v>
      </c>
      <c r="J847" t="s">
        <v>51</v>
      </c>
      <c r="K847">
        <v>4</v>
      </c>
      <c r="L847">
        <v>3</v>
      </c>
      <c r="M847" t="s">
        <v>48</v>
      </c>
      <c r="N847" t="s">
        <v>61</v>
      </c>
      <c r="O847" t="s">
        <v>36</v>
      </c>
      <c r="P847" t="s">
        <v>32</v>
      </c>
      <c r="Q847">
        <v>12</v>
      </c>
      <c r="R847">
        <v>1</v>
      </c>
      <c r="S847">
        <v>2</v>
      </c>
      <c r="T847">
        <v>1</v>
      </c>
      <c r="U847">
        <v>1</v>
      </c>
      <c r="V847">
        <v>2</v>
      </c>
      <c r="W847">
        <v>52</v>
      </c>
      <c r="X847">
        <v>193</v>
      </c>
      <c r="Y847">
        <v>14222</v>
      </c>
      <c r="Z847">
        <v>3867</v>
      </c>
      <c r="AA847">
        <v>2</v>
      </c>
      <c r="AB847">
        <v>34792</v>
      </c>
      <c r="AC847" s="10">
        <v>44290</v>
      </c>
      <c r="AD847" s="10" t="s">
        <v>72</v>
      </c>
      <c r="AE847" t="s">
        <v>72</v>
      </c>
      <c r="AF847" t="s">
        <v>45</v>
      </c>
    </row>
    <row r="848" spans="1:32" x14ac:dyDescent="0.25">
      <c r="A848">
        <v>591</v>
      </c>
      <c r="B848">
        <v>42</v>
      </c>
      <c r="C848" t="s">
        <v>43</v>
      </c>
      <c r="D848" t="s">
        <v>46</v>
      </c>
      <c r="E848" t="s">
        <v>34</v>
      </c>
      <c r="F848" t="s">
        <v>67</v>
      </c>
      <c r="G848" t="s">
        <v>38</v>
      </c>
      <c r="H848" t="s">
        <v>37</v>
      </c>
      <c r="I848" t="s">
        <v>50</v>
      </c>
      <c r="J848" t="s">
        <v>51</v>
      </c>
      <c r="K848">
        <v>3</v>
      </c>
      <c r="L848">
        <v>3</v>
      </c>
      <c r="M848" t="s">
        <v>48</v>
      </c>
      <c r="N848" t="s">
        <v>61</v>
      </c>
      <c r="O848" t="s">
        <v>36</v>
      </c>
      <c r="P848" t="s">
        <v>43</v>
      </c>
      <c r="Q848">
        <v>17</v>
      </c>
      <c r="R848">
        <v>4</v>
      </c>
      <c r="S848">
        <v>8</v>
      </c>
      <c r="T848">
        <v>1</v>
      </c>
      <c r="U848">
        <v>0</v>
      </c>
      <c r="V848">
        <v>5</v>
      </c>
      <c r="W848">
        <v>97</v>
      </c>
      <c r="X848">
        <v>1474</v>
      </c>
      <c r="Y848">
        <v>9260</v>
      </c>
      <c r="Z848">
        <v>2093</v>
      </c>
      <c r="AA848">
        <v>4</v>
      </c>
      <c r="AB848">
        <v>29605</v>
      </c>
      <c r="AC848" s="10">
        <v>44304</v>
      </c>
      <c r="AD848" s="10" t="s">
        <v>72</v>
      </c>
      <c r="AE848" t="s">
        <v>72</v>
      </c>
      <c r="AF848" t="s">
        <v>45</v>
      </c>
    </row>
    <row r="849" spans="1:32" x14ac:dyDescent="0.25">
      <c r="A849">
        <v>875</v>
      </c>
      <c r="B849">
        <v>42</v>
      </c>
      <c r="C849" t="s">
        <v>43</v>
      </c>
      <c r="D849" t="s">
        <v>46</v>
      </c>
      <c r="E849" t="s">
        <v>34</v>
      </c>
      <c r="F849" t="s">
        <v>64</v>
      </c>
      <c r="G849" t="s">
        <v>38</v>
      </c>
      <c r="H849" t="s">
        <v>37</v>
      </c>
      <c r="I849" t="s">
        <v>50</v>
      </c>
      <c r="J849" t="s">
        <v>39</v>
      </c>
      <c r="K849">
        <v>4</v>
      </c>
      <c r="L849">
        <v>3</v>
      </c>
      <c r="M849" t="s">
        <v>48</v>
      </c>
      <c r="N849" t="s">
        <v>41</v>
      </c>
      <c r="O849" t="s">
        <v>42</v>
      </c>
      <c r="P849" t="s">
        <v>32</v>
      </c>
      <c r="Q849">
        <v>14</v>
      </c>
      <c r="R849">
        <v>5</v>
      </c>
      <c r="S849">
        <v>8</v>
      </c>
      <c r="T849">
        <v>1</v>
      </c>
      <c r="U849">
        <v>1</v>
      </c>
      <c r="V849">
        <v>2</v>
      </c>
      <c r="W849">
        <v>35</v>
      </c>
      <c r="X849">
        <v>1271</v>
      </c>
      <c r="Y849">
        <v>9068</v>
      </c>
      <c r="Z849">
        <v>2515</v>
      </c>
      <c r="AA849">
        <v>2</v>
      </c>
      <c r="AB849">
        <v>29774</v>
      </c>
      <c r="AC849" s="10">
        <v>44358</v>
      </c>
      <c r="AD849" s="10" t="s">
        <v>72</v>
      </c>
      <c r="AE849" t="s">
        <v>72</v>
      </c>
      <c r="AF849" t="s">
        <v>45</v>
      </c>
    </row>
    <row r="850" spans="1:32" x14ac:dyDescent="0.25">
      <c r="A850">
        <v>337</v>
      </c>
      <c r="B850">
        <v>31</v>
      </c>
      <c r="C850" t="s">
        <v>43</v>
      </c>
      <c r="D850" t="s">
        <v>46</v>
      </c>
      <c r="E850" t="s">
        <v>34</v>
      </c>
      <c r="F850" t="s">
        <v>35</v>
      </c>
      <c r="G850" t="s">
        <v>38</v>
      </c>
      <c r="H850" t="s">
        <v>37</v>
      </c>
      <c r="I850" t="s">
        <v>50</v>
      </c>
      <c r="J850" t="s">
        <v>71</v>
      </c>
      <c r="K850">
        <v>3</v>
      </c>
      <c r="L850">
        <v>3</v>
      </c>
      <c r="M850" t="s">
        <v>48</v>
      </c>
      <c r="N850" t="s">
        <v>52</v>
      </c>
      <c r="O850" t="s">
        <v>36</v>
      </c>
      <c r="P850" t="s">
        <v>43</v>
      </c>
      <c r="Q850">
        <v>12</v>
      </c>
      <c r="R850">
        <v>9</v>
      </c>
      <c r="S850">
        <v>9</v>
      </c>
      <c r="T850">
        <v>1</v>
      </c>
      <c r="U850">
        <v>1</v>
      </c>
      <c r="V850">
        <v>3</v>
      </c>
      <c r="W850">
        <v>73</v>
      </c>
      <c r="X850">
        <v>1327</v>
      </c>
      <c r="Y850">
        <v>13523</v>
      </c>
      <c r="Z850">
        <v>13675</v>
      </c>
      <c r="AA850">
        <v>3</v>
      </c>
      <c r="AB850">
        <v>33773</v>
      </c>
      <c r="AC850" s="10">
        <v>44376</v>
      </c>
      <c r="AD850" s="10" t="s">
        <v>72</v>
      </c>
      <c r="AE850" t="s">
        <v>72</v>
      </c>
      <c r="AF850" t="s">
        <v>55</v>
      </c>
    </row>
    <row r="851" spans="1:32" x14ac:dyDescent="0.25">
      <c r="A851">
        <v>624</v>
      </c>
      <c r="B851">
        <v>46</v>
      </c>
      <c r="C851" t="s">
        <v>43</v>
      </c>
      <c r="D851" t="s">
        <v>46</v>
      </c>
      <c r="E851" t="s">
        <v>34</v>
      </c>
      <c r="F851" t="s">
        <v>64</v>
      </c>
      <c r="G851" t="s">
        <v>36</v>
      </c>
      <c r="H851" t="s">
        <v>47</v>
      </c>
      <c r="I851" t="s">
        <v>50</v>
      </c>
      <c r="J851" t="s">
        <v>62</v>
      </c>
      <c r="K851">
        <v>3</v>
      </c>
      <c r="L851">
        <v>3</v>
      </c>
      <c r="M851" t="s">
        <v>60</v>
      </c>
      <c r="N851" t="s">
        <v>61</v>
      </c>
      <c r="O851" t="s">
        <v>42</v>
      </c>
      <c r="P851" t="s">
        <v>43</v>
      </c>
      <c r="Q851">
        <v>11</v>
      </c>
      <c r="R851">
        <v>5</v>
      </c>
      <c r="S851">
        <v>28</v>
      </c>
      <c r="T851">
        <v>1</v>
      </c>
      <c r="U851">
        <v>1</v>
      </c>
      <c r="V851">
        <v>18</v>
      </c>
      <c r="W851">
        <v>86</v>
      </c>
      <c r="X851">
        <v>1034</v>
      </c>
      <c r="Y851">
        <v>8984</v>
      </c>
      <c r="Z851">
        <v>10527</v>
      </c>
      <c r="AA851">
        <v>3</v>
      </c>
      <c r="AB851">
        <v>28014</v>
      </c>
      <c r="AC851" s="10">
        <v>44398</v>
      </c>
      <c r="AD851" s="10" t="s">
        <v>72</v>
      </c>
      <c r="AE851" t="s">
        <v>72</v>
      </c>
      <c r="AF851" t="s">
        <v>45</v>
      </c>
    </row>
    <row r="852" spans="1:32" x14ac:dyDescent="0.25">
      <c r="A852">
        <v>131</v>
      </c>
      <c r="B852">
        <v>58</v>
      </c>
      <c r="C852" t="s">
        <v>43</v>
      </c>
      <c r="D852" t="s">
        <v>33</v>
      </c>
      <c r="E852" t="s">
        <v>56</v>
      </c>
      <c r="F852" t="s">
        <v>35</v>
      </c>
      <c r="G852" t="s">
        <v>59</v>
      </c>
      <c r="H852" t="s">
        <v>37</v>
      </c>
      <c r="I852" t="s">
        <v>50</v>
      </c>
      <c r="J852" t="s">
        <v>57</v>
      </c>
      <c r="K852">
        <v>3</v>
      </c>
      <c r="L852">
        <v>3</v>
      </c>
      <c r="M852" t="s">
        <v>60</v>
      </c>
      <c r="N852" t="s">
        <v>41</v>
      </c>
      <c r="O852" t="s">
        <v>42</v>
      </c>
      <c r="P852" t="s">
        <v>43</v>
      </c>
      <c r="Q852">
        <v>13</v>
      </c>
      <c r="R852">
        <v>0</v>
      </c>
      <c r="S852">
        <v>38</v>
      </c>
      <c r="T852">
        <v>1</v>
      </c>
      <c r="U852">
        <v>8</v>
      </c>
      <c r="V852">
        <v>10</v>
      </c>
      <c r="W852">
        <v>37</v>
      </c>
      <c r="X852">
        <v>682</v>
      </c>
      <c r="Y852">
        <v>24409</v>
      </c>
      <c r="Z852">
        <v>13872</v>
      </c>
      <c r="AA852">
        <v>1</v>
      </c>
      <c r="AB852">
        <v>23661</v>
      </c>
      <c r="AC852" s="10">
        <v>31333</v>
      </c>
      <c r="AD852" s="10" t="s">
        <v>72</v>
      </c>
      <c r="AE852" t="s">
        <v>72</v>
      </c>
      <c r="AF852" t="s">
        <v>45</v>
      </c>
    </row>
    <row r="853" spans="1:32" x14ac:dyDescent="0.25">
      <c r="A853">
        <v>558</v>
      </c>
      <c r="B853">
        <v>40</v>
      </c>
      <c r="C853" t="s">
        <v>43</v>
      </c>
      <c r="D853" t="s">
        <v>33</v>
      </c>
      <c r="E853" t="s">
        <v>56</v>
      </c>
      <c r="F853" t="s">
        <v>35</v>
      </c>
      <c r="G853" t="s">
        <v>50</v>
      </c>
      <c r="H853" t="s">
        <v>47</v>
      </c>
      <c r="I853" t="s">
        <v>50</v>
      </c>
      <c r="J853" t="s">
        <v>69</v>
      </c>
      <c r="K853">
        <v>3</v>
      </c>
      <c r="L853">
        <v>3</v>
      </c>
      <c r="M853" t="s">
        <v>48</v>
      </c>
      <c r="N853" t="s">
        <v>61</v>
      </c>
      <c r="O853" t="s">
        <v>42</v>
      </c>
      <c r="P853" t="s">
        <v>43</v>
      </c>
      <c r="Q853">
        <v>14</v>
      </c>
      <c r="R853">
        <v>0</v>
      </c>
      <c r="S853">
        <v>21</v>
      </c>
      <c r="T853">
        <v>1</v>
      </c>
      <c r="U853">
        <v>12</v>
      </c>
      <c r="V853">
        <v>2</v>
      </c>
      <c r="W853">
        <v>79</v>
      </c>
      <c r="X853">
        <v>1398</v>
      </c>
      <c r="Y853">
        <v>13022</v>
      </c>
      <c r="Z853">
        <v>18041</v>
      </c>
      <c r="AA853">
        <v>2</v>
      </c>
      <c r="AB853">
        <v>30524</v>
      </c>
      <c r="AC853" s="10">
        <v>37718</v>
      </c>
      <c r="AD853" s="10" t="s">
        <v>72</v>
      </c>
      <c r="AE853" t="s">
        <v>72</v>
      </c>
      <c r="AF853" t="s">
        <v>45</v>
      </c>
    </row>
    <row r="854" spans="1:32" x14ac:dyDescent="0.25">
      <c r="A854">
        <v>1179</v>
      </c>
      <c r="B854">
        <v>30</v>
      </c>
      <c r="C854" t="s">
        <v>43</v>
      </c>
      <c r="D854" t="s">
        <v>33</v>
      </c>
      <c r="E854" t="s">
        <v>56</v>
      </c>
      <c r="F854" t="s">
        <v>49</v>
      </c>
      <c r="G854" t="s">
        <v>50</v>
      </c>
      <c r="H854" t="s">
        <v>37</v>
      </c>
      <c r="I854" t="s">
        <v>38</v>
      </c>
      <c r="J854" t="s">
        <v>57</v>
      </c>
      <c r="K854">
        <v>3</v>
      </c>
      <c r="L854">
        <v>3</v>
      </c>
      <c r="M854" t="s">
        <v>48</v>
      </c>
      <c r="N854" t="s">
        <v>61</v>
      </c>
      <c r="O854" t="s">
        <v>36</v>
      </c>
      <c r="P854" t="s">
        <v>43</v>
      </c>
      <c r="Q854">
        <v>18</v>
      </c>
      <c r="R854">
        <v>1</v>
      </c>
      <c r="S854">
        <v>10</v>
      </c>
      <c r="T854">
        <v>1</v>
      </c>
      <c r="U854">
        <v>4</v>
      </c>
      <c r="V854">
        <v>10</v>
      </c>
      <c r="W854">
        <v>72</v>
      </c>
      <c r="X854">
        <v>852</v>
      </c>
      <c r="Y854">
        <v>2706</v>
      </c>
      <c r="Z854">
        <v>6578</v>
      </c>
      <c r="AA854">
        <v>3</v>
      </c>
      <c r="AB854">
        <v>33850</v>
      </c>
      <c r="AC854" s="10">
        <v>41157</v>
      </c>
      <c r="AD854" s="10" t="s">
        <v>72</v>
      </c>
      <c r="AE854" t="s">
        <v>72</v>
      </c>
      <c r="AF854" t="s">
        <v>45</v>
      </c>
    </row>
    <row r="855" spans="1:32" x14ac:dyDescent="0.25">
      <c r="A855">
        <v>456</v>
      </c>
      <c r="B855">
        <v>30</v>
      </c>
      <c r="C855" t="s">
        <v>43</v>
      </c>
      <c r="D855" t="s">
        <v>33</v>
      </c>
      <c r="E855" t="s">
        <v>56</v>
      </c>
      <c r="F855" t="s">
        <v>49</v>
      </c>
      <c r="G855" t="s">
        <v>59</v>
      </c>
      <c r="H855" t="s">
        <v>47</v>
      </c>
      <c r="I855" t="s">
        <v>38</v>
      </c>
      <c r="J855" t="s">
        <v>57</v>
      </c>
      <c r="K855">
        <v>3</v>
      </c>
      <c r="L855">
        <v>3</v>
      </c>
      <c r="M855" t="s">
        <v>48</v>
      </c>
      <c r="N855" t="s">
        <v>52</v>
      </c>
      <c r="O855" t="s">
        <v>50</v>
      </c>
      <c r="P855" t="s">
        <v>43</v>
      </c>
      <c r="Q855">
        <v>13</v>
      </c>
      <c r="R855">
        <v>1</v>
      </c>
      <c r="S855">
        <v>10</v>
      </c>
      <c r="T855">
        <v>1</v>
      </c>
      <c r="U855">
        <v>2</v>
      </c>
      <c r="V855">
        <v>5</v>
      </c>
      <c r="W855">
        <v>30</v>
      </c>
      <c r="X855">
        <v>570</v>
      </c>
      <c r="Y855">
        <v>5431</v>
      </c>
      <c r="Z855">
        <v>6118</v>
      </c>
      <c r="AA855">
        <v>2</v>
      </c>
      <c r="AB855">
        <v>34011</v>
      </c>
      <c r="AC855" s="10">
        <v>41266</v>
      </c>
      <c r="AD855" s="10" t="s">
        <v>72</v>
      </c>
      <c r="AE855" t="s">
        <v>72</v>
      </c>
      <c r="AF855" t="s">
        <v>45</v>
      </c>
    </row>
    <row r="856" spans="1:32" x14ac:dyDescent="0.25">
      <c r="A856">
        <v>1973</v>
      </c>
      <c r="B856">
        <v>55</v>
      </c>
      <c r="C856" t="s">
        <v>43</v>
      </c>
      <c r="D856" t="s">
        <v>33</v>
      </c>
      <c r="E856" t="s">
        <v>68</v>
      </c>
      <c r="F856" t="s">
        <v>35</v>
      </c>
      <c r="G856" t="s">
        <v>50</v>
      </c>
      <c r="H856" t="s">
        <v>37</v>
      </c>
      <c r="I856" t="s">
        <v>59</v>
      </c>
      <c r="J856" t="s">
        <v>69</v>
      </c>
      <c r="K856">
        <v>2</v>
      </c>
      <c r="L856">
        <v>3</v>
      </c>
      <c r="M856" t="s">
        <v>48</v>
      </c>
      <c r="N856" t="s">
        <v>61</v>
      </c>
      <c r="O856" t="s">
        <v>36</v>
      </c>
      <c r="P856" t="s">
        <v>32</v>
      </c>
      <c r="Q856">
        <v>18</v>
      </c>
      <c r="R856">
        <v>4</v>
      </c>
      <c r="S856">
        <v>35</v>
      </c>
      <c r="T856">
        <v>1</v>
      </c>
      <c r="U856">
        <v>4</v>
      </c>
      <c r="V856">
        <v>26</v>
      </c>
      <c r="W856">
        <v>71</v>
      </c>
      <c r="X856">
        <v>189</v>
      </c>
      <c r="Y856">
        <v>25811</v>
      </c>
      <c r="Z856">
        <v>19636</v>
      </c>
      <c r="AA856">
        <v>0</v>
      </c>
      <c r="AB856">
        <v>25017</v>
      </c>
      <c r="AC856" s="10">
        <v>41382</v>
      </c>
      <c r="AD856" s="10" t="s">
        <v>72</v>
      </c>
      <c r="AE856" t="s">
        <v>72</v>
      </c>
      <c r="AF856" t="s">
        <v>45</v>
      </c>
    </row>
    <row r="857" spans="1:32" x14ac:dyDescent="0.25">
      <c r="A857">
        <v>2041</v>
      </c>
      <c r="B857">
        <v>38</v>
      </c>
      <c r="C857" t="s">
        <v>43</v>
      </c>
      <c r="D857" t="s">
        <v>33</v>
      </c>
      <c r="E857" t="s">
        <v>56</v>
      </c>
      <c r="F857" t="s">
        <v>67</v>
      </c>
      <c r="G857" t="s">
        <v>36</v>
      </c>
      <c r="H857" t="s">
        <v>47</v>
      </c>
      <c r="I857" t="s">
        <v>50</v>
      </c>
      <c r="J857" t="s">
        <v>57</v>
      </c>
      <c r="K857">
        <v>4</v>
      </c>
      <c r="L857">
        <v>3</v>
      </c>
      <c r="M857" t="s">
        <v>48</v>
      </c>
      <c r="N857" t="s">
        <v>61</v>
      </c>
      <c r="O857" t="s">
        <v>36</v>
      </c>
      <c r="P857" t="s">
        <v>43</v>
      </c>
      <c r="Q857">
        <v>11</v>
      </c>
      <c r="R857">
        <v>1</v>
      </c>
      <c r="S857">
        <v>10</v>
      </c>
      <c r="T857">
        <v>1</v>
      </c>
      <c r="U857">
        <v>9</v>
      </c>
      <c r="V857">
        <v>10</v>
      </c>
      <c r="W857">
        <v>100</v>
      </c>
      <c r="X857">
        <v>345</v>
      </c>
      <c r="Y857">
        <v>5982</v>
      </c>
      <c r="Z857">
        <v>5343</v>
      </c>
      <c r="AA857">
        <v>1</v>
      </c>
      <c r="AB857">
        <v>31160</v>
      </c>
      <c r="AC857" s="10">
        <v>41386</v>
      </c>
      <c r="AD857" s="10" t="s">
        <v>72</v>
      </c>
      <c r="AE857" t="s">
        <v>72</v>
      </c>
      <c r="AF857" t="s">
        <v>55</v>
      </c>
    </row>
    <row r="858" spans="1:32" x14ac:dyDescent="0.25">
      <c r="A858">
        <v>1880</v>
      </c>
      <c r="B858">
        <v>36</v>
      </c>
      <c r="C858" t="s">
        <v>43</v>
      </c>
      <c r="D858" t="s">
        <v>33</v>
      </c>
      <c r="E858" t="s">
        <v>56</v>
      </c>
      <c r="F858" t="s">
        <v>35</v>
      </c>
      <c r="G858" t="s">
        <v>38</v>
      </c>
      <c r="H858" t="s">
        <v>47</v>
      </c>
      <c r="I858" t="s">
        <v>38</v>
      </c>
      <c r="J858" t="s">
        <v>57</v>
      </c>
      <c r="K858">
        <v>3</v>
      </c>
      <c r="L858">
        <v>3</v>
      </c>
      <c r="M858" t="s">
        <v>48</v>
      </c>
      <c r="N858" t="s">
        <v>61</v>
      </c>
      <c r="O858" t="s">
        <v>36</v>
      </c>
      <c r="P858" t="s">
        <v>32</v>
      </c>
      <c r="Q858">
        <v>13</v>
      </c>
      <c r="R858">
        <v>1</v>
      </c>
      <c r="S858">
        <v>10</v>
      </c>
      <c r="T858">
        <v>1</v>
      </c>
      <c r="U858">
        <v>7</v>
      </c>
      <c r="V858">
        <v>10</v>
      </c>
      <c r="W858">
        <v>63</v>
      </c>
      <c r="X858">
        <v>1266</v>
      </c>
      <c r="Y858">
        <v>6060</v>
      </c>
      <c r="Z858">
        <v>5673</v>
      </c>
      <c r="AA858">
        <v>4</v>
      </c>
      <c r="AB858">
        <v>31964</v>
      </c>
      <c r="AC858" s="10">
        <v>41451</v>
      </c>
      <c r="AD858" s="10" t="s">
        <v>72</v>
      </c>
      <c r="AE858" t="s">
        <v>72</v>
      </c>
      <c r="AF858" t="s">
        <v>45</v>
      </c>
    </row>
    <row r="859" spans="1:32" x14ac:dyDescent="0.25">
      <c r="A859">
        <v>1045</v>
      </c>
      <c r="B859">
        <v>45</v>
      </c>
      <c r="C859" t="s">
        <v>43</v>
      </c>
      <c r="D859" t="s">
        <v>33</v>
      </c>
      <c r="E859" t="s">
        <v>56</v>
      </c>
      <c r="F859" t="s">
        <v>67</v>
      </c>
      <c r="G859" t="s">
        <v>59</v>
      </c>
      <c r="H859" t="s">
        <v>47</v>
      </c>
      <c r="I859" t="s">
        <v>50</v>
      </c>
      <c r="J859" t="s">
        <v>69</v>
      </c>
      <c r="K859">
        <v>4</v>
      </c>
      <c r="L859">
        <v>3</v>
      </c>
      <c r="M859" t="s">
        <v>58</v>
      </c>
      <c r="N859" t="s">
        <v>61</v>
      </c>
      <c r="O859" t="s">
        <v>36</v>
      </c>
      <c r="P859" t="s">
        <v>43</v>
      </c>
      <c r="Q859">
        <v>13</v>
      </c>
      <c r="R859">
        <v>3</v>
      </c>
      <c r="S859">
        <v>26</v>
      </c>
      <c r="T859">
        <v>1</v>
      </c>
      <c r="U859">
        <v>1</v>
      </c>
      <c r="V859">
        <v>11</v>
      </c>
      <c r="W859">
        <v>90</v>
      </c>
      <c r="X859">
        <v>1234</v>
      </c>
      <c r="Y859">
        <v>5404</v>
      </c>
      <c r="Z859">
        <v>17650</v>
      </c>
      <c r="AA859">
        <v>4</v>
      </c>
      <c r="AB859">
        <v>28665</v>
      </c>
      <c r="AC859" s="10">
        <v>41531</v>
      </c>
      <c r="AD859" s="10" t="s">
        <v>72</v>
      </c>
      <c r="AE859" t="s">
        <v>72</v>
      </c>
      <c r="AF859" t="s">
        <v>45</v>
      </c>
    </row>
    <row r="860" spans="1:32" x14ac:dyDescent="0.25">
      <c r="A860">
        <v>1778</v>
      </c>
      <c r="B860">
        <v>43</v>
      </c>
      <c r="C860" t="s">
        <v>43</v>
      </c>
      <c r="D860" t="s">
        <v>33</v>
      </c>
      <c r="E860" t="s">
        <v>68</v>
      </c>
      <c r="F860" t="s">
        <v>49</v>
      </c>
      <c r="G860" t="s">
        <v>38</v>
      </c>
      <c r="H860" t="s">
        <v>37</v>
      </c>
      <c r="I860" t="s">
        <v>50</v>
      </c>
      <c r="J860" t="s">
        <v>68</v>
      </c>
      <c r="K860">
        <v>4</v>
      </c>
      <c r="L860">
        <v>3</v>
      </c>
      <c r="M860" t="s">
        <v>48</v>
      </c>
      <c r="N860" t="s">
        <v>41</v>
      </c>
      <c r="O860" t="s">
        <v>42</v>
      </c>
      <c r="P860" t="s">
        <v>43</v>
      </c>
      <c r="Q860">
        <v>13</v>
      </c>
      <c r="R860">
        <v>0</v>
      </c>
      <c r="S860">
        <v>10</v>
      </c>
      <c r="T860">
        <v>1</v>
      </c>
      <c r="U860">
        <v>8</v>
      </c>
      <c r="V860">
        <v>2</v>
      </c>
      <c r="W860">
        <v>97</v>
      </c>
      <c r="X860">
        <v>244</v>
      </c>
      <c r="Y860">
        <v>5033</v>
      </c>
      <c r="Z860">
        <v>3539</v>
      </c>
      <c r="AA860">
        <v>5</v>
      </c>
      <c r="AB860">
        <v>29190</v>
      </c>
      <c r="AC860" s="10">
        <v>41621</v>
      </c>
      <c r="AD860" s="10" t="s">
        <v>72</v>
      </c>
      <c r="AE860" t="s">
        <v>72</v>
      </c>
      <c r="AF860" t="s">
        <v>45</v>
      </c>
    </row>
    <row r="861" spans="1:32" x14ac:dyDescent="0.25">
      <c r="A861">
        <v>2040</v>
      </c>
      <c r="B861">
        <v>35</v>
      </c>
      <c r="C861" t="s">
        <v>43</v>
      </c>
      <c r="D861" t="s">
        <v>33</v>
      </c>
      <c r="E861" t="s">
        <v>68</v>
      </c>
      <c r="F861" t="s">
        <v>35</v>
      </c>
      <c r="G861" t="s">
        <v>50</v>
      </c>
      <c r="H861" t="s">
        <v>47</v>
      </c>
      <c r="I861" t="s">
        <v>50</v>
      </c>
      <c r="J861" t="s">
        <v>68</v>
      </c>
      <c r="K861">
        <v>4</v>
      </c>
      <c r="L861">
        <v>3</v>
      </c>
      <c r="M861" t="s">
        <v>48</v>
      </c>
      <c r="N861" t="s">
        <v>41</v>
      </c>
      <c r="O861" t="s">
        <v>42</v>
      </c>
      <c r="P861" t="s">
        <v>32</v>
      </c>
      <c r="Q861">
        <v>16</v>
      </c>
      <c r="R861">
        <v>1</v>
      </c>
      <c r="S861">
        <v>9</v>
      </c>
      <c r="T861">
        <v>1</v>
      </c>
      <c r="U861">
        <v>7</v>
      </c>
      <c r="V861">
        <v>26</v>
      </c>
      <c r="W861">
        <v>31</v>
      </c>
      <c r="X861">
        <v>1146</v>
      </c>
      <c r="Y861">
        <v>16642</v>
      </c>
      <c r="Z861">
        <v>8837</v>
      </c>
      <c r="AA861">
        <v>2</v>
      </c>
      <c r="AB861">
        <v>32020</v>
      </c>
      <c r="AC861" s="10">
        <v>41662</v>
      </c>
      <c r="AD861" s="10" t="s">
        <v>72</v>
      </c>
      <c r="AE861" t="s">
        <v>72</v>
      </c>
      <c r="AF861" t="s">
        <v>45</v>
      </c>
    </row>
    <row r="862" spans="1:32" x14ac:dyDescent="0.25">
      <c r="A862">
        <v>1951</v>
      </c>
      <c r="B862">
        <v>34</v>
      </c>
      <c r="C862" t="s">
        <v>43</v>
      </c>
      <c r="D862" t="s">
        <v>33</v>
      </c>
      <c r="E862" t="s">
        <v>56</v>
      </c>
      <c r="F862" t="s">
        <v>35</v>
      </c>
      <c r="G862" t="s">
        <v>59</v>
      </c>
      <c r="H862" t="s">
        <v>37</v>
      </c>
      <c r="I862" t="s">
        <v>50</v>
      </c>
      <c r="J862" t="s">
        <v>57</v>
      </c>
      <c r="K862">
        <v>3</v>
      </c>
      <c r="L862">
        <v>3</v>
      </c>
      <c r="M862" t="s">
        <v>60</v>
      </c>
      <c r="N862" t="s">
        <v>52</v>
      </c>
      <c r="O862" t="s">
        <v>36</v>
      </c>
      <c r="P862" t="s">
        <v>43</v>
      </c>
      <c r="Q862">
        <v>18</v>
      </c>
      <c r="R862">
        <v>1</v>
      </c>
      <c r="S862">
        <v>9</v>
      </c>
      <c r="T862">
        <v>1</v>
      </c>
      <c r="U862">
        <v>1</v>
      </c>
      <c r="V862">
        <v>13</v>
      </c>
      <c r="W862">
        <v>39</v>
      </c>
      <c r="X862">
        <v>1239</v>
      </c>
      <c r="Y862">
        <v>22914</v>
      </c>
      <c r="Z862">
        <v>8628</v>
      </c>
      <c r="AA862">
        <v>2</v>
      </c>
      <c r="AB862">
        <v>32609</v>
      </c>
      <c r="AC862" s="10">
        <v>41954</v>
      </c>
      <c r="AD862" s="10" t="s">
        <v>72</v>
      </c>
      <c r="AE862" t="s">
        <v>72</v>
      </c>
      <c r="AF862" t="s">
        <v>45</v>
      </c>
    </row>
    <row r="863" spans="1:32" x14ac:dyDescent="0.25">
      <c r="A863">
        <v>728</v>
      </c>
      <c r="B863">
        <v>47</v>
      </c>
      <c r="C863" t="s">
        <v>43</v>
      </c>
      <c r="D863" t="s">
        <v>33</v>
      </c>
      <c r="E863" t="s">
        <v>56</v>
      </c>
      <c r="F863" t="s">
        <v>35</v>
      </c>
      <c r="G863" t="s">
        <v>59</v>
      </c>
      <c r="H863" t="s">
        <v>37</v>
      </c>
      <c r="I863" t="s">
        <v>50</v>
      </c>
      <c r="J863" t="s">
        <v>57</v>
      </c>
      <c r="K863">
        <v>1</v>
      </c>
      <c r="L863">
        <v>3</v>
      </c>
      <c r="M863" t="s">
        <v>48</v>
      </c>
      <c r="N863" t="s">
        <v>41</v>
      </c>
      <c r="O863" t="s">
        <v>42</v>
      </c>
      <c r="P863" t="s">
        <v>43</v>
      </c>
      <c r="Q863">
        <v>12</v>
      </c>
      <c r="R863">
        <v>2</v>
      </c>
      <c r="S863">
        <v>20</v>
      </c>
      <c r="T863">
        <v>1</v>
      </c>
      <c r="U863">
        <v>7</v>
      </c>
      <c r="V863">
        <v>14</v>
      </c>
      <c r="W863">
        <v>42</v>
      </c>
      <c r="X863">
        <v>703</v>
      </c>
      <c r="Y863">
        <v>11825</v>
      </c>
      <c r="Z863">
        <v>4960</v>
      </c>
      <c r="AA863">
        <v>2</v>
      </c>
      <c r="AB863">
        <v>27677</v>
      </c>
      <c r="AC863" s="10">
        <v>42221</v>
      </c>
      <c r="AD863" s="10" t="s">
        <v>72</v>
      </c>
      <c r="AE863" t="s">
        <v>72</v>
      </c>
      <c r="AF863" t="s">
        <v>45</v>
      </c>
    </row>
    <row r="864" spans="1:32" x14ac:dyDescent="0.25">
      <c r="A864">
        <v>1754</v>
      </c>
      <c r="B864">
        <v>30</v>
      </c>
      <c r="C864" t="s">
        <v>43</v>
      </c>
      <c r="D864" t="s">
        <v>33</v>
      </c>
      <c r="E864" t="s">
        <v>56</v>
      </c>
      <c r="F864" t="s">
        <v>67</v>
      </c>
      <c r="G864" t="s">
        <v>50</v>
      </c>
      <c r="H864" t="s">
        <v>37</v>
      </c>
      <c r="I864" t="s">
        <v>38</v>
      </c>
      <c r="J864" t="s">
        <v>57</v>
      </c>
      <c r="K864">
        <v>1</v>
      </c>
      <c r="L864">
        <v>3</v>
      </c>
      <c r="M864" t="s">
        <v>48</v>
      </c>
      <c r="N864" t="s">
        <v>52</v>
      </c>
      <c r="O864" t="s">
        <v>36</v>
      </c>
      <c r="P864" t="s">
        <v>43</v>
      </c>
      <c r="Q864">
        <v>11</v>
      </c>
      <c r="R864">
        <v>2</v>
      </c>
      <c r="S864">
        <v>12</v>
      </c>
      <c r="T864">
        <v>1</v>
      </c>
      <c r="U864">
        <v>7</v>
      </c>
      <c r="V864">
        <v>15</v>
      </c>
      <c r="W864">
        <v>94</v>
      </c>
      <c r="X864">
        <v>979</v>
      </c>
      <c r="Y864">
        <v>3088</v>
      </c>
      <c r="Z864">
        <v>7140</v>
      </c>
      <c r="AA864">
        <v>2</v>
      </c>
      <c r="AB864">
        <v>34097</v>
      </c>
      <c r="AC864" s="10">
        <v>42292</v>
      </c>
      <c r="AD864" s="10" t="s">
        <v>72</v>
      </c>
      <c r="AE864" t="s">
        <v>72</v>
      </c>
      <c r="AF864" t="s">
        <v>45</v>
      </c>
    </row>
    <row r="865" spans="1:32" x14ac:dyDescent="0.25">
      <c r="A865">
        <v>463</v>
      </c>
      <c r="B865">
        <v>29</v>
      </c>
      <c r="C865" t="s">
        <v>43</v>
      </c>
      <c r="D865" t="s">
        <v>33</v>
      </c>
      <c r="E865" t="s">
        <v>56</v>
      </c>
      <c r="F865" t="s">
        <v>64</v>
      </c>
      <c r="G865" t="s">
        <v>59</v>
      </c>
      <c r="H865" t="s">
        <v>47</v>
      </c>
      <c r="I865" t="s">
        <v>38</v>
      </c>
      <c r="J865" t="s">
        <v>57</v>
      </c>
      <c r="K865">
        <v>2</v>
      </c>
      <c r="L865">
        <v>3</v>
      </c>
      <c r="M865" t="s">
        <v>48</v>
      </c>
      <c r="N865" t="s">
        <v>52</v>
      </c>
      <c r="O865" t="s">
        <v>53</v>
      </c>
      <c r="P865" t="s">
        <v>32</v>
      </c>
      <c r="Q865">
        <v>14</v>
      </c>
      <c r="R865">
        <v>1</v>
      </c>
      <c r="S865">
        <v>7</v>
      </c>
      <c r="T865">
        <v>1</v>
      </c>
      <c r="U865">
        <v>7</v>
      </c>
      <c r="V865">
        <v>10</v>
      </c>
      <c r="W865">
        <v>39</v>
      </c>
      <c r="X865">
        <v>144</v>
      </c>
      <c r="Y865">
        <v>11866</v>
      </c>
      <c r="Z865">
        <v>8268</v>
      </c>
      <c r="AA865">
        <v>2</v>
      </c>
      <c r="AB865">
        <v>34196</v>
      </c>
      <c r="AC865" s="10">
        <v>42351</v>
      </c>
      <c r="AD865" s="10" t="s">
        <v>72</v>
      </c>
      <c r="AE865" t="s">
        <v>72</v>
      </c>
      <c r="AF865" t="s">
        <v>55</v>
      </c>
    </row>
    <row r="866" spans="1:32" x14ac:dyDescent="0.25">
      <c r="A866">
        <v>1218</v>
      </c>
      <c r="B866">
        <v>35</v>
      </c>
      <c r="C866" t="s">
        <v>43</v>
      </c>
      <c r="D866" t="s">
        <v>33</v>
      </c>
      <c r="E866" t="s">
        <v>56</v>
      </c>
      <c r="F866" t="s">
        <v>35</v>
      </c>
      <c r="G866" t="s">
        <v>50</v>
      </c>
      <c r="H866" t="s">
        <v>37</v>
      </c>
      <c r="I866" t="s">
        <v>50</v>
      </c>
      <c r="J866" t="s">
        <v>57</v>
      </c>
      <c r="K866">
        <v>1</v>
      </c>
      <c r="L866">
        <v>3</v>
      </c>
      <c r="M866" t="s">
        <v>48</v>
      </c>
      <c r="N866" t="s">
        <v>61</v>
      </c>
      <c r="O866" t="s">
        <v>50</v>
      </c>
      <c r="P866" t="s">
        <v>32</v>
      </c>
      <c r="Q866">
        <v>15</v>
      </c>
      <c r="R866">
        <v>3</v>
      </c>
      <c r="S866">
        <v>15</v>
      </c>
      <c r="T866">
        <v>1</v>
      </c>
      <c r="U866">
        <v>3</v>
      </c>
      <c r="V866">
        <v>17</v>
      </c>
      <c r="W866">
        <v>94</v>
      </c>
      <c r="X866">
        <v>1361</v>
      </c>
      <c r="Y866">
        <v>21026</v>
      </c>
      <c r="Z866">
        <v>8966</v>
      </c>
      <c r="AA866">
        <v>2</v>
      </c>
      <c r="AB866">
        <v>32198</v>
      </c>
      <c r="AC866" s="10">
        <v>42520</v>
      </c>
      <c r="AD866" s="10" t="s">
        <v>72</v>
      </c>
      <c r="AE866" t="s">
        <v>72</v>
      </c>
      <c r="AF866" t="s">
        <v>45</v>
      </c>
    </row>
    <row r="867" spans="1:32" x14ac:dyDescent="0.25">
      <c r="A867">
        <v>438</v>
      </c>
      <c r="B867">
        <v>31</v>
      </c>
      <c r="C867" t="s">
        <v>43</v>
      </c>
      <c r="D867" t="s">
        <v>33</v>
      </c>
      <c r="E867" t="s">
        <v>56</v>
      </c>
      <c r="F867" t="s">
        <v>49</v>
      </c>
      <c r="G867" t="s">
        <v>59</v>
      </c>
      <c r="H867" t="s">
        <v>37</v>
      </c>
      <c r="I867" t="s">
        <v>50</v>
      </c>
      <c r="J867" t="s">
        <v>57</v>
      </c>
      <c r="K867">
        <v>4</v>
      </c>
      <c r="L867">
        <v>3</v>
      </c>
      <c r="M867" t="s">
        <v>48</v>
      </c>
      <c r="N867" t="s">
        <v>52</v>
      </c>
      <c r="O867" t="s">
        <v>50</v>
      </c>
      <c r="P867" t="s">
        <v>43</v>
      </c>
      <c r="Q867">
        <v>12</v>
      </c>
      <c r="R867">
        <v>4</v>
      </c>
      <c r="S867">
        <v>13</v>
      </c>
      <c r="T867">
        <v>1</v>
      </c>
      <c r="U867">
        <v>4</v>
      </c>
      <c r="V867">
        <v>7</v>
      </c>
      <c r="W867">
        <v>73</v>
      </c>
      <c r="X867">
        <v>691</v>
      </c>
      <c r="Y867">
        <v>7143</v>
      </c>
      <c r="Z867">
        <v>7547</v>
      </c>
      <c r="AA867">
        <v>3</v>
      </c>
      <c r="AB867">
        <v>33744</v>
      </c>
      <c r="AC867" s="10">
        <v>42557</v>
      </c>
      <c r="AD867" s="10" t="s">
        <v>72</v>
      </c>
      <c r="AE867" t="s">
        <v>72</v>
      </c>
      <c r="AF867" t="s">
        <v>45</v>
      </c>
    </row>
    <row r="868" spans="1:32" x14ac:dyDescent="0.25">
      <c r="A868">
        <v>1171</v>
      </c>
      <c r="B868">
        <v>42</v>
      </c>
      <c r="C868" t="s">
        <v>43</v>
      </c>
      <c r="D868" t="s">
        <v>33</v>
      </c>
      <c r="E868" t="s">
        <v>56</v>
      </c>
      <c r="F868" t="s">
        <v>35</v>
      </c>
      <c r="G868" t="s">
        <v>38</v>
      </c>
      <c r="H868" t="s">
        <v>37</v>
      </c>
      <c r="I868" t="s">
        <v>50</v>
      </c>
      <c r="J868" t="s">
        <v>57</v>
      </c>
      <c r="K868">
        <v>1</v>
      </c>
      <c r="L868">
        <v>3</v>
      </c>
      <c r="M868" t="s">
        <v>58</v>
      </c>
      <c r="N868" t="s">
        <v>41</v>
      </c>
      <c r="O868" t="s">
        <v>42</v>
      </c>
      <c r="P868" t="s">
        <v>43</v>
      </c>
      <c r="Q868">
        <v>13</v>
      </c>
      <c r="R868">
        <v>7</v>
      </c>
      <c r="S868">
        <v>9</v>
      </c>
      <c r="T868">
        <v>1</v>
      </c>
      <c r="U868">
        <v>5</v>
      </c>
      <c r="V868">
        <v>4</v>
      </c>
      <c r="W868">
        <v>45</v>
      </c>
      <c r="X868">
        <v>647</v>
      </c>
      <c r="Y868">
        <v>2253</v>
      </c>
      <c r="Z868">
        <v>5155</v>
      </c>
      <c r="AA868">
        <v>3</v>
      </c>
      <c r="AB868">
        <v>29448</v>
      </c>
      <c r="AC868" s="10">
        <v>42645</v>
      </c>
      <c r="AD868" s="10" t="s">
        <v>72</v>
      </c>
      <c r="AE868" t="s">
        <v>72</v>
      </c>
      <c r="AF868" t="s">
        <v>45</v>
      </c>
    </row>
    <row r="869" spans="1:32" x14ac:dyDescent="0.25">
      <c r="A869">
        <v>690</v>
      </c>
      <c r="B869">
        <v>29</v>
      </c>
      <c r="C869" t="s">
        <v>43</v>
      </c>
      <c r="D869" t="s">
        <v>33</v>
      </c>
      <c r="E869" t="s">
        <v>56</v>
      </c>
      <c r="F869" t="s">
        <v>67</v>
      </c>
      <c r="G869" t="s">
        <v>38</v>
      </c>
      <c r="H869" t="s">
        <v>47</v>
      </c>
      <c r="I869" t="s">
        <v>50</v>
      </c>
      <c r="J869" t="s">
        <v>57</v>
      </c>
      <c r="K869">
        <v>3</v>
      </c>
      <c r="L869">
        <v>3</v>
      </c>
      <c r="M869" t="s">
        <v>60</v>
      </c>
      <c r="N869" t="s">
        <v>61</v>
      </c>
      <c r="O869" t="s">
        <v>36</v>
      </c>
      <c r="P869" t="s">
        <v>43</v>
      </c>
      <c r="Q869">
        <v>14</v>
      </c>
      <c r="R869">
        <v>1</v>
      </c>
      <c r="S869">
        <v>6</v>
      </c>
      <c r="T869">
        <v>1</v>
      </c>
      <c r="U869">
        <v>2</v>
      </c>
      <c r="V869">
        <v>3</v>
      </c>
      <c r="W869">
        <v>62</v>
      </c>
      <c r="X869">
        <v>1176</v>
      </c>
      <c r="Y869">
        <v>3487</v>
      </c>
      <c r="Z869">
        <v>5561</v>
      </c>
      <c r="AA869">
        <v>5</v>
      </c>
      <c r="AB869">
        <v>34367</v>
      </c>
      <c r="AC869" s="10">
        <v>42896</v>
      </c>
      <c r="AD869" s="10" t="s">
        <v>72</v>
      </c>
      <c r="AE869" t="s">
        <v>72</v>
      </c>
      <c r="AF869" t="s">
        <v>45</v>
      </c>
    </row>
    <row r="870" spans="1:32" x14ac:dyDescent="0.25">
      <c r="A870">
        <v>1239</v>
      </c>
      <c r="B870">
        <v>40</v>
      </c>
      <c r="C870" t="s">
        <v>43</v>
      </c>
      <c r="D870" t="s">
        <v>33</v>
      </c>
      <c r="E870" t="s">
        <v>56</v>
      </c>
      <c r="F870" t="s">
        <v>49</v>
      </c>
      <c r="G870" t="s">
        <v>38</v>
      </c>
      <c r="H870" t="s">
        <v>47</v>
      </c>
      <c r="I870" t="s">
        <v>38</v>
      </c>
      <c r="J870" t="s">
        <v>57</v>
      </c>
      <c r="K870">
        <v>2</v>
      </c>
      <c r="L870">
        <v>3</v>
      </c>
      <c r="M870" t="s">
        <v>58</v>
      </c>
      <c r="N870" t="s">
        <v>52</v>
      </c>
      <c r="O870" t="s">
        <v>36</v>
      </c>
      <c r="P870" t="s">
        <v>43</v>
      </c>
      <c r="Q870">
        <v>12</v>
      </c>
      <c r="R870">
        <v>7</v>
      </c>
      <c r="S870">
        <v>7</v>
      </c>
      <c r="T870">
        <v>1</v>
      </c>
      <c r="U870">
        <v>3</v>
      </c>
      <c r="V870">
        <v>10</v>
      </c>
      <c r="W870">
        <v>84</v>
      </c>
      <c r="X870">
        <v>107</v>
      </c>
      <c r="Y870">
        <v>11591</v>
      </c>
      <c r="Z870">
        <v>6852</v>
      </c>
      <c r="AA870">
        <v>2</v>
      </c>
      <c r="AB870">
        <v>30323</v>
      </c>
      <c r="AC870" s="10">
        <v>42943</v>
      </c>
      <c r="AD870" s="10" t="s">
        <v>72</v>
      </c>
      <c r="AE870" t="s">
        <v>72</v>
      </c>
      <c r="AF870" t="s">
        <v>45</v>
      </c>
    </row>
    <row r="871" spans="1:32" x14ac:dyDescent="0.25">
      <c r="A871">
        <v>1882</v>
      </c>
      <c r="B871">
        <v>34</v>
      </c>
      <c r="C871" t="s">
        <v>43</v>
      </c>
      <c r="D871" t="s">
        <v>33</v>
      </c>
      <c r="E871" t="s">
        <v>56</v>
      </c>
      <c r="F871" t="s">
        <v>49</v>
      </c>
      <c r="G871" t="s">
        <v>50</v>
      </c>
      <c r="H871" t="s">
        <v>37</v>
      </c>
      <c r="I871" t="s">
        <v>50</v>
      </c>
      <c r="J871" t="s">
        <v>57</v>
      </c>
      <c r="K871">
        <v>4</v>
      </c>
      <c r="L871">
        <v>3</v>
      </c>
      <c r="M871" t="s">
        <v>48</v>
      </c>
      <c r="N871" t="s">
        <v>61</v>
      </c>
      <c r="O871" t="s">
        <v>50</v>
      </c>
      <c r="P871" t="s">
        <v>32</v>
      </c>
      <c r="Q871">
        <v>13</v>
      </c>
      <c r="R871">
        <v>2</v>
      </c>
      <c r="S871">
        <v>9</v>
      </c>
      <c r="T871">
        <v>1</v>
      </c>
      <c r="U871">
        <v>0</v>
      </c>
      <c r="V871">
        <v>4</v>
      </c>
      <c r="W871">
        <v>64</v>
      </c>
      <c r="X871">
        <v>1480</v>
      </c>
      <c r="Y871">
        <v>24444</v>
      </c>
      <c r="Z871">
        <v>9713</v>
      </c>
      <c r="AA871">
        <v>3</v>
      </c>
      <c r="AB871">
        <v>32432</v>
      </c>
      <c r="AC871" s="10">
        <v>42946</v>
      </c>
      <c r="AD871" s="10" t="s">
        <v>72</v>
      </c>
      <c r="AE871" t="s">
        <v>72</v>
      </c>
      <c r="AF871" t="s">
        <v>55</v>
      </c>
    </row>
    <row r="872" spans="1:32" x14ac:dyDescent="0.25">
      <c r="A872">
        <v>1207</v>
      </c>
      <c r="B872">
        <v>33</v>
      </c>
      <c r="C872" t="s">
        <v>43</v>
      </c>
      <c r="D872" t="s">
        <v>33</v>
      </c>
      <c r="E872" t="s">
        <v>68</v>
      </c>
      <c r="F872" t="s">
        <v>49</v>
      </c>
      <c r="G872" t="s">
        <v>38</v>
      </c>
      <c r="H872" t="s">
        <v>37</v>
      </c>
      <c r="I872" t="s">
        <v>50</v>
      </c>
      <c r="J872" t="s">
        <v>68</v>
      </c>
      <c r="K872">
        <v>3</v>
      </c>
      <c r="L872">
        <v>3</v>
      </c>
      <c r="M872" t="s">
        <v>48</v>
      </c>
      <c r="N872" t="s">
        <v>61</v>
      </c>
      <c r="O872" t="s">
        <v>36</v>
      </c>
      <c r="P872" t="s">
        <v>43</v>
      </c>
      <c r="Q872">
        <v>13</v>
      </c>
      <c r="R872">
        <v>1</v>
      </c>
      <c r="S872">
        <v>5</v>
      </c>
      <c r="T872">
        <v>1</v>
      </c>
      <c r="U872">
        <v>4</v>
      </c>
      <c r="V872">
        <v>2</v>
      </c>
      <c r="W872">
        <v>99</v>
      </c>
      <c r="X872">
        <v>147</v>
      </c>
      <c r="Y872">
        <v>8429</v>
      </c>
      <c r="Z872">
        <v>3600</v>
      </c>
      <c r="AA872">
        <v>2</v>
      </c>
      <c r="AB872">
        <v>32913</v>
      </c>
      <c r="AC872" s="10">
        <v>42970</v>
      </c>
      <c r="AD872" s="10" t="s">
        <v>72</v>
      </c>
      <c r="AE872" t="s">
        <v>72</v>
      </c>
      <c r="AF872" t="s">
        <v>45</v>
      </c>
    </row>
    <row r="873" spans="1:32" x14ac:dyDescent="0.25">
      <c r="A873">
        <v>527</v>
      </c>
      <c r="B873">
        <v>25</v>
      </c>
      <c r="C873" t="s">
        <v>43</v>
      </c>
      <c r="D873" t="s">
        <v>33</v>
      </c>
      <c r="E873" t="s">
        <v>56</v>
      </c>
      <c r="F873" t="s">
        <v>67</v>
      </c>
      <c r="G873" t="s">
        <v>38</v>
      </c>
      <c r="H873" t="s">
        <v>47</v>
      </c>
      <c r="I873" t="s">
        <v>38</v>
      </c>
      <c r="J873" t="s">
        <v>57</v>
      </c>
      <c r="K873">
        <v>4</v>
      </c>
      <c r="L873">
        <v>3</v>
      </c>
      <c r="M873" t="s">
        <v>48</v>
      </c>
      <c r="N873" t="s">
        <v>41</v>
      </c>
      <c r="O873" t="s">
        <v>42</v>
      </c>
      <c r="P873" t="s">
        <v>32</v>
      </c>
      <c r="Q873">
        <v>11</v>
      </c>
      <c r="R873">
        <v>1</v>
      </c>
      <c r="S873">
        <v>5</v>
      </c>
      <c r="T873">
        <v>1</v>
      </c>
      <c r="U873">
        <v>3</v>
      </c>
      <c r="V873">
        <v>4</v>
      </c>
      <c r="W873">
        <v>99</v>
      </c>
      <c r="X873">
        <v>891</v>
      </c>
      <c r="Y873">
        <v>12090</v>
      </c>
      <c r="Z873">
        <v>4487</v>
      </c>
      <c r="AA873">
        <v>3</v>
      </c>
      <c r="AB873">
        <v>35963</v>
      </c>
      <c r="AC873" s="10">
        <v>43036</v>
      </c>
      <c r="AD873" s="10" t="s">
        <v>72</v>
      </c>
      <c r="AE873" t="s">
        <v>72</v>
      </c>
      <c r="AF873" t="s">
        <v>45</v>
      </c>
    </row>
    <row r="874" spans="1:32" x14ac:dyDescent="0.25">
      <c r="A874">
        <v>516</v>
      </c>
      <c r="B874">
        <v>40</v>
      </c>
      <c r="C874" t="s">
        <v>43</v>
      </c>
      <c r="D874" t="s">
        <v>33</v>
      </c>
      <c r="E874" t="s">
        <v>56</v>
      </c>
      <c r="F874" t="s">
        <v>67</v>
      </c>
      <c r="G874" t="s">
        <v>59</v>
      </c>
      <c r="H874" t="s">
        <v>47</v>
      </c>
      <c r="I874" t="s">
        <v>50</v>
      </c>
      <c r="J874" t="s">
        <v>57</v>
      </c>
      <c r="K874">
        <v>2</v>
      </c>
      <c r="L874">
        <v>3</v>
      </c>
      <c r="M874" t="s">
        <v>48</v>
      </c>
      <c r="N874" t="s">
        <v>52</v>
      </c>
      <c r="O874" t="s">
        <v>53</v>
      </c>
      <c r="P874" t="s">
        <v>43</v>
      </c>
      <c r="Q874">
        <v>12</v>
      </c>
      <c r="R874">
        <v>7</v>
      </c>
      <c r="S874">
        <v>8</v>
      </c>
      <c r="T874">
        <v>1</v>
      </c>
      <c r="U874">
        <v>3</v>
      </c>
      <c r="V874">
        <v>2</v>
      </c>
      <c r="W874">
        <v>46</v>
      </c>
      <c r="X874">
        <v>759</v>
      </c>
      <c r="Y874">
        <v>22553</v>
      </c>
      <c r="Z874">
        <v>5715</v>
      </c>
      <c r="AA874">
        <v>5</v>
      </c>
      <c r="AB874">
        <v>30169</v>
      </c>
      <c r="AC874" s="10">
        <v>43057</v>
      </c>
      <c r="AD874" s="10" t="s">
        <v>72</v>
      </c>
      <c r="AE874" t="s">
        <v>72</v>
      </c>
      <c r="AF874" t="s">
        <v>45</v>
      </c>
    </row>
    <row r="875" spans="1:32" x14ac:dyDescent="0.25">
      <c r="A875">
        <v>1836</v>
      </c>
      <c r="B875">
        <v>26</v>
      </c>
      <c r="C875" t="s">
        <v>43</v>
      </c>
      <c r="D875" t="s">
        <v>33</v>
      </c>
      <c r="E875" t="s">
        <v>56</v>
      </c>
      <c r="F875" t="s">
        <v>49</v>
      </c>
      <c r="G875" t="s">
        <v>50</v>
      </c>
      <c r="H875" t="s">
        <v>37</v>
      </c>
      <c r="I875" t="s">
        <v>50</v>
      </c>
      <c r="J875" t="s">
        <v>57</v>
      </c>
      <c r="K875">
        <v>4</v>
      </c>
      <c r="L875">
        <v>3</v>
      </c>
      <c r="M875" t="s">
        <v>48</v>
      </c>
      <c r="N875" t="s">
        <v>41</v>
      </c>
      <c r="O875" t="s">
        <v>42</v>
      </c>
      <c r="P875" t="s">
        <v>43</v>
      </c>
      <c r="Q875">
        <v>13</v>
      </c>
      <c r="R875">
        <v>1</v>
      </c>
      <c r="S875">
        <v>5</v>
      </c>
      <c r="T875">
        <v>1</v>
      </c>
      <c r="U875">
        <v>2</v>
      </c>
      <c r="V875">
        <v>10</v>
      </c>
      <c r="W875">
        <v>46</v>
      </c>
      <c r="X875">
        <v>572</v>
      </c>
      <c r="Y875">
        <v>9125</v>
      </c>
      <c r="Z875">
        <v>4684</v>
      </c>
      <c r="AA875">
        <v>4</v>
      </c>
      <c r="AB875">
        <v>35625</v>
      </c>
      <c r="AC875" s="10">
        <v>43060</v>
      </c>
      <c r="AD875" s="10" t="s">
        <v>72</v>
      </c>
      <c r="AE875" t="s">
        <v>72</v>
      </c>
      <c r="AF875" t="s">
        <v>45</v>
      </c>
    </row>
    <row r="876" spans="1:32" x14ac:dyDescent="0.25">
      <c r="A876">
        <v>152</v>
      </c>
      <c r="B876">
        <v>37</v>
      </c>
      <c r="C876" t="s">
        <v>43</v>
      </c>
      <c r="D876" t="s">
        <v>33</v>
      </c>
      <c r="E876" t="s">
        <v>56</v>
      </c>
      <c r="F876" t="s">
        <v>49</v>
      </c>
      <c r="G876" t="s">
        <v>50</v>
      </c>
      <c r="H876" t="s">
        <v>37</v>
      </c>
      <c r="I876" t="s">
        <v>50</v>
      </c>
      <c r="J876" t="s">
        <v>57</v>
      </c>
      <c r="K876">
        <v>4</v>
      </c>
      <c r="L876">
        <v>3</v>
      </c>
      <c r="M876" t="s">
        <v>48</v>
      </c>
      <c r="N876" t="s">
        <v>41</v>
      </c>
      <c r="O876" t="s">
        <v>42</v>
      </c>
      <c r="P876" t="s">
        <v>43</v>
      </c>
      <c r="Q876">
        <v>12</v>
      </c>
      <c r="R876">
        <v>2</v>
      </c>
      <c r="S876">
        <v>12</v>
      </c>
      <c r="T876">
        <v>1</v>
      </c>
      <c r="U876">
        <v>3</v>
      </c>
      <c r="V876">
        <v>3</v>
      </c>
      <c r="W876">
        <v>87</v>
      </c>
      <c r="X876">
        <v>1189</v>
      </c>
      <c r="Y876">
        <v>14506</v>
      </c>
      <c r="Z876">
        <v>7428</v>
      </c>
      <c r="AA876">
        <v>3</v>
      </c>
      <c r="AB876">
        <v>31473</v>
      </c>
      <c r="AC876" s="10">
        <v>43098</v>
      </c>
      <c r="AD876" s="10" t="s">
        <v>72</v>
      </c>
      <c r="AE876" t="s">
        <v>72</v>
      </c>
      <c r="AF876" t="s">
        <v>45</v>
      </c>
    </row>
    <row r="877" spans="1:32" x14ac:dyDescent="0.25">
      <c r="A877">
        <v>1650</v>
      </c>
      <c r="B877">
        <v>29</v>
      </c>
      <c r="C877" t="s">
        <v>43</v>
      </c>
      <c r="D877" t="s">
        <v>33</v>
      </c>
      <c r="E877" t="s">
        <v>56</v>
      </c>
      <c r="F877" t="s">
        <v>49</v>
      </c>
      <c r="G877" t="s">
        <v>50</v>
      </c>
      <c r="H877" t="s">
        <v>37</v>
      </c>
      <c r="I877" t="s">
        <v>38</v>
      </c>
      <c r="J877" t="s">
        <v>57</v>
      </c>
      <c r="K877">
        <v>3</v>
      </c>
      <c r="L877">
        <v>3</v>
      </c>
      <c r="M877" t="s">
        <v>48</v>
      </c>
      <c r="N877" t="s">
        <v>41</v>
      </c>
      <c r="O877" t="s">
        <v>42</v>
      </c>
      <c r="P877" t="s">
        <v>43</v>
      </c>
      <c r="Q877">
        <v>11</v>
      </c>
      <c r="R877">
        <v>9</v>
      </c>
      <c r="S877">
        <v>8</v>
      </c>
      <c r="T877">
        <v>1</v>
      </c>
      <c r="U877">
        <v>4</v>
      </c>
      <c r="V877">
        <v>10</v>
      </c>
      <c r="W877">
        <v>42</v>
      </c>
      <c r="X877">
        <v>469</v>
      </c>
      <c r="Y877">
        <v>23413</v>
      </c>
      <c r="Z877">
        <v>5869</v>
      </c>
      <c r="AA877">
        <v>2</v>
      </c>
      <c r="AB877">
        <v>34460</v>
      </c>
      <c r="AC877" s="10">
        <v>43101</v>
      </c>
      <c r="AD877" s="10" t="s">
        <v>72</v>
      </c>
      <c r="AE877" t="s">
        <v>72</v>
      </c>
      <c r="AF877" t="s">
        <v>45</v>
      </c>
    </row>
    <row r="878" spans="1:32" x14ac:dyDescent="0.25">
      <c r="A878">
        <v>975</v>
      </c>
      <c r="B878">
        <v>35</v>
      </c>
      <c r="C878" t="s">
        <v>43</v>
      </c>
      <c r="D878" t="s">
        <v>33</v>
      </c>
      <c r="E878" t="s">
        <v>56</v>
      </c>
      <c r="F878" t="s">
        <v>49</v>
      </c>
      <c r="G878" t="s">
        <v>50</v>
      </c>
      <c r="H878" t="s">
        <v>47</v>
      </c>
      <c r="I878" t="s">
        <v>50</v>
      </c>
      <c r="J878" t="s">
        <v>57</v>
      </c>
      <c r="K878">
        <v>3</v>
      </c>
      <c r="L878">
        <v>3</v>
      </c>
      <c r="M878" t="s">
        <v>48</v>
      </c>
      <c r="N878" t="s">
        <v>61</v>
      </c>
      <c r="O878" t="s">
        <v>42</v>
      </c>
      <c r="P878" t="s">
        <v>43</v>
      </c>
      <c r="Q878">
        <v>16</v>
      </c>
      <c r="R878">
        <v>1</v>
      </c>
      <c r="S878">
        <v>5</v>
      </c>
      <c r="T878">
        <v>1</v>
      </c>
      <c r="U878">
        <v>0</v>
      </c>
      <c r="V878">
        <v>18</v>
      </c>
      <c r="W878">
        <v>86</v>
      </c>
      <c r="X878">
        <v>1219</v>
      </c>
      <c r="Y878">
        <v>6179</v>
      </c>
      <c r="Z878">
        <v>4601</v>
      </c>
      <c r="AA878">
        <v>3</v>
      </c>
      <c r="AB878">
        <v>32171</v>
      </c>
      <c r="AC878" s="10">
        <v>43106</v>
      </c>
      <c r="AD878" s="10" t="s">
        <v>72</v>
      </c>
      <c r="AE878" t="s">
        <v>72</v>
      </c>
      <c r="AF878" t="s">
        <v>55</v>
      </c>
    </row>
    <row r="879" spans="1:32" x14ac:dyDescent="0.25">
      <c r="A879">
        <v>1625</v>
      </c>
      <c r="B879">
        <v>47</v>
      </c>
      <c r="C879" t="s">
        <v>43</v>
      </c>
      <c r="D879" t="s">
        <v>33</v>
      </c>
      <c r="E879" t="s">
        <v>68</v>
      </c>
      <c r="F879" t="s">
        <v>35</v>
      </c>
      <c r="G879" t="s">
        <v>59</v>
      </c>
      <c r="H879" t="s">
        <v>47</v>
      </c>
      <c r="I879" t="s">
        <v>50</v>
      </c>
      <c r="J879" t="s">
        <v>69</v>
      </c>
      <c r="K879">
        <v>3</v>
      </c>
      <c r="L879">
        <v>3</v>
      </c>
      <c r="M879" t="s">
        <v>48</v>
      </c>
      <c r="N879" t="s">
        <v>61</v>
      </c>
      <c r="O879" t="s">
        <v>36</v>
      </c>
      <c r="P879" t="s">
        <v>43</v>
      </c>
      <c r="Q879">
        <v>11</v>
      </c>
      <c r="R879">
        <v>3</v>
      </c>
      <c r="S879">
        <v>27</v>
      </c>
      <c r="T879">
        <v>1</v>
      </c>
      <c r="U879">
        <v>0</v>
      </c>
      <c r="V879">
        <v>26</v>
      </c>
      <c r="W879">
        <v>98</v>
      </c>
      <c r="X879">
        <v>1176</v>
      </c>
      <c r="Y879">
        <v>5220</v>
      </c>
      <c r="Z879">
        <v>19658</v>
      </c>
      <c r="AA879">
        <v>2</v>
      </c>
      <c r="AB879">
        <v>27616</v>
      </c>
      <c r="AC879" s="10">
        <v>43113</v>
      </c>
      <c r="AD879" s="10" t="s">
        <v>72</v>
      </c>
      <c r="AE879" t="s">
        <v>72</v>
      </c>
      <c r="AF879" t="s">
        <v>55</v>
      </c>
    </row>
    <row r="880" spans="1:32" x14ac:dyDescent="0.25">
      <c r="A880">
        <v>677</v>
      </c>
      <c r="B880">
        <v>33</v>
      </c>
      <c r="C880" t="s">
        <v>43</v>
      </c>
      <c r="D880" t="s">
        <v>33</v>
      </c>
      <c r="E880" t="s">
        <v>56</v>
      </c>
      <c r="F880" t="s">
        <v>35</v>
      </c>
      <c r="G880" t="s">
        <v>50</v>
      </c>
      <c r="H880" t="s">
        <v>37</v>
      </c>
      <c r="I880" t="s">
        <v>50</v>
      </c>
      <c r="J880" t="s">
        <v>57</v>
      </c>
      <c r="K880">
        <v>3</v>
      </c>
      <c r="L880">
        <v>3</v>
      </c>
      <c r="M880" t="s">
        <v>48</v>
      </c>
      <c r="N880" t="s">
        <v>52</v>
      </c>
      <c r="O880" t="s">
        <v>42</v>
      </c>
      <c r="P880" t="s">
        <v>43</v>
      </c>
      <c r="Q880">
        <v>12</v>
      </c>
      <c r="R880">
        <v>0</v>
      </c>
      <c r="S880">
        <v>6</v>
      </c>
      <c r="T880">
        <v>1</v>
      </c>
      <c r="U880">
        <v>2</v>
      </c>
      <c r="V880">
        <v>8</v>
      </c>
      <c r="W880">
        <v>39</v>
      </c>
      <c r="X880">
        <v>1216</v>
      </c>
      <c r="Y880">
        <v>20431</v>
      </c>
      <c r="Z880">
        <v>7104</v>
      </c>
      <c r="AA880">
        <v>3</v>
      </c>
      <c r="AB880">
        <v>33054</v>
      </c>
      <c r="AC880" s="10">
        <v>43135</v>
      </c>
      <c r="AD880" s="10" t="s">
        <v>72</v>
      </c>
      <c r="AE880" t="s">
        <v>72</v>
      </c>
      <c r="AF880" t="s">
        <v>45</v>
      </c>
    </row>
    <row r="881" spans="1:32" x14ac:dyDescent="0.25">
      <c r="A881">
        <v>1503</v>
      </c>
      <c r="B881">
        <v>47</v>
      </c>
      <c r="C881" t="s">
        <v>43</v>
      </c>
      <c r="D881" t="s">
        <v>33</v>
      </c>
      <c r="E881" t="s">
        <v>56</v>
      </c>
      <c r="F881" t="s">
        <v>49</v>
      </c>
      <c r="G881" t="s">
        <v>50</v>
      </c>
      <c r="H881" t="s">
        <v>47</v>
      </c>
      <c r="I881" t="s">
        <v>50</v>
      </c>
      <c r="J881" t="s">
        <v>57</v>
      </c>
      <c r="K881">
        <v>3</v>
      </c>
      <c r="L881">
        <v>3</v>
      </c>
      <c r="M881" t="s">
        <v>60</v>
      </c>
      <c r="N881" t="s">
        <v>61</v>
      </c>
      <c r="O881" t="s">
        <v>36</v>
      </c>
      <c r="P881" t="s">
        <v>32</v>
      </c>
      <c r="Q881">
        <v>17</v>
      </c>
      <c r="R881">
        <v>3</v>
      </c>
      <c r="S881">
        <v>11</v>
      </c>
      <c r="T881">
        <v>1</v>
      </c>
      <c r="U881">
        <v>2</v>
      </c>
      <c r="V881">
        <v>14</v>
      </c>
      <c r="W881">
        <v>78</v>
      </c>
      <c r="X881">
        <v>571</v>
      </c>
      <c r="Y881">
        <v>24200</v>
      </c>
      <c r="Z881">
        <v>4591</v>
      </c>
      <c r="AA881">
        <v>4</v>
      </c>
      <c r="AB881">
        <v>27716</v>
      </c>
      <c r="AC881" s="10">
        <v>43165</v>
      </c>
      <c r="AD881" s="10" t="s">
        <v>72</v>
      </c>
      <c r="AE881" t="s">
        <v>72</v>
      </c>
      <c r="AF881" t="s">
        <v>45</v>
      </c>
    </row>
    <row r="882" spans="1:32" x14ac:dyDescent="0.25">
      <c r="A882">
        <v>1164</v>
      </c>
      <c r="B882">
        <v>35</v>
      </c>
      <c r="C882" t="s">
        <v>43</v>
      </c>
      <c r="D882" t="s">
        <v>33</v>
      </c>
      <c r="E882" t="s">
        <v>68</v>
      </c>
      <c r="F882" t="s">
        <v>35</v>
      </c>
      <c r="G882" t="s">
        <v>50</v>
      </c>
      <c r="H882" t="s">
        <v>37</v>
      </c>
      <c r="I882" t="s">
        <v>50</v>
      </c>
      <c r="J882" t="s">
        <v>68</v>
      </c>
      <c r="K882">
        <v>3</v>
      </c>
      <c r="L882">
        <v>3</v>
      </c>
      <c r="M882" t="s">
        <v>40</v>
      </c>
      <c r="N882" t="s">
        <v>41</v>
      </c>
      <c r="O882" t="s">
        <v>42</v>
      </c>
      <c r="P882" t="s">
        <v>43</v>
      </c>
      <c r="Q882">
        <v>17</v>
      </c>
      <c r="R882">
        <v>1</v>
      </c>
      <c r="S882">
        <v>6</v>
      </c>
      <c r="T882">
        <v>1</v>
      </c>
      <c r="U882">
        <v>4</v>
      </c>
      <c r="V882">
        <v>8</v>
      </c>
      <c r="W882">
        <v>100</v>
      </c>
      <c r="X882">
        <v>528</v>
      </c>
      <c r="Y882">
        <v>7108</v>
      </c>
      <c r="Z882">
        <v>4323</v>
      </c>
      <c r="AA882">
        <v>2</v>
      </c>
      <c r="AB882">
        <v>31993</v>
      </c>
      <c r="AC882" s="10">
        <v>43186</v>
      </c>
      <c r="AD882" s="10" t="s">
        <v>72</v>
      </c>
      <c r="AE882" t="s">
        <v>72</v>
      </c>
      <c r="AF882" t="s">
        <v>45</v>
      </c>
    </row>
    <row r="883" spans="1:32" x14ac:dyDescent="0.25">
      <c r="A883">
        <v>1912</v>
      </c>
      <c r="B883">
        <v>31</v>
      </c>
      <c r="C883" t="s">
        <v>43</v>
      </c>
      <c r="D883" t="s">
        <v>33</v>
      </c>
      <c r="E883" t="s">
        <v>56</v>
      </c>
      <c r="F883" t="s">
        <v>67</v>
      </c>
      <c r="G883" t="s">
        <v>50</v>
      </c>
      <c r="H883" t="s">
        <v>47</v>
      </c>
      <c r="I883" t="s">
        <v>50</v>
      </c>
      <c r="J883" t="s">
        <v>57</v>
      </c>
      <c r="K883">
        <v>4</v>
      </c>
      <c r="L883">
        <v>3</v>
      </c>
      <c r="M883" t="s">
        <v>48</v>
      </c>
      <c r="N883" t="s">
        <v>52</v>
      </c>
      <c r="O883" t="s">
        <v>36</v>
      </c>
      <c r="P883" t="s">
        <v>32</v>
      </c>
      <c r="Q883">
        <v>11</v>
      </c>
      <c r="R883">
        <v>2</v>
      </c>
      <c r="S883">
        <v>8</v>
      </c>
      <c r="T883">
        <v>1</v>
      </c>
      <c r="U883">
        <v>4</v>
      </c>
      <c r="V883">
        <v>10</v>
      </c>
      <c r="W883">
        <v>86</v>
      </c>
      <c r="X883">
        <v>1079</v>
      </c>
      <c r="Y883">
        <v>20115</v>
      </c>
      <c r="Z883">
        <v>6583</v>
      </c>
      <c r="AA883">
        <v>2</v>
      </c>
      <c r="AB883">
        <v>33616</v>
      </c>
      <c r="AC883" s="10">
        <v>43238</v>
      </c>
      <c r="AD883" s="10" t="s">
        <v>72</v>
      </c>
      <c r="AE883" t="s">
        <v>72</v>
      </c>
      <c r="AF883" t="s">
        <v>45</v>
      </c>
    </row>
    <row r="884" spans="1:32" x14ac:dyDescent="0.25">
      <c r="A884">
        <v>1390</v>
      </c>
      <c r="B884">
        <v>39</v>
      </c>
      <c r="C884" t="s">
        <v>43</v>
      </c>
      <c r="D884" t="s">
        <v>33</v>
      </c>
      <c r="E884" t="s">
        <v>56</v>
      </c>
      <c r="F884" t="s">
        <v>35</v>
      </c>
      <c r="G884" t="s">
        <v>36</v>
      </c>
      <c r="H884" t="s">
        <v>37</v>
      </c>
      <c r="I884" t="s">
        <v>38</v>
      </c>
      <c r="J884" t="s">
        <v>57</v>
      </c>
      <c r="K884">
        <v>4</v>
      </c>
      <c r="L884">
        <v>3</v>
      </c>
      <c r="M884" t="s">
        <v>58</v>
      </c>
      <c r="N884" t="s">
        <v>61</v>
      </c>
      <c r="O884" t="s">
        <v>53</v>
      </c>
      <c r="P884" t="s">
        <v>32</v>
      </c>
      <c r="Q884">
        <v>12</v>
      </c>
      <c r="R884">
        <v>3</v>
      </c>
      <c r="S884">
        <v>8</v>
      </c>
      <c r="T884">
        <v>1</v>
      </c>
      <c r="U884">
        <v>4</v>
      </c>
      <c r="V884">
        <v>21</v>
      </c>
      <c r="W884">
        <v>44</v>
      </c>
      <c r="X884">
        <v>1498</v>
      </c>
      <c r="Y884">
        <v>3567</v>
      </c>
      <c r="Z884">
        <v>6120</v>
      </c>
      <c r="AA884">
        <v>2</v>
      </c>
      <c r="AB884">
        <v>30762</v>
      </c>
      <c r="AC884" s="10">
        <v>43277</v>
      </c>
      <c r="AD884" s="10" t="s">
        <v>72</v>
      </c>
      <c r="AE884" t="s">
        <v>72</v>
      </c>
      <c r="AF884" t="s">
        <v>45</v>
      </c>
    </row>
    <row r="885" spans="1:32" x14ac:dyDescent="0.25">
      <c r="A885">
        <v>1908</v>
      </c>
      <c r="B885">
        <v>36</v>
      </c>
      <c r="C885" t="s">
        <v>43</v>
      </c>
      <c r="D885" t="s">
        <v>33</v>
      </c>
      <c r="E885" t="s">
        <v>56</v>
      </c>
      <c r="F885" t="s">
        <v>67</v>
      </c>
      <c r="G885" t="s">
        <v>50</v>
      </c>
      <c r="H885" t="s">
        <v>37</v>
      </c>
      <c r="I885" t="s">
        <v>38</v>
      </c>
      <c r="J885" t="s">
        <v>57</v>
      </c>
      <c r="K885">
        <v>2</v>
      </c>
      <c r="L885">
        <v>3</v>
      </c>
      <c r="M885" t="s">
        <v>40</v>
      </c>
      <c r="N885" t="s">
        <v>61</v>
      </c>
      <c r="O885" t="s">
        <v>53</v>
      </c>
      <c r="P885" t="s">
        <v>43</v>
      </c>
      <c r="Q885">
        <v>16</v>
      </c>
      <c r="R885">
        <v>2</v>
      </c>
      <c r="S885">
        <v>12</v>
      </c>
      <c r="T885">
        <v>1</v>
      </c>
      <c r="U885">
        <v>3</v>
      </c>
      <c r="V885">
        <v>17</v>
      </c>
      <c r="W885">
        <v>33</v>
      </c>
      <c r="X885">
        <v>335</v>
      </c>
      <c r="Y885">
        <v>16822</v>
      </c>
      <c r="Z885">
        <v>5507</v>
      </c>
      <c r="AA885">
        <v>1</v>
      </c>
      <c r="AB885">
        <v>31748</v>
      </c>
      <c r="AC885" s="10">
        <v>43545</v>
      </c>
      <c r="AD885" s="10" t="s">
        <v>72</v>
      </c>
      <c r="AE885" t="s">
        <v>72</v>
      </c>
      <c r="AF885" t="s">
        <v>55</v>
      </c>
    </row>
    <row r="886" spans="1:32" x14ac:dyDescent="0.25">
      <c r="A886">
        <v>1568</v>
      </c>
      <c r="B886">
        <v>30</v>
      </c>
      <c r="C886" t="s">
        <v>43</v>
      </c>
      <c r="D886" t="s">
        <v>33</v>
      </c>
      <c r="E886" t="s">
        <v>56</v>
      </c>
      <c r="F886" t="s">
        <v>35</v>
      </c>
      <c r="G886" t="s">
        <v>50</v>
      </c>
      <c r="H886" t="s">
        <v>37</v>
      </c>
      <c r="I886" t="s">
        <v>50</v>
      </c>
      <c r="J886" t="s">
        <v>57</v>
      </c>
      <c r="K886">
        <v>2</v>
      </c>
      <c r="L886">
        <v>3</v>
      </c>
      <c r="M886" t="s">
        <v>48</v>
      </c>
      <c r="N886" t="s">
        <v>61</v>
      </c>
      <c r="O886" t="s">
        <v>36</v>
      </c>
      <c r="P886" t="s">
        <v>43</v>
      </c>
      <c r="Q886">
        <v>12</v>
      </c>
      <c r="R886">
        <v>3</v>
      </c>
      <c r="S886">
        <v>9</v>
      </c>
      <c r="T886">
        <v>1</v>
      </c>
      <c r="U886">
        <v>3</v>
      </c>
      <c r="V886">
        <v>29</v>
      </c>
      <c r="W886">
        <v>33</v>
      </c>
      <c r="X886">
        <v>1288</v>
      </c>
      <c r="Y886">
        <v>17799</v>
      </c>
      <c r="Z886">
        <v>9250</v>
      </c>
      <c r="AA886">
        <v>3</v>
      </c>
      <c r="AB886">
        <v>34158</v>
      </c>
      <c r="AC886" s="10">
        <v>43550</v>
      </c>
      <c r="AD886" s="10" t="s">
        <v>72</v>
      </c>
      <c r="AE886" t="s">
        <v>72</v>
      </c>
      <c r="AF886" t="s">
        <v>55</v>
      </c>
    </row>
    <row r="887" spans="1:32" x14ac:dyDescent="0.25">
      <c r="A887">
        <v>1240</v>
      </c>
      <c r="B887">
        <v>25</v>
      </c>
      <c r="C887" t="s">
        <v>43</v>
      </c>
      <c r="D887" t="s">
        <v>33</v>
      </c>
      <c r="E887" t="s">
        <v>56</v>
      </c>
      <c r="F887" t="s">
        <v>35</v>
      </c>
      <c r="G887" t="s">
        <v>50</v>
      </c>
      <c r="H887" t="s">
        <v>37</v>
      </c>
      <c r="I887" t="s">
        <v>50</v>
      </c>
      <c r="J887" t="s">
        <v>57</v>
      </c>
      <c r="K887">
        <v>4</v>
      </c>
      <c r="L887">
        <v>3</v>
      </c>
      <c r="M887" t="s">
        <v>48</v>
      </c>
      <c r="N887" t="s">
        <v>41</v>
      </c>
      <c r="O887" t="s">
        <v>42</v>
      </c>
      <c r="P887" t="s">
        <v>43</v>
      </c>
      <c r="Q887">
        <v>14</v>
      </c>
      <c r="R887">
        <v>0</v>
      </c>
      <c r="S887">
        <v>5</v>
      </c>
      <c r="T887">
        <v>1</v>
      </c>
      <c r="U887">
        <v>1</v>
      </c>
      <c r="V887">
        <v>10</v>
      </c>
      <c r="W887">
        <v>57</v>
      </c>
      <c r="X887">
        <v>1356</v>
      </c>
      <c r="Y887">
        <v>20623</v>
      </c>
      <c r="Z887">
        <v>4950</v>
      </c>
      <c r="AA887">
        <v>4</v>
      </c>
      <c r="AB887">
        <v>35711</v>
      </c>
      <c r="AC887" s="10">
        <v>43563</v>
      </c>
      <c r="AD887" s="10" t="s">
        <v>72</v>
      </c>
      <c r="AE887" t="s">
        <v>72</v>
      </c>
      <c r="AF887" t="s">
        <v>45</v>
      </c>
    </row>
    <row r="888" spans="1:32" x14ac:dyDescent="0.25">
      <c r="A888">
        <v>330</v>
      </c>
      <c r="B888">
        <v>32</v>
      </c>
      <c r="C888" t="s">
        <v>43</v>
      </c>
      <c r="D888" t="s">
        <v>33</v>
      </c>
      <c r="E888" t="s">
        <v>56</v>
      </c>
      <c r="F888" t="s">
        <v>67</v>
      </c>
      <c r="G888" t="s">
        <v>50</v>
      </c>
      <c r="H888" t="s">
        <v>47</v>
      </c>
      <c r="I888" t="s">
        <v>50</v>
      </c>
      <c r="J888" t="s">
        <v>66</v>
      </c>
      <c r="K888">
        <v>2</v>
      </c>
      <c r="L888">
        <v>3</v>
      </c>
      <c r="M888" t="s">
        <v>48</v>
      </c>
      <c r="N888" t="s">
        <v>61</v>
      </c>
      <c r="O888" t="s">
        <v>36</v>
      </c>
      <c r="P888" t="s">
        <v>43</v>
      </c>
      <c r="Q888">
        <v>11</v>
      </c>
      <c r="R888">
        <v>2</v>
      </c>
      <c r="S888">
        <v>6</v>
      </c>
      <c r="T888">
        <v>1</v>
      </c>
      <c r="U888">
        <v>2</v>
      </c>
      <c r="V888">
        <v>4</v>
      </c>
      <c r="W888">
        <v>56</v>
      </c>
      <c r="X888">
        <v>1401</v>
      </c>
      <c r="Y888">
        <v>20990</v>
      </c>
      <c r="Z888">
        <v>3931</v>
      </c>
      <c r="AA888">
        <v>5</v>
      </c>
      <c r="AB888">
        <v>33368</v>
      </c>
      <c r="AC888" s="10">
        <v>43611</v>
      </c>
      <c r="AD888" s="10" t="s">
        <v>72</v>
      </c>
      <c r="AE888" t="s">
        <v>72</v>
      </c>
      <c r="AF888" t="s">
        <v>45</v>
      </c>
    </row>
    <row r="889" spans="1:32" x14ac:dyDescent="0.25">
      <c r="A889">
        <v>470</v>
      </c>
      <c r="B889">
        <v>42</v>
      </c>
      <c r="C889" t="s">
        <v>43</v>
      </c>
      <c r="D889" t="s">
        <v>33</v>
      </c>
      <c r="E889" t="s">
        <v>68</v>
      </c>
      <c r="F889" t="s">
        <v>64</v>
      </c>
      <c r="G889" t="s">
        <v>50</v>
      </c>
      <c r="H889" t="s">
        <v>37</v>
      </c>
      <c r="I889" t="s">
        <v>50</v>
      </c>
      <c r="J889" t="s">
        <v>68</v>
      </c>
      <c r="K889">
        <v>3</v>
      </c>
      <c r="L889">
        <v>3</v>
      </c>
      <c r="M889" t="s">
        <v>48</v>
      </c>
      <c r="N889" t="s">
        <v>52</v>
      </c>
      <c r="O889" t="s">
        <v>36</v>
      </c>
      <c r="P889" t="s">
        <v>32</v>
      </c>
      <c r="Q889">
        <v>11</v>
      </c>
      <c r="R889">
        <v>0</v>
      </c>
      <c r="S889">
        <v>4</v>
      </c>
      <c r="T889">
        <v>1</v>
      </c>
      <c r="U889">
        <v>0</v>
      </c>
      <c r="V889">
        <v>2</v>
      </c>
      <c r="W889">
        <v>52</v>
      </c>
      <c r="X889">
        <v>544</v>
      </c>
      <c r="Y889">
        <v>24017</v>
      </c>
      <c r="Z889">
        <v>2696</v>
      </c>
      <c r="AA889">
        <v>5</v>
      </c>
      <c r="AB889">
        <v>29696</v>
      </c>
      <c r="AC889" s="10">
        <v>43749</v>
      </c>
      <c r="AD889" s="10" t="s">
        <v>72</v>
      </c>
      <c r="AE889" t="s">
        <v>72</v>
      </c>
      <c r="AF889" t="s">
        <v>45</v>
      </c>
    </row>
    <row r="890" spans="1:32" x14ac:dyDescent="0.25">
      <c r="A890">
        <v>580</v>
      </c>
      <c r="B890">
        <v>46</v>
      </c>
      <c r="C890" t="s">
        <v>43</v>
      </c>
      <c r="D890" t="s">
        <v>33</v>
      </c>
      <c r="E890" t="s">
        <v>56</v>
      </c>
      <c r="F890" t="s">
        <v>49</v>
      </c>
      <c r="G890" t="s">
        <v>50</v>
      </c>
      <c r="H890" t="s">
        <v>47</v>
      </c>
      <c r="I890" t="s">
        <v>38</v>
      </c>
      <c r="J890" t="s">
        <v>57</v>
      </c>
      <c r="K890">
        <v>4</v>
      </c>
      <c r="L890">
        <v>3</v>
      </c>
      <c r="M890" t="s">
        <v>48</v>
      </c>
      <c r="N890" t="s">
        <v>61</v>
      </c>
      <c r="O890" t="s">
        <v>36</v>
      </c>
      <c r="P890" t="s">
        <v>32</v>
      </c>
      <c r="Q890">
        <v>19</v>
      </c>
      <c r="R890">
        <v>2</v>
      </c>
      <c r="S890">
        <v>15</v>
      </c>
      <c r="T890">
        <v>1</v>
      </c>
      <c r="U890">
        <v>2</v>
      </c>
      <c r="V890">
        <v>10</v>
      </c>
      <c r="W890">
        <v>94</v>
      </c>
      <c r="X890">
        <v>1125</v>
      </c>
      <c r="Y890">
        <v>11563</v>
      </c>
      <c r="Z890">
        <v>9071</v>
      </c>
      <c r="AA890">
        <v>3</v>
      </c>
      <c r="AB890">
        <v>28036</v>
      </c>
      <c r="AC890" s="10">
        <v>43759</v>
      </c>
      <c r="AD890" s="10" t="s">
        <v>72</v>
      </c>
      <c r="AE890" t="s">
        <v>72</v>
      </c>
      <c r="AF890" t="s">
        <v>55</v>
      </c>
    </row>
    <row r="891" spans="1:32" x14ac:dyDescent="0.25">
      <c r="A891">
        <v>1583</v>
      </c>
      <c r="B891">
        <v>38</v>
      </c>
      <c r="C891" t="s">
        <v>43</v>
      </c>
      <c r="D891" t="s">
        <v>33</v>
      </c>
      <c r="E891" t="s">
        <v>56</v>
      </c>
      <c r="F891" t="s">
        <v>49</v>
      </c>
      <c r="G891" t="s">
        <v>38</v>
      </c>
      <c r="H891" t="s">
        <v>47</v>
      </c>
      <c r="I891" t="s">
        <v>50</v>
      </c>
      <c r="J891" t="s">
        <v>57</v>
      </c>
      <c r="K891">
        <v>2</v>
      </c>
      <c r="L891">
        <v>3</v>
      </c>
      <c r="M891" t="s">
        <v>58</v>
      </c>
      <c r="N891" t="s">
        <v>41</v>
      </c>
      <c r="O891" t="s">
        <v>42</v>
      </c>
      <c r="P891" t="s">
        <v>43</v>
      </c>
      <c r="Q891">
        <v>12</v>
      </c>
      <c r="R891">
        <v>2</v>
      </c>
      <c r="S891">
        <v>8</v>
      </c>
      <c r="T891">
        <v>1</v>
      </c>
      <c r="U891">
        <v>2</v>
      </c>
      <c r="V891">
        <v>16</v>
      </c>
      <c r="W891">
        <v>90</v>
      </c>
      <c r="X891">
        <v>437</v>
      </c>
      <c r="Y891">
        <v>16379</v>
      </c>
      <c r="Z891">
        <v>4198</v>
      </c>
      <c r="AA891">
        <v>5</v>
      </c>
      <c r="AB891">
        <v>31005</v>
      </c>
      <c r="AC891" s="10">
        <v>43826</v>
      </c>
      <c r="AD891" s="10" t="s">
        <v>72</v>
      </c>
      <c r="AE891" t="s">
        <v>72</v>
      </c>
      <c r="AF891" t="s">
        <v>55</v>
      </c>
    </row>
    <row r="892" spans="1:32" x14ac:dyDescent="0.25">
      <c r="A892">
        <v>669</v>
      </c>
      <c r="B892">
        <v>21</v>
      </c>
      <c r="C892" t="s">
        <v>43</v>
      </c>
      <c r="D892" t="s">
        <v>33</v>
      </c>
      <c r="E892" t="s">
        <v>56</v>
      </c>
      <c r="F892" t="s">
        <v>64</v>
      </c>
      <c r="G892" t="s">
        <v>50</v>
      </c>
      <c r="H892" t="s">
        <v>37</v>
      </c>
      <c r="I892" t="s">
        <v>50</v>
      </c>
      <c r="J892" t="s">
        <v>66</v>
      </c>
      <c r="K892">
        <v>3</v>
      </c>
      <c r="L892">
        <v>3</v>
      </c>
      <c r="M892" t="s">
        <v>48</v>
      </c>
      <c r="N892" t="s">
        <v>41</v>
      </c>
      <c r="O892" t="s">
        <v>42</v>
      </c>
      <c r="P892" t="s">
        <v>43</v>
      </c>
      <c r="Q892">
        <v>11</v>
      </c>
      <c r="R892">
        <v>1</v>
      </c>
      <c r="S892">
        <v>3</v>
      </c>
      <c r="T892">
        <v>1</v>
      </c>
      <c r="U892">
        <v>2</v>
      </c>
      <c r="V892">
        <v>22</v>
      </c>
      <c r="W892">
        <v>49</v>
      </c>
      <c r="X892">
        <v>1343</v>
      </c>
      <c r="Y892">
        <v>24444</v>
      </c>
      <c r="Z892">
        <v>3447</v>
      </c>
      <c r="AA892">
        <v>2</v>
      </c>
      <c r="AB892">
        <v>37133</v>
      </c>
      <c r="AC892" s="10">
        <v>43845</v>
      </c>
      <c r="AD892" s="10" t="s">
        <v>72</v>
      </c>
      <c r="AE892" t="s">
        <v>72</v>
      </c>
      <c r="AF892" t="s">
        <v>45</v>
      </c>
    </row>
    <row r="893" spans="1:32" x14ac:dyDescent="0.25">
      <c r="A893">
        <v>1396</v>
      </c>
      <c r="B893">
        <v>32</v>
      </c>
      <c r="C893" t="s">
        <v>43</v>
      </c>
      <c r="D893" t="s">
        <v>33</v>
      </c>
      <c r="E893" t="s">
        <v>56</v>
      </c>
      <c r="F893" t="s">
        <v>64</v>
      </c>
      <c r="G893" t="s">
        <v>50</v>
      </c>
      <c r="H893" t="s">
        <v>37</v>
      </c>
      <c r="I893" t="s">
        <v>50</v>
      </c>
      <c r="J893" t="s">
        <v>57</v>
      </c>
      <c r="K893">
        <v>2</v>
      </c>
      <c r="L893">
        <v>3</v>
      </c>
      <c r="M893" t="s">
        <v>60</v>
      </c>
      <c r="N893" t="s">
        <v>61</v>
      </c>
      <c r="O893" t="s">
        <v>50</v>
      </c>
      <c r="P893" t="s">
        <v>32</v>
      </c>
      <c r="Q893">
        <v>13</v>
      </c>
      <c r="R893">
        <v>0</v>
      </c>
      <c r="S893">
        <v>4</v>
      </c>
      <c r="T893">
        <v>1</v>
      </c>
      <c r="U893">
        <v>2</v>
      </c>
      <c r="V893">
        <v>2</v>
      </c>
      <c r="W893">
        <v>36</v>
      </c>
      <c r="X893">
        <v>499</v>
      </c>
      <c r="Y893">
        <v>20497</v>
      </c>
      <c r="Z893">
        <v>4078</v>
      </c>
      <c r="AA893">
        <v>3</v>
      </c>
      <c r="AB893">
        <v>33348</v>
      </c>
      <c r="AC893" s="10">
        <v>43870</v>
      </c>
      <c r="AD893" s="10" t="s">
        <v>72</v>
      </c>
      <c r="AE893" t="s">
        <v>72</v>
      </c>
      <c r="AF893" t="s">
        <v>45</v>
      </c>
    </row>
    <row r="894" spans="1:32" x14ac:dyDescent="0.25">
      <c r="A894">
        <v>925</v>
      </c>
      <c r="B894">
        <v>47</v>
      </c>
      <c r="C894" t="s">
        <v>43</v>
      </c>
      <c r="D894" t="s">
        <v>33</v>
      </c>
      <c r="E894" t="s">
        <v>56</v>
      </c>
      <c r="F894" t="s">
        <v>35</v>
      </c>
      <c r="G894" t="s">
        <v>59</v>
      </c>
      <c r="H894" t="s">
        <v>47</v>
      </c>
      <c r="I894" t="s">
        <v>38</v>
      </c>
      <c r="J894" t="s">
        <v>66</v>
      </c>
      <c r="K894">
        <v>4</v>
      </c>
      <c r="L894">
        <v>3</v>
      </c>
      <c r="M894" t="s">
        <v>60</v>
      </c>
      <c r="N894" t="s">
        <v>41</v>
      </c>
      <c r="O894" t="s">
        <v>42</v>
      </c>
      <c r="P894" t="s">
        <v>32</v>
      </c>
      <c r="Q894">
        <v>18</v>
      </c>
      <c r="R894">
        <v>1</v>
      </c>
      <c r="S894">
        <v>3</v>
      </c>
      <c r="T894">
        <v>1</v>
      </c>
      <c r="U894">
        <v>2</v>
      </c>
      <c r="V894">
        <v>2</v>
      </c>
      <c r="W894">
        <v>65</v>
      </c>
      <c r="X894">
        <v>1454</v>
      </c>
      <c r="Y894">
        <v>13137</v>
      </c>
      <c r="Z894">
        <v>3294</v>
      </c>
      <c r="AA894">
        <v>3</v>
      </c>
      <c r="AB894">
        <v>27969</v>
      </c>
      <c r="AC894" s="10">
        <v>43874</v>
      </c>
      <c r="AD894" s="10" t="s">
        <v>72</v>
      </c>
      <c r="AE894" t="s">
        <v>72</v>
      </c>
      <c r="AF894" t="s">
        <v>45</v>
      </c>
    </row>
    <row r="895" spans="1:32" x14ac:dyDescent="0.25">
      <c r="A895">
        <v>1399</v>
      </c>
      <c r="B895">
        <v>25</v>
      </c>
      <c r="C895" t="s">
        <v>43</v>
      </c>
      <c r="D895" t="s">
        <v>33</v>
      </c>
      <c r="E895" t="s">
        <v>56</v>
      </c>
      <c r="F895" t="s">
        <v>64</v>
      </c>
      <c r="G895" t="s">
        <v>36</v>
      </c>
      <c r="H895" t="s">
        <v>37</v>
      </c>
      <c r="I895" t="s">
        <v>59</v>
      </c>
      <c r="J895" t="s">
        <v>57</v>
      </c>
      <c r="K895">
        <v>3</v>
      </c>
      <c r="L895">
        <v>3</v>
      </c>
      <c r="M895" t="s">
        <v>60</v>
      </c>
      <c r="N895" t="s">
        <v>61</v>
      </c>
      <c r="O895" t="s">
        <v>42</v>
      </c>
      <c r="P895" t="s">
        <v>43</v>
      </c>
      <c r="Q895">
        <v>11</v>
      </c>
      <c r="R895">
        <v>2</v>
      </c>
      <c r="S895">
        <v>6</v>
      </c>
      <c r="T895">
        <v>1</v>
      </c>
      <c r="U895">
        <v>2</v>
      </c>
      <c r="V895">
        <v>18</v>
      </c>
      <c r="W895">
        <v>93</v>
      </c>
      <c r="X895">
        <v>1372</v>
      </c>
      <c r="Y895">
        <v>12477</v>
      </c>
      <c r="Z895">
        <v>6232</v>
      </c>
      <c r="AA895">
        <v>3</v>
      </c>
      <c r="AB895">
        <v>35819</v>
      </c>
      <c r="AC895" s="10">
        <v>43896</v>
      </c>
      <c r="AD895" s="10" t="s">
        <v>72</v>
      </c>
      <c r="AE895" t="s">
        <v>72</v>
      </c>
      <c r="AF895" t="s">
        <v>45</v>
      </c>
    </row>
    <row r="896" spans="1:32" x14ac:dyDescent="0.25">
      <c r="A896">
        <v>1676</v>
      </c>
      <c r="B896">
        <v>47</v>
      </c>
      <c r="C896" t="s">
        <v>43</v>
      </c>
      <c r="D896" t="s">
        <v>33</v>
      </c>
      <c r="E896" t="s">
        <v>56</v>
      </c>
      <c r="F896" t="s">
        <v>35</v>
      </c>
      <c r="G896" t="s">
        <v>38</v>
      </c>
      <c r="H896" t="s">
        <v>47</v>
      </c>
      <c r="I896" t="s">
        <v>59</v>
      </c>
      <c r="J896" t="s">
        <v>69</v>
      </c>
      <c r="K896">
        <v>2</v>
      </c>
      <c r="L896">
        <v>3</v>
      </c>
      <c r="M896" t="s">
        <v>48</v>
      </c>
      <c r="N896" t="s">
        <v>52</v>
      </c>
      <c r="O896" t="s">
        <v>50</v>
      </c>
      <c r="P896" t="s">
        <v>43</v>
      </c>
      <c r="Q896">
        <v>14</v>
      </c>
      <c r="R896">
        <v>6</v>
      </c>
      <c r="S896">
        <v>29</v>
      </c>
      <c r="T896">
        <v>1</v>
      </c>
      <c r="U896">
        <v>2</v>
      </c>
      <c r="V896">
        <v>2</v>
      </c>
      <c r="W896">
        <v>47</v>
      </c>
      <c r="X896">
        <v>1225</v>
      </c>
      <c r="Y896">
        <v>21086</v>
      </c>
      <c r="Z896">
        <v>15972</v>
      </c>
      <c r="AA896">
        <v>2</v>
      </c>
      <c r="AB896">
        <v>27651</v>
      </c>
      <c r="AC896" s="10">
        <v>43914</v>
      </c>
      <c r="AD896" s="10" t="s">
        <v>72</v>
      </c>
      <c r="AE896" t="s">
        <v>72</v>
      </c>
      <c r="AF896" t="s">
        <v>55</v>
      </c>
    </row>
    <row r="897" spans="1:32" x14ac:dyDescent="0.25">
      <c r="A897">
        <v>808</v>
      </c>
      <c r="B897">
        <v>34</v>
      </c>
      <c r="C897" t="s">
        <v>43</v>
      </c>
      <c r="D897" t="s">
        <v>33</v>
      </c>
      <c r="E897" t="s">
        <v>56</v>
      </c>
      <c r="F897" t="s">
        <v>67</v>
      </c>
      <c r="G897" t="s">
        <v>50</v>
      </c>
      <c r="H897" t="s">
        <v>47</v>
      </c>
      <c r="I897" t="s">
        <v>50</v>
      </c>
      <c r="J897" t="s">
        <v>57</v>
      </c>
      <c r="K897">
        <v>1</v>
      </c>
      <c r="L897">
        <v>3</v>
      </c>
      <c r="M897" t="s">
        <v>48</v>
      </c>
      <c r="N897" t="s">
        <v>61</v>
      </c>
      <c r="O897" t="s">
        <v>36</v>
      </c>
      <c r="P897" t="s">
        <v>43</v>
      </c>
      <c r="Q897">
        <v>17</v>
      </c>
      <c r="R897">
        <v>5</v>
      </c>
      <c r="S897">
        <v>6</v>
      </c>
      <c r="T897">
        <v>1</v>
      </c>
      <c r="U897">
        <v>2</v>
      </c>
      <c r="V897">
        <v>8</v>
      </c>
      <c r="W897">
        <v>93</v>
      </c>
      <c r="X897">
        <v>1111</v>
      </c>
      <c r="Y897">
        <v>13305</v>
      </c>
      <c r="Z897">
        <v>6500</v>
      </c>
      <c r="AA897">
        <v>1</v>
      </c>
      <c r="AB897">
        <v>32440</v>
      </c>
      <c r="AC897" s="10">
        <v>43919</v>
      </c>
      <c r="AD897" s="10" t="s">
        <v>72</v>
      </c>
      <c r="AE897" t="s">
        <v>72</v>
      </c>
      <c r="AF897" t="s">
        <v>45</v>
      </c>
    </row>
    <row r="898" spans="1:32" x14ac:dyDescent="0.25">
      <c r="A898">
        <v>656</v>
      </c>
      <c r="B898">
        <v>37</v>
      </c>
      <c r="C898" t="s">
        <v>43</v>
      </c>
      <c r="D898" t="s">
        <v>33</v>
      </c>
      <c r="E898" t="s">
        <v>56</v>
      </c>
      <c r="F898" t="s">
        <v>49</v>
      </c>
      <c r="G898" t="s">
        <v>59</v>
      </c>
      <c r="H898" t="s">
        <v>37</v>
      </c>
      <c r="I898" t="s">
        <v>50</v>
      </c>
      <c r="J898" t="s">
        <v>57</v>
      </c>
      <c r="K898">
        <v>3</v>
      </c>
      <c r="L898">
        <v>3</v>
      </c>
      <c r="M898" t="s">
        <v>60</v>
      </c>
      <c r="N898" t="s">
        <v>61</v>
      </c>
      <c r="O898" t="s">
        <v>36</v>
      </c>
      <c r="P898" t="s">
        <v>32</v>
      </c>
      <c r="Q898">
        <v>11</v>
      </c>
      <c r="R898">
        <v>4</v>
      </c>
      <c r="S898">
        <v>17</v>
      </c>
      <c r="T898">
        <v>1</v>
      </c>
      <c r="U898">
        <v>0</v>
      </c>
      <c r="V898">
        <v>2</v>
      </c>
      <c r="W898">
        <v>75</v>
      </c>
      <c r="X898">
        <v>558</v>
      </c>
      <c r="Y898">
        <v>3010</v>
      </c>
      <c r="Z898">
        <v>9602</v>
      </c>
      <c r="AA898">
        <v>3</v>
      </c>
      <c r="AB898">
        <v>31402</v>
      </c>
      <c r="AC898" s="10">
        <v>43997</v>
      </c>
      <c r="AD898" s="10" t="s">
        <v>72</v>
      </c>
      <c r="AE898" t="s">
        <v>72</v>
      </c>
      <c r="AF898" t="s">
        <v>45</v>
      </c>
    </row>
    <row r="899" spans="1:32" x14ac:dyDescent="0.25">
      <c r="A899">
        <v>585</v>
      </c>
      <c r="B899">
        <v>30</v>
      </c>
      <c r="C899" t="s">
        <v>43</v>
      </c>
      <c r="D899" t="s">
        <v>33</v>
      </c>
      <c r="E899" t="s">
        <v>56</v>
      </c>
      <c r="F899" t="s">
        <v>64</v>
      </c>
      <c r="G899" t="s">
        <v>59</v>
      </c>
      <c r="H899" t="s">
        <v>37</v>
      </c>
      <c r="I899" t="s">
        <v>50</v>
      </c>
      <c r="J899" t="s">
        <v>66</v>
      </c>
      <c r="K899">
        <v>2</v>
      </c>
      <c r="L899">
        <v>3</v>
      </c>
      <c r="M899" t="s">
        <v>48</v>
      </c>
      <c r="N899" t="s">
        <v>41</v>
      </c>
      <c r="O899" t="s">
        <v>42</v>
      </c>
      <c r="P899" t="s">
        <v>43</v>
      </c>
      <c r="Q899">
        <v>14</v>
      </c>
      <c r="R899">
        <v>0</v>
      </c>
      <c r="S899">
        <v>4</v>
      </c>
      <c r="T899">
        <v>1</v>
      </c>
      <c r="U899">
        <v>2</v>
      </c>
      <c r="V899">
        <v>7</v>
      </c>
      <c r="W899">
        <v>57</v>
      </c>
      <c r="X899">
        <v>413</v>
      </c>
      <c r="Y899">
        <v>18398</v>
      </c>
      <c r="Z899">
        <v>2983</v>
      </c>
      <c r="AA899">
        <v>3</v>
      </c>
      <c r="AB899">
        <v>33934</v>
      </c>
      <c r="AC899" s="10">
        <v>44013</v>
      </c>
      <c r="AD899" s="10" t="s">
        <v>72</v>
      </c>
      <c r="AE899" t="s">
        <v>72</v>
      </c>
      <c r="AF899" t="s">
        <v>45</v>
      </c>
    </row>
    <row r="900" spans="1:32" x14ac:dyDescent="0.25">
      <c r="A900">
        <v>893</v>
      </c>
      <c r="B900">
        <v>38</v>
      </c>
      <c r="C900" t="s">
        <v>43</v>
      </c>
      <c r="D900" t="s">
        <v>33</v>
      </c>
      <c r="E900" t="s">
        <v>56</v>
      </c>
      <c r="F900" t="s">
        <v>49</v>
      </c>
      <c r="G900" t="s">
        <v>38</v>
      </c>
      <c r="H900" t="s">
        <v>37</v>
      </c>
      <c r="I900" t="s">
        <v>38</v>
      </c>
      <c r="J900" t="s">
        <v>66</v>
      </c>
      <c r="K900">
        <v>2</v>
      </c>
      <c r="L900">
        <v>3</v>
      </c>
      <c r="M900" t="s">
        <v>48</v>
      </c>
      <c r="N900" t="s">
        <v>61</v>
      </c>
      <c r="O900" t="s">
        <v>36</v>
      </c>
      <c r="P900" t="s">
        <v>43</v>
      </c>
      <c r="Q900">
        <v>19</v>
      </c>
      <c r="R900">
        <v>0</v>
      </c>
      <c r="S900">
        <v>3</v>
      </c>
      <c r="T900">
        <v>1</v>
      </c>
      <c r="U900">
        <v>2</v>
      </c>
      <c r="V900">
        <v>9</v>
      </c>
      <c r="W900">
        <v>98</v>
      </c>
      <c r="X900">
        <v>395</v>
      </c>
      <c r="Y900">
        <v>12102</v>
      </c>
      <c r="Z900">
        <v>2899</v>
      </c>
      <c r="AA900">
        <v>3</v>
      </c>
      <c r="AB900">
        <v>30905</v>
      </c>
      <c r="AC900" s="10">
        <v>44073</v>
      </c>
      <c r="AD900" s="10" t="s">
        <v>72</v>
      </c>
      <c r="AE900" t="s">
        <v>72</v>
      </c>
      <c r="AF900" t="s">
        <v>45</v>
      </c>
    </row>
    <row r="901" spans="1:32" x14ac:dyDescent="0.25">
      <c r="A901">
        <v>1987</v>
      </c>
      <c r="B901">
        <v>25</v>
      </c>
      <c r="C901" t="s">
        <v>43</v>
      </c>
      <c r="D901" t="s">
        <v>33</v>
      </c>
      <c r="E901" t="s">
        <v>68</v>
      </c>
      <c r="F901" t="s">
        <v>49</v>
      </c>
      <c r="G901" t="s">
        <v>50</v>
      </c>
      <c r="H901" t="s">
        <v>47</v>
      </c>
      <c r="I901" t="s">
        <v>50</v>
      </c>
      <c r="J901" t="s">
        <v>68</v>
      </c>
      <c r="K901">
        <v>2</v>
      </c>
      <c r="L901">
        <v>3</v>
      </c>
      <c r="M901" t="s">
        <v>48</v>
      </c>
      <c r="N901" t="s">
        <v>61</v>
      </c>
      <c r="O901" t="s">
        <v>42</v>
      </c>
      <c r="P901" t="s">
        <v>43</v>
      </c>
      <c r="Q901">
        <v>14</v>
      </c>
      <c r="R901">
        <v>4</v>
      </c>
      <c r="S901">
        <v>6</v>
      </c>
      <c r="T901">
        <v>1</v>
      </c>
      <c r="U901">
        <v>2</v>
      </c>
      <c r="V901">
        <v>2</v>
      </c>
      <c r="W901">
        <v>82</v>
      </c>
      <c r="X901">
        <v>309</v>
      </c>
      <c r="Y901">
        <v>19655</v>
      </c>
      <c r="Z901">
        <v>2187</v>
      </c>
      <c r="AA901">
        <v>3</v>
      </c>
      <c r="AB901">
        <v>35938</v>
      </c>
      <c r="AC901" s="10">
        <v>44134</v>
      </c>
      <c r="AD901" s="10" t="s">
        <v>72</v>
      </c>
      <c r="AE901" t="s">
        <v>72</v>
      </c>
      <c r="AF901" t="s">
        <v>45</v>
      </c>
    </row>
    <row r="902" spans="1:32" x14ac:dyDescent="0.25">
      <c r="A902">
        <v>2021</v>
      </c>
      <c r="B902">
        <v>21</v>
      </c>
      <c r="C902" t="s">
        <v>43</v>
      </c>
      <c r="D902" t="s">
        <v>33</v>
      </c>
      <c r="E902" t="s">
        <v>56</v>
      </c>
      <c r="F902" t="s">
        <v>64</v>
      </c>
      <c r="G902" t="s">
        <v>50</v>
      </c>
      <c r="H902" t="s">
        <v>37</v>
      </c>
      <c r="I902" t="s">
        <v>50</v>
      </c>
      <c r="J902" t="s">
        <v>66</v>
      </c>
      <c r="K902">
        <v>1</v>
      </c>
      <c r="L902">
        <v>3</v>
      </c>
      <c r="M902" t="s">
        <v>48</v>
      </c>
      <c r="N902" t="s">
        <v>41</v>
      </c>
      <c r="O902" t="s">
        <v>42</v>
      </c>
      <c r="P902" t="s">
        <v>32</v>
      </c>
      <c r="Q902">
        <v>11</v>
      </c>
      <c r="R902">
        <v>1</v>
      </c>
      <c r="S902">
        <v>2</v>
      </c>
      <c r="T902">
        <v>1</v>
      </c>
      <c r="U902">
        <v>2</v>
      </c>
      <c r="V902">
        <v>5</v>
      </c>
      <c r="W902">
        <v>58</v>
      </c>
      <c r="X902">
        <v>501</v>
      </c>
      <c r="Y902">
        <v>25479</v>
      </c>
      <c r="Z902">
        <v>2380</v>
      </c>
      <c r="AA902">
        <v>6</v>
      </c>
      <c r="AB902">
        <v>37165</v>
      </c>
      <c r="AC902" s="10">
        <v>44211</v>
      </c>
      <c r="AD902" s="10" t="s">
        <v>72</v>
      </c>
      <c r="AE902" t="s">
        <v>72</v>
      </c>
      <c r="AF902" t="s">
        <v>55</v>
      </c>
    </row>
    <row r="903" spans="1:32" x14ac:dyDescent="0.25">
      <c r="A903">
        <v>1996</v>
      </c>
      <c r="B903">
        <v>31</v>
      </c>
      <c r="C903" t="s">
        <v>43</v>
      </c>
      <c r="D903" t="s">
        <v>33</v>
      </c>
      <c r="E903" t="s">
        <v>56</v>
      </c>
      <c r="F903" t="s">
        <v>67</v>
      </c>
      <c r="G903" t="s">
        <v>36</v>
      </c>
      <c r="H903" t="s">
        <v>37</v>
      </c>
      <c r="I903" t="s">
        <v>50</v>
      </c>
      <c r="J903" t="s">
        <v>66</v>
      </c>
      <c r="K903">
        <v>3</v>
      </c>
      <c r="L903">
        <v>3</v>
      </c>
      <c r="M903" t="s">
        <v>48</v>
      </c>
      <c r="N903" t="s">
        <v>61</v>
      </c>
      <c r="O903" t="s">
        <v>36</v>
      </c>
      <c r="P903" t="s">
        <v>43</v>
      </c>
      <c r="Q903">
        <v>19</v>
      </c>
      <c r="R903">
        <v>0</v>
      </c>
      <c r="S903">
        <v>3</v>
      </c>
      <c r="T903">
        <v>1</v>
      </c>
      <c r="U903">
        <v>2</v>
      </c>
      <c r="V903">
        <v>2</v>
      </c>
      <c r="W903">
        <v>54</v>
      </c>
      <c r="X903">
        <v>1154</v>
      </c>
      <c r="Y903">
        <v>6393</v>
      </c>
      <c r="Z903">
        <v>3067</v>
      </c>
      <c r="AA903">
        <v>1</v>
      </c>
      <c r="AB903">
        <v>33453</v>
      </c>
      <c r="AC903" s="10">
        <v>44220</v>
      </c>
      <c r="AD903" s="10" t="s">
        <v>72</v>
      </c>
      <c r="AE903" t="s">
        <v>72</v>
      </c>
      <c r="AF903" t="s">
        <v>45</v>
      </c>
    </row>
    <row r="904" spans="1:32" x14ac:dyDescent="0.25">
      <c r="A904">
        <v>321</v>
      </c>
      <c r="B904">
        <v>59</v>
      </c>
      <c r="C904" t="s">
        <v>43</v>
      </c>
      <c r="D904" t="s">
        <v>33</v>
      </c>
      <c r="E904" t="s">
        <v>68</v>
      </c>
      <c r="F904" t="s">
        <v>67</v>
      </c>
      <c r="G904" t="s">
        <v>38</v>
      </c>
      <c r="H904" t="s">
        <v>37</v>
      </c>
      <c r="I904" t="s">
        <v>50</v>
      </c>
      <c r="J904" t="s">
        <v>68</v>
      </c>
      <c r="K904">
        <v>3</v>
      </c>
      <c r="L904">
        <v>3</v>
      </c>
      <c r="M904" t="s">
        <v>60</v>
      </c>
      <c r="N904" t="s">
        <v>61</v>
      </c>
      <c r="O904" t="s">
        <v>42</v>
      </c>
      <c r="P904" t="s">
        <v>43</v>
      </c>
      <c r="Q904">
        <v>17</v>
      </c>
      <c r="R904">
        <v>8</v>
      </c>
      <c r="S904">
        <v>7</v>
      </c>
      <c r="T904">
        <v>1</v>
      </c>
      <c r="U904">
        <v>1</v>
      </c>
      <c r="V904">
        <v>6</v>
      </c>
      <c r="W904">
        <v>52</v>
      </c>
      <c r="X904">
        <v>818</v>
      </c>
      <c r="Y904">
        <v>25657</v>
      </c>
      <c r="Z904">
        <v>2267</v>
      </c>
      <c r="AA904">
        <v>2</v>
      </c>
      <c r="AB904">
        <v>23506</v>
      </c>
      <c r="AC904" s="10">
        <v>44228</v>
      </c>
      <c r="AD904" s="10" t="s">
        <v>72</v>
      </c>
      <c r="AE904" t="s">
        <v>72</v>
      </c>
      <c r="AF904" t="s">
        <v>45</v>
      </c>
    </row>
    <row r="905" spans="1:32" x14ac:dyDescent="0.25">
      <c r="A905">
        <v>38</v>
      </c>
      <c r="B905">
        <v>46</v>
      </c>
      <c r="C905" t="s">
        <v>43</v>
      </c>
      <c r="D905" t="s">
        <v>33</v>
      </c>
      <c r="E905" t="s">
        <v>56</v>
      </c>
      <c r="F905" t="s">
        <v>35</v>
      </c>
      <c r="G905" t="s">
        <v>38</v>
      </c>
      <c r="H905" t="s">
        <v>47</v>
      </c>
      <c r="I905" t="s">
        <v>50</v>
      </c>
      <c r="J905" t="s">
        <v>69</v>
      </c>
      <c r="K905">
        <v>1</v>
      </c>
      <c r="L905">
        <v>3</v>
      </c>
      <c r="M905" t="s">
        <v>60</v>
      </c>
      <c r="N905" t="s">
        <v>41</v>
      </c>
      <c r="O905" t="s">
        <v>42</v>
      </c>
      <c r="P905" t="s">
        <v>43</v>
      </c>
      <c r="Q905">
        <v>12</v>
      </c>
      <c r="R905">
        <v>3</v>
      </c>
      <c r="S905">
        <v>22</v>
      </c>
      <c r="T905">
        <v>1</v>
      </c>
      <c r="U905">
        <v>1</v>
      </c>
      <c r="V905">
        <v>2</v>
      </c>
      <c r="W905">
        <v>83</v>
      </c>
      <c r="X905">
        <v>705</v>
      </c>
      <c r="Y905">
        <v>22822</v>
      </c>
      <c r="Z905">
        <v>18947</v>
      </c>
      <c r="AA905">
        <v>2</v>
      </c>
      <c r="AB905">
        <v>28076</v>
      </c>
      <c r="AC905" s="10">
        <v>44309</v>
      </c>
      <c r="AD905" s="10" t="s">
        <v>72</v>
      </c>
      <c r="AE905" t="s">
        <v>72</v>
      </c>
      <c r="AF905" t="s">
        <v>55</v>
      </c>
    </row>
    <row r="906" spans="1:32" x14ac:dyDescent="0.25">
      <c r="A906">
        <v>424</v>
      </c>
      <c r="B906">
        <v>31</v>
      </c>
      <c r="C906" t="s">
        <v>43</v>
      </c>
      <c r="D906" t="s">
        <v>33</v>
      </c>
      <c r="E906" t="s">
        <v>68</v>
      </c>
      <c r="F906" t="s">
        <v>49</v>
      </c>
      <c r="G906" t="s">
        <v>36</v>
      </c>
      <c r="H906" t="s">
        <v>37</v>
      </c>
      <c r="I906" t="s">
        <v>38</v>
      </c>
      <c r="J906" t="s">
        <v>68</v>
      </c>
      <c r="K906">
        <v>1</v>
      </c>
      <c r="L906">
        <v>3</v>
      </c>
      <c r="M906" t="s">
        <v>48</v>
      </c>
      <c r="N906" t="s">
        <v>61</v>
      </c>
      <c r="O906" t="s">
        <v>42</v>
      </c>
      <c r="P906" t="s">
        <v>43</v>
      </c>
      <c r="Q906">
        <v>12</v>
      </c>
      <c r="R906">
        <v>3</v>
      </c>
      <c r="S906">
        <v>9</v>
      </c>
      <c r="T906">
        <v>1</v>
      </c>
      <c r="U906">
        <v>0</v>
      </c>
      <c r="V906">
        <v>2</v>
      </c>
      <c r="W906">
        <v>62</v>
      </c>
      <c r="X906">
        <v>106</v>
      </c>
      <c r="Y906">
        <v>17822</v>
      </c>
      <c r="Z906">
        <v>6410</v>
      </c>
      <c r="AA906">
        <v>1</v>
      </c>
      <c r="AB906">
        <v>33764</v>
      </c>
      <c r="AC906" s="10">
        <v>44321</v>
      </c>
      <c r="AD906" s="10" t="s">
        <v>72</v>
      </c>
      <c r="AE906" t="s">
        <v>72</v>
      </c>
      <c r="AF906" t="s">
        <v>55</v>
      </c>
    </row>
    <row r="907" spans="1:32" x14ac:dyDescent="0.25">
      <c r="A907">
        <v>49</v>
      </c>
      <c r="B907">
        <v>35</v>
      </c>
      <c r="C907" t="s">
        <v>43</v>
      </c>
      <c r="D907" t="s">
        <v>33</v>
      </c>
      <c r="E907" t="s">
        <v>56</v>
      </c>
      <c r="F907" t="s">
        <v>49</v>
      </c>
      <c r="G907" t="s">
        <v>59</v>
      </c>
      <c r="H907" t="s">
        <v>47</v>
      </c>
      <c r="I907" t="s">
        <v>50</v>
      </c>
      <c r="J907" t="s">
        <v>66</v>
      </c>
      <c r="K907">
        <v>4</v>
      </c>
      <c r="L907">
        <v>3</v>
      </c>
      <c r="M907" t="s">
        <v>48</v>
      </c>
      <c r="N907" t="s">
        <v>61</v>
      </c>
      <c r="O907" t="s">
        <v>42</v>
      </c>
      <c r="P907" t="s">
        <v>43</v>
      </c>
      <c r="Q907">
        <v>13</v>
      </c>
      <c r="R907">
        <v>1</v>
      </c>
      <c r="S907">
        <v>2</v>
      </c>
      <c r="T907">
        <v>1</v>
      </c>
      <c r="U907">
        <v>1</v>
      </c>
      <c r="V907">
        <v>2</v>
      </c>
      <c r="W907">
        <v>97</v>
      </c>
      <c r="X907">
        <v>890</v>
      </c>
      <c r="Y907">
        <v>9687</v>
      </c>
      <c r="Z907">
        <v>2014</v>
      </c>
      <c r="AA907">
        <v>3</v>
      </c>
      <c r="AB907">
        <v>32232</v>
      </c>
      <c r="AC907" s="10">
        <v>44341</v>
      </c>
      <c r="AD907" s="10" t="s">
        <v>72</v>
      </c>
      <c r="AE907" t="s">
        <v>72</v>
      </c>
      <c r="AF907" t="s">
        <v>55</v>
      </c>
    </row>
    <row r="908" spans="1:32" x14ac:dyDescent="0.25">
      <c r="A908">
        <v>732</v>
      </c>
      <c r="B908">
        <v>60</v>
      </c>
      <c r="C908" t="s">
        <v>43</v>
      </c>
      <c r="D908" t="s">
        <v>33</v>
      </c>
      <c r="E908" t="s">
        <v>56</v>
      </c>
      <c r="F908" t="s">
        <v>35</v>
      </c>
      <c r="G908" t="s">
        <v>36</v>
      </c>
      <c r="H908" t="s">
        <v>37</v>
      </c>
      <c r="I908" t="s">
        <v>50</v>
      </c>
      <c r="J908" t="s">
        <v>57</v>
      </c>
      <c r="K908">
        <v>1</v>
      </c>
      <c r="L908">
        <v>3</v>
      </c>
      <c r="M908" t="s">
        <v>48</v>
      </c>
      <c r="N908" t="s">
        <v>41</v>
      </c>
      <c r="O908" t="s">
        <v>42</v>
      </c>
      <c r="P908" t="s">
        <v>43</v>
      </c>
      <c r="Q908">
        <v>14</v>
      </c>
      <c r="R908">
        <v>8</v>
      </c>
      <c r="S908">
        <v>10</v>
      </c>
      <c r="T908">
        <v>1</v>
      </c>
      <c r="U908">
        <v>1</v>
      </c>
      <c r="V908">
        <v>16</v>
      </c>
      <c r="W908">
        <v>84</v>
      </c>
      <c r="X908">
        <v>1179</v>
      </c>
      <c r="Y908">
        <v>11924</v>
      </c>
      <c r="Z908">
        <v>5405</v>
      </c>
      <c r="AA908">
        <v>1</v>
      </c>
      <c r="AB908">
        <v>22930</v>
      </c>
      <c r="AC908" s="10">
        <v>44391</v>
      </c>
      <c r="AD908" s="10" t="s">
        <v>72</v>
      </c>
      <c r="AE908" t="s">
        <v>72</v>
      </c>
      <c r="AF908" t="s">
        <v>45</v>
      </c>
    </row>
    <row r="909" spans="1:32" x14ac:dyDescent="0.25">
      <c r="A909">
        <v>1779</v>
      </c>
      <c r="B909">
        <v>34</v>
      </c>
      <c r="C909" t="s">
        <v>43</v>
      </c>
      <c r="D909" t="s">
        <v>33</v>
      </c>
      <c r="E909" t="s">
        <v>56</v>
      </c>
      <c r="F909" t="s">
        <v>67</v>
      </c>
      <c r="G909" t="s">
        <v>59</v>
      </c>
      <c r="H909" t="s">
        <v>47</v>
      </c>
      <c r="I909" t="s">
        <v>36</v>
      </c>
      <c r="J909" t="s">
        <v>57</v>
      </c>
      <c r="K909">
        <v>4</v>
      </c>
      <c r="L909">
        <v>3</v>
      </c>
      <c r="M909" t="s">
        <v>48</v>
      </c>
      <c r="N909" t="s">
        <v>41</v>
      </c>
      <c r="O909" t="s">
        <v>42</v>
      </c>
      <c r="P909" t="s">
        <v>43</v>
      </c>
      <c r="Q909">
        <v>12</v>
      </c>
      <c r="R909">
        <v>5</v>
      </c>
      <c r="S909">
        <v>6</v>
      </c>
      <c r="T909">
        <v>1</v>
      </c>
      <c r="U909">
        <v>1</v>
      </c>
      <c r="V909">
        <v>3</v>
      </c>
      <c r="W909">
        <v>32</v>
      </c>
      <c r="X909">
        <v>511</v>
      </c>
      <c r="Y909">
        <v>25353</v>
      </c>
      <c r="Z909">
        <v>6029</v>
      </c>
      <c r="AA909">
        <v>3</v>
      </c>
      <c r="AB909">
        <v>32415</v>
      </c>
      <c r="AC909" s="10">
        <v>44391</v>
      </c>
      <c r="AD909" s="10" t="s">
        <v>72</v>
      </c>
      <c r="AE909" t="s">
        <v>72</v>
      </c>
      <c r="AF909" t="s">
        <v>55</v>
      </c>
    </row>
    <row r="910" spans="1:32" x14ac:dyDescent="0.25">
      <c r="A910">
        <v>106</v>
      </c>
      <c r="B910">
        <v>55</v>
      </c>
      <c r="C910" t="s">
        <v>43</v>
      </c>
      <c r="D910" t="s">
        <v>33</v>
      </c>
      <c r="E910" t="s">
        <v>56</v>
      </c>
      <c r="F910" t="s">
        <v>67</v>
      </c>
      <c r="G910" t="s">
        <v>36</v>
      </c>
      <c r="H910" t="s">
        <v>37</v>
      </c>
      <c r="I910" t="s">
        <v>50</v>
      </c>
      <c r="J910" t="s">
        <v>57</v>
      </c>
      <c r="K910">
        <v>4</v>
      </c>
      <c r="L910">
        <v>3</v>
      </c>
      <c r="M910" t="s">
        <v>48</v>
      </c>
      <c r="N910" t="s">
        <v>61</v>
      </c>
      <c r="O910" t="s">
        <v>36</v>
      </c>
      <c r="P910" t="s">
        <v>43</v>
      </c>
      <c r="Q910">
        <v>14</v>
      </c>
      <c r="R910">
        <v>3</v>
      </c>
      <c r="S910">
        <v>24</v>
      </c>
      <c r="T910">
        <v>1</v>
      </c>
      <c r="U910">
        <v>0</v>
      </c>
      <c r="V910">
        <v>1</v>
      </c>
      <c r="W910">
        <v>70</v>
      </c>
      <c r="X910">
        <v>111</v>
      </c>
      <c r="Y910">
        <v>18092</v>
      </c>
      <c r="Z910">
        <v>10239</v>
      </c>
      <c r="AA910">
        <v>4</v>
      </c>
      <c r="AB910">
        <v>25025</v>
      </c>
      <c r="AC910" s="10">
        <v>44404</v>
      </c>
      <c r="AD910" s="10" t="s">
        <v>72</v>
      </c>
      <c r="AE910" t="s">
        <v>72</v>
      </c>
      <c r="AF910" t="s">
        <v>45</v>
      </c>
    </row>
    <row r="911" spans="1:32" x14ac:dyDescent="0.25">
      <c r="A911">
        <v>944</v>
      </c>
      <c r="B911">
        <v>49</v>
      </c>
      <c r="C911" t="s">
        <v>43</v>
      </c>
      <c r="D911" t="s">
        <v>33</v>
      </c>
      <c r="E911" t="s">
        <v>34</v>
      </c>
      <c r="F911" t="s">
        <v>67</v>
      </c>
      <c r="G911" t="s">
        <v>36</v>
      </c>
      <c r="H911" t="s">
        <v>47</v>
      </c>
      <c r="I911" t="s">
        <v>50</v>
      </c>
      <c r="J911" t="s">
        <v>51</v>
      </c>
      <c r="K911">
        <v>2</v>
      </c>
      <c r="L911">
        <v>3</v>
      </c>
      <c r="M911" t="s">
        <v>60</v>
      </c>
      <c r="N911" t="s">
        <v>61</v>
      </c>
      <c r="O911" t="s">
        <v>36</v>
      </c>
      <c r="P911" t="s">
        <v>43</v>
      </c>
      <c r="Q911">
        <v>11</v>
      </c>
      <c r="R911">
        <v>4</v>
      </c>
      <c r="S911">
        <v>29</v>
      </c>
      <c r="T911">
        <v>1</v>
      </c>
      <c r="U911">
        <v>7</v>
      </c>
      <c r="V911">
        <v>8</v>
      </c>
      <c r="W911">
        <v>51</v>
      </c>
      <c r="X911">
        <v>527</v>
      </c>
      <c r="Y911">
        <v>22477</v>
      </c>
      <c r="Z911">
        <v>7403</v>
      </c>
      <c r="AA911">
        <v>3</v>
      </c>
      <c r="AB911">
        <v>26959</v>
      </c>
      <c r="AC911" s="10">
        <v>35535</v>
      </c>
      <c r="AD911" s="10" t="s">
        <v>72</v>
      </c>
      <c r="AE911" t="s">
        <v>72</v>
      </c>
      <c r="AF911" t="s">
        <v>45</v>
      </c>
    </row>
    <row r="912" spans="1:32" x14ac:dyDescent="0.25">
      <c r="A912">
        <v>336</v>
      </c>
      <c r="B912">
        <v>45</v>
      </c>
      <c r="C912" t="s">
        <v>43</v>
      </c>
      <c r="D912" t="s">
        <v>33</v>
      </c>
      <c r="E912" t="s">
        <v>34</v>
      </c>
      <c r="F912" t="s">
        <v>49</v>
      </c>
      <c r="G912" t="s">
        <v>50</v>
      </c>
      <c r="H912" t="s">
        <v>37</v>
      </c>
      <c r="I912" t="s">
        <v>59</v>
      </c>
      <c r="J912" t="s">
        <v>69</v>
      </c>
      <c r="K912">
        <v>4</v>
      </c>
      <c r="L912">
        <v>3</v>
      </c>
      <c r="M912" t="s">
        <v>48</v>
      </c>
      <c r="N912" t="s">
        <v>61</v>
      </c>
      <c r="O912" t="s">
        <v>36</v>
      </c>
      <c r="P912" t="s">
        <v>43</v>
      </c>
      <c r="Q912">
        <v>11</v>
      </c>
      <c r="R912">
        <v>0</v>
      </c>
      <c r="S912">
        <v>25</v>
      </c>
      <c r="T912">
        <v>1</v>
      </c>
      <c r="U912">
        <v>7</v>
      </c>
      <c r="V912">
        <v>1</v>
      </c>
      <c r="W912">
        <v>70</v>
      </c>
      <c r="X912">
        <v>252</v>
      </c>
      <c r="Y912">
        <v>15970</v>
      </c>
      <c r="Z912">
        <v>19202</v>
      </c>
      <c r="AA912">
        <v>2</v>
      </c>
      <c r="AB912">
        <v>28420</v>
      </c>
      <c r="AC912" s="10">
        <v>36235</v>
      </c>
      <c r="AD912" s="10" t="s">
        <v>72</v>
      </c>
      <c r="AE912" t="s">
        <v>72</v>
      </c>
      <c r="AF912" t="s">
        <v>45</v>
      </c>
    </row>
    <row r="913" spans="1:32" x14ac:dyDescent="0.25">
      <c r="A913">
        <v>1608</v>
      </c>
      <c r="B913">
        <v>44</v>
      </c>
      <c r="C913" t="s">
        <v>43</v>
      </c>
      <c r="D913" t="s">
        <v>33</v>
      </c>
      <c r="E913" t="s">
        <v>34</v>
      </c>
      <c r="F913" t="s">
        <v>49</v>
      </c>
      <c r="G913" t="s">
        <v>38</v>
      </c>
      <c r="H913" t="s">
        <v>47</v>
      </c>
      <c r="I913" t="s">
        <v>50</v>
      </c>
      <c r="J913" t="s">
        <v>71</v>
      </c>
      <c r="K913">
        <v>4</v>
      </c>
      <c r="L913">
        <v>3</v>
      </c>
      <c r="M913" t="s">
        <v>60</v>
      </c>
      <c r="N913" t="s">
        <v>52</v>
      </c>
      <c r="O913" t="s">
        <v>36</v>
      </c>
      <c r="P913" t="s">
        <v>32</v>
      </c>
      <c r="Q913">
        <v>14</v>
      </c>
      <c r="R913">
        <v>0</v>
      </c>
      <c r="S913">
        <v>23</v>
      </c>
      <c r="T913">
        <v>1</v>
      </c>
      <c r="U913">
        <v>10</v>
      </c>
      <c r="V913">
        <v>7</v>
      </c>
      <c r="W913">
        <v>31</v>
      </c>
      <c r="X913">
        <v>1313</v>
      </c>
      <c r="Y913">
        <v>3549</v>
      </c>
      <c r="Z913">
        <v>19049</v>
      </c>
      <c r="AA913">
        <v>4</v>
      </c>
      <c r="AB913">
        <v>28938</v>
      </c>
      <c r="AC913" s="10">
        <v>36830</v>
      </c>
      <c r="AD913" s="10" t="s">
        <v>72</v>
      </c>
      <c r="AE913" t="s">
        <v>72</v>
      </c>
      <c r="AF913" t="s">
        <v>55</v>
      </c>
    </row>
    <row r="914" spans="1:32" x14ac:dyDescent="0.25">
      <c r="A914">
        <v>1088</v>
      </c>
      <c r="B914">
        <v>38</v>
      </c>
      <c r="C914" t="s">
        <v>43</v>
      </c>
      <c r="D914" t="s">
        <v>33</v>
      </c>
      <c r="E914" t="s">
        <v>34</v>
      </c>
      <c r="F914" t="s">
        <v>64</v>
      </c>
      <c r="G914" t="s">
        <v>50</v>
      </c>
      <c r="H914" t="s">
        <v>47</v>
      </c>
      <c r="I914" t="s">
        <v>38</v>
      </c>
      <c r="J914" t="s">
        <v>62</v>
      </c>
      <c r="K914">
        <v>3</v>
      </c>
      <c r="L914">
        <v>3</v>
      </c>
      <c r="M914" t="s">
        <v>60</v>
      </c>
      <c r="N914" t="s">
        <v>61</v>
      </c>
      <c r="O914" t="s">
        <v>36</v>
      </c>
      <c r="P914" t="s">
        <v>43</v>
      </c>
      <c r="Q914">
        <v>18</v>
      </c>
      <c r="R914">
        <v>0</v>
      </c>
      <c r="S914">
        <v>20</v>
      </c>
      <c r="T914">
        <v>1</v>
      </c>
      <c r="U914">
        <v>9</v>
      </c>
      <c r="V914">
        <v>17</v>
      </c>
      <c r="W914">
        <v>65</v>
      </c>
      <c r="X914">
        <v>330</v>
      </c>
      <c r="Y914">
        <v>24608</v>
      </c>
      <c r="Z914">
        <v>8823</v>
      </c>
      <c r="AA914">
        <v>4</v>
      </c>
      <c r="AB914">
        <v>31228</v>
      </c>
      <c r="AC914" s="10">
        <v>37869</v>
      </c>
      <c r="AD914" s="10" t="s">
        <v>72</v>
      </c>
      <c r="AE914" t="s">
        <v>72</v>
      </c>
      <c r="AF914" t="s">
        <v>45</v>
      </c>
    </row>
    <row r="915" spans="1:32" x14ac:dyDescent="0.25">
      <c r="A915">
        <v>2015</v>
      </c>
      <c r="B915">
        <v>38</v>
      </c>
      <c r="C915" t="s">
        <v>43</v>
      </c>
      <c r="D915" t="s">
        <v>33</v>
      </c>
      <c r="E915" t="s">
        <v>34</v>
      </c>
      <c r="F915" t="s">
        <v>49</v>
      </c>
      <c r="G915" t="s">
        <v>38</v>
      </c>
      <c r="H915" t="s">
        <v>47</v>
      </c>
      <c r="I915" t="s">
        <v>36</v>
      </c>
      <c r="J915" t="s">
        <v>71</v>
      </c>
      <c r="K915">
        <v>3</v>
      </c>
      <c r="L915">
        <v>3</v>
      </c>
      <c r="M915" t="s">
        <v>48</v>
      </c>
      <c r="N915" t="s">
        <v>61</v>
      </c>
      <c r="O915" t="s">
        <v>36</v>
      </c>
      <c r="P915" t="s">
        <v>43</v>
      </c>
      <c r="Q915">
        <v>12</v>
      </c>
      <c r="R915">
        <v>3</v>
      </c>
      <c r="S915">
        <v>20</v>
      </c>
      <c r="T915">
        <v>1</v>
      </c>
      <c r="U915">
        <v>11</v>
      </c>
      <c r="V915">
        <v>10</v>
      </c>
      <c r="W915">
        <v>99</v>
      </c>
      <c r="X915">
        <v>201</v>
      </c>
      <c r="Y915">
        <v>3376</v>
      </c>
      <c r="Z915">
        <v>13206</v>
      </c>
      <c r="AA915">
        <v>3</v>
      </c>
      <c r="AB915">
        <v>31055</v>
      </c>
      <c r="AC915" s="10">
        <v>38262</v>
      </c>
      <c r="AD915" s="10" t="s">
        <v>72</v>
      </c>
      <c r="AE915" t="s">
        <v>72</v>
      </c>
      <c r="AF915" t="s">
        <v>55</v>
      </c>
    </row>
    <row r="916" spans="1:32" x14ac:dyDescent="0.25">
      <c r="A916">
        <v>1656</v>
      </c>
      <c r="B916">
        <v>50</v>
      </c>
      <c r="C916" t="s">
        <v>43</v>
      </c>
      <c r="D916" t="s">
        <v>33</v>
      </c>
      <c r="E916" t="s">
        <v>34</v>
      </c>
      <c r="F916" t="s">
        <v>70</v>
      </c>
      <c r="G916" t="s">
        <v>59</v>
      </c>
      <c r="H916" t="s">
        <v>47</v>
      </c>
      <c r="I916" t="s">
        <v>38</v>
      </c>
      <c r="J916" t="s">
        <v>71</v>
      </c>
      <c r="K916">
        <v>1</v>
      </c>
      <c r="L916">
        <v>3</v>
      </c>
      <c r="M916" t="s">
        <v>48</v>
      </c>
      <c r="N916" t="s">
        <v>52</v>
      </c>
      <c r="O916" t="s">
        <v>50</v>
      </c>
      <c r="P916" t="s">
        <v>43</v>
      </c>
      <c r="Q916">
        <v>15</v>
      </c>
      <c r="R916">
        <v>5</v>
      </c>
      <c r="S916">
        <v>19</v>
      </c>
      <c r="T916">
        <v>1</v>
      </c>
      <c r="U916">
        <v>11</v>
      </c>
      <c r="V916">
        <v>17</v>
      </c>
      <c r="W916">
        <v>50</v>
      </c>
      <c r="X916">
        <v>813</v>
      </c>
      <c r="Y916">
        <v>21981</v>
      </c>
      <c r="Z916">
        <v>13269</v>
      </c>
      <c r="AA916">
        <v>3</v>
      </c>
      <c r="AB916">
        <v>26580</v>
      </c>
      <c r="AC916" s="10">
        <v>39704</v>
      </c>
      <c r="AD916" s="10" t="s">
        <v>72</v>
      </c>
      <c r="AE916" t="s">
        <v>72</v>
      </c>
      <c r="AF916" t="s">
        <v>45</v>
      </c>
    </row>
    <row r="917" spans="1:32" x14ac:dyDescent="0.25">
      <c r="A917">
        <v>1005</v>
      </c>
      <c r="B917">
        <v>50</v>
      </c>
      <c r="C917" t="s">
        <v>43</v>
      </c>
      <c r="D917" t="s">
        <v>33</v>
      </c>
      <c r="E917" t="s">
        <v>34</v>
      </c>
      <c r="F917" t="s">
        <v>49</v>
      </c>
      <c r="G917" t="s">
        <v>59</v>
      </c>
      <c r="H917" t="s">
        <v>37</v>
      </c>
      <c r="I917" t="s">
        <v>50</v>
      </c>
      <c r="J917" t="s">
        <v>65</v>
      </c>
      <c r="K917">
        <v>3</v>
      </c>
      <c r="L917">
        <v>3</v>
      </c>
      <c r="M917" t="s">
        <v>48</v>
      </c>
      <c r="N917" t="s">
        <v>61</v>
      </c>
      <c r="O917" t="s">
        <v>36</v>
      </c>
      <c r="P917" t="s">
        <v>32</v>
      </c>
      <c r="Q917">
        <v>18</v>
      </c>
      <c r="R917">
        <v>3</v>
      </c>
      <c r="S917">
        <v>22</v>
      </c>
      <c r="T917">
        <v>1</v>
      </c>
      <c r="U917">
        <v>5</v>
      </c>
      <c r="V917">
        <v>24</v>
      </c>
      <c r="W917">
        <v>95</v>
      </c>
      <c r="X917">
        <v>939</v>
      </c>
      <c r="Y917">
        <v>4161</v>
      </c>
      <c r="Z917">
        <v>13973</v>
      </c>
      <c r="AA917">
        <v>2</v>
      </c>
      <c r="AB917">
        <v>26627</v>
      </c>
      <c r="AC917" s="10">
        <v>40445</v>
      </c>
      <c r="AD917" s="10" t="s">
        <v>72</v>
      </c>
      <c r="AE917" t="s">
        <v>72</v>
      </c>
      <c r="AF917" t="s">
        <v>45</v>
      </c>
    </row>
    <row r="918" spans="1:32" x14ac:dyDescent="0.25">
      <c r="A918">
        <v>1989</v>
      </c>
      <c r="B918">
        <v>30</v>
      </c>
      <c r="C918" t="s">
        <v>43</v>
      </c>
      <c r="D918" t="s">
        <v>33</v>
      </c>
      <c r="E918" t="s">
        <v>34</v>
      </c>
      <c r="F918" t="s">
        <v>67</v>
      </c>
      <c r="G918" t="s">
        <v>59</v>
      </c>
      <c r="H918" t="s">
        <v>37</v>
      </c>
      <c r="I918" t="s">
        <v>50</v>
      </c>
      <c r="J918" t="s">
        <v>51</v>
      </c>
      <c r="K918">
        <v>2</v>
      </c>
      <c r="L918">
        <v>3</v>
      </c>
      <c r="M918" t="s">
        <v>60</v>
      </c>
      <c r="N918" t="s">
        <v>61</v>
      </c>
      <c r="O918" t="s">
        <v>42</v>
      </c>
      <c r="P918" t="s">
        <v>43</v>
      </c>
      <c r="Q918">
        <v>13</v>
      </c>
      <c r="R918">
        <v>1</v>
      </c>
      <c r="S918">
        <v>12</v>
      </c>
      <c r="T918">
        <v>1</v>
      </c>
      <c r="U918">
        <v>7</v>
      </c>
      <c r="V918">
        <v>1</v>
      </c>
      <c r="W918">
        <v>76</v>
      </c>
      <c r="X918">
        <v>911</v>
      </c>
      <c r="Y918">
        <v>4077</v>
      </c>
      <c r="Z918">
        <v>3748</v>
      </c>
      <c r="AA918">
        <v>6</v>
      </c>
      <c r="AB918">
        <v>33913</v>
      </c>
      <c r="AC918" s="10">
        <v>40643</v>
      </c>
      <c r="AD918" s="10" t="s">
        <v>72</v>
      </c>
      <c r="AE918" t="s">
        <v>72</v>
      </c>
      <c r="AF918" t="s">
        <v>45</v>
      </c>
    </row>
    <row r="919" spans="1:32" x14ac:dyDescent="0.25">
      <c r="A919">
        <v>1611</v>
      </c>
      <c r="B919">
        <v>45</v>
      </c>
      <c r="C919" t="s">
        <v>43</v>
      </c>
      <c r="D919" t="s">
        <v>33</v>
      </c>
      <c r="E919" t="s">
        <v>34</v>
      </c>
      <c r="F919" t="s">
        <v>70</v>
      </c>
      <c r="G919" t="s">
        <v>50</v>
      </c>
      <c r="H919" t="s">
        <v>47</v>
      </c>
      <c r="I919" t="s">
        <v>36</v>
      </c>
      <c r="J919" t="s">
        <v>51</v>
      </c>
      <c r="K919">
        <v>1</v>
      </c>
      <c r="L919">
        <v>3</v>
      </c>
      <c r="M919" t="s">
        <v>48</v>
      </c>
      <c r="N919" t="s">
        <v>41</v>
      </c>
      <c r="O919" t="s">
        <v>42</v>
      </c>
      <c r="P919" t="s">
        <v>32</v>
      </c>
      <c r="Q919">
        <v>14</v>
      </c>
      <c r="R919">
        <v>1</v>
      </c>
      <c r="S919">
        <v>10</v>
      </c>
      <c r="T919">
        <v>1</v>
      </c>
      <c r="U919">
        <v>4</v>
      </c>
      <c r="V919">
        <v>5</v>
      </c>
      <c r="W919">
        <v>50</v>
      </c>
      <c r="X919">
        <v>1015</v>
      </c>
      <c r="Y919">
        <v>23447</v>
      </c>
      <c r="Z919">
        <v>5769</v>
      </c>
      <c r="AA919">
        <v>3</v>
      </c>
      <c r="AB919">
        <v>28400</v>
      </c>
      <c r="AC919" s="10">
        <v>41140</v>
      </c>
      <c r="AD919" s="10" t="s">
        <v>72</v>
      </c>
      <c r="AE919" t="s">
        <v>72</v>
      </c>
      <c r="AF919" t="s">
        <v>45</v>
      </c>
    </row>
    <row r="920" spans="1:32" x14ac:dyDescent="0.25">
      <c r="A920">
        <v>1586</v>
      </c>
      <c r="B920">
        <v>29</v>
      </c>
      <c r="C920" t="s">
        <v>43</v>
      </c>
      <c r="D920" t="s">
        <v>33</v>
      </c>
      <c r="E920" t="s">
        <v>34</v>
      </c>
      <c r="F920" t="s">
        <v>64</v>
      </c>
      <c r="G920" t="s">
        <v>38</v>
      </c>
      <c r="H920" t="s">
        <v>37</v>
      </c>
      <c r="I920" t="s">
        <v>50</v>
      </c>
      <c r="J920" t="s">
        <v>51</v>
      </c>
      <c r="K920">
        <v>1</v>
      </c>
      <c r="L920">
        <v>3</v>
      </c>
      <c r="M920" t="s">
        <v>48</v>
      </c>
      <c r="N920" t="s">
        <v>41</v>
      </c>
      <c r="O920" t="s">
        <v>42</v>
      </c>
      <c r="P920" t="s">
        <v>32</v>
      </c>
      <c r="Q920">
        <v>18</v>
      </c>
      <c r="R920">
        <v>1</v>
      </c>
      <c r="S920">
        <v>10</v>
      </c>
      <c r="T920">
        <v>1</v>
      </c>
      <c r="U920">
        <v>5</v>
      </c>
      <c r="V920">
        <v>3</v>
      </c>
      <c r="W920">
        <v>87</v>
      </c>
      <c r="X920">
        <v>1370</v>
      </c>
      <c r="Y920">
        <v>16213</v>
      </c>
      <c r="Z920">
        <v>4723</v>
      </c>
      <c r="AA920">
        <v>3</v>
      </c>
      <c r="AB920">
        <v>34484</v>
      </c>
      <c r="AC920" s="10">
        <v>41197</v>
      </c>
      <c r="AD920" s="10" t="s">
        <v>72</v>
      </c>
      <c r="AE920" t="s">
        <v>72</v>
      </c>
      <c r="AF920" t="s">
        <v>45</v>
      </c>
    </row>
    <row r="921" spans="1:32" x14ac:dyDescent="0.25">
      <c r="A921">
        <v>1435</v>
      </c>
      <c r="B921">
        <v>36</v>
      </c>
      <c r="C921" t="s">
        <v>43</v>
      </c>
      <c r="D921" t="s">
        <v>33</v>
      </c>
      <c r="E921" t="s">
        <v>34</v>
      </c>
      <c r="F921" t="s">
        <v>35</v>
      </c>
      <c r="G921" t="s">
        <v>36</v>
      </c>
      <c r="H921" t="s">
        <v>37</v>
      </c>
      <c r="I921" t="s">
        <v>38</v>
      </c>
      <c r="J921" t="s">
        <v>51</v>
      </c>
      <c r="K921">
        <v>4</v>
      </c>
      <c r="L921">
        <v>3</v>
      </c>
      <c r="M921" t="s">
        <v>60</v>
      </c>
      <c r="N921" t="s">
        <v>41</v>
      </c>
      <c r="O921" t="s">
        <v>42</v>
      </c>
      <c r="P921" t="s">
        <v>43</v>
      </c>
      <c r="Q921">
        <v>16</v>
      </c>
      <c r="R921">
        <v>1</v>
      </c>
      <c r="S921">
        <v>10</v>
      </c>
      <c r="T921">
        <v>1</v>
      </c>
      <c r="U921">
        <v>8</v>
      </c>
      <c r="V921">
        <v>4</v>
      </c>
      <c r="W921">
        <v>37</v>
      </c>
      <c r="X921">
        <v>172</v>
      </c>
      <c r="Y921">
        <v>22604</v>
      </c>
      <c r="Z921">
        <v>5810</v>
      </c>
      <c r="AA921">
        <v>2</v>
      </c>
      <c r="AB921">
        <v>31913</v>
      </c>
      <c r="AC921" s="10">
        <v>41208</v>
      </c>
      <c r="AD921" s="10" t="s">
        <v>72</v>
      </c>
      <c r="AE921" t="s">
        <v>72</v>
      </c>
      <c r="AF921" t="s">
        <v>45</v>
      </c>
    </row>
    <row r="922" spans="1:32" x14ac:dyDescent="0.25">
      <c r="A922">
        <v>536</v>
      </c>
      <c r="B922">
        <v>28</v>
      </c>
      <c r="C922" t="s">
        <v>43</v>
      </c>
      <c r="D922" t="s">
        <v>33</v>
      </c>
      <c r="E922" t="s">
        <v>34</v>
      </c>
      <c r="F922" t="s">
        <v>67</v>
      </c>
      <c r="G922" t="s">
        <v>50</v>
      </c>
      <c r="H922" t="s">
        <v>37</v>
      </c>
      <c r="I922" t="s">
        <v>50</v>
      </c>
      <c r="J922" t="s">
        <v>51</v>
      </c>
      <c r="K922">
        <v>1</v>
      </c>
      <c r="L922">
        <v>3</v>
      </c>
      <c r="M922" t="s">
        <v>48</v>
      </c>
      <c r="N922" t="s">
        <v>52</v>
      </c>
      <c r="O922" t="s">
        <v>36</v>
      </c>
      <c r="P922" t="s">
        <v>43</v>
      </c>
      <c r="Q922">
        <v>12</v>
      </c>
      <c r="R922">
        <v>1</v>
      </c>
      <c r="S922">
        <v>10</v>
      </c>
      <c r="T922">
        <v>1</v>
      </c>
      <c r="U922">
        <v>8</v>
      </c>
      <c r="V922">
        <v>17</v>
      </c>
      <c r="W922">
        <v>79</v>
      </c>
      <c r="X922">
        <v>1300</v>
      </c>
      <c r="Y922">
        <v>13535</v>
      </c>
      <c r="Z922">
        <v>4558</v>
      </c>
      <c r="AA922">
        <v>2</v>
      </c>
      <c r="AB922">
        <v>34798</v>
      </c>
      <c r="AC922" s="10">
        <v>41240</v>
      </c>
      <c r="AD922" s="10" t="s">
        <v>72</v>
      </c>
      <c r="AE922" t="s">
        <v>72</v>
      </c>
      <c r="AF922" t="s">
        <v>45</v>
      </c>
    </row>
    <row r="923" spans="1:32" x14ac:dyDescent="0.25">
      <c r="A923">
        <v>441</v>
      </c>
      <c r="B923">
        <v>30</v>
      </c>
      <c r="C923" t="s">
        <v>43</v>
      </c>
      <c r="D923" t="s">
        <v>33</v>
      </c>
      <c r="E923" t="s">
        <v>34</v>
      </c>
      <c r="F923" t="s">
        <v>67</v>
      </c>
      <c r="G923" t="s">
        <v>59</v>
      </c>
      <c r="H923" t="s">
        <v>47</v>
      </c>
      <c r="I923" t="s">
        <v>50</v>
      </c>
      <c r="J923" t="s">
        <v>39</v>
      </c>
      <c r="K923">
        <v>4</v>
      </c>
      <c r="L923">
        <v>3</v>
      </c>
      <c r="M923" t="s">
        <v>48</v>
      </c>
      <c r="N923" t="s">
        <v>61</v>
      </c>
      <c r="O923" t="s">
        <v>53</v>
      </c>
      <c r="P923" t="s">
        <v>43</v>
      </c>
      <c r="Q923">
        <v>13</v>
      </c>
      <c r="R923">
        <v>1</v>
      </c>
      <c r="S923">
        <v>11</v>
      </c>
      <c r="T923">
        <v>1</v>
      </c>
      <c r="U923">
        <v>9</v>
      </c>
      <c r="V923">
        <v>28</v>
      </c>
      <c r="W923">
        <v>64</v>
      </c>
      <c r="X923">
        <v>1275</v>
      </c>
      <c r="Y923">
        <v>11934</v>
      </c>
      <c r="Z923">
        <v>5775</v>
      </c>
      <c r="AA923">
        <v>2</v>
      </c>
      <c r="AB923">
        <v>33878</v>
      </c>
      <c r="AC923" s="10">
        <v>41318</v>
      </c>
      <c r="AD923" s="10" t="s">
        <v>72</v>
      </c>
      <c r="AE923" t="s">
        <v>72</v>
      </c>
      <c r="AF923" t="s">
        <v>45</v>
      </c>
    </row>
    <row r="924" spans="1:32" x14ac:dyDescent="0.25">
      <c r="A924">
        <v>385</v>
      </c>
      <c r="B924">
        <v>50</v>
      </c>
      <c r="C924" t="s">
        <v>43</v>
      </c>
      <c r="D924" t="s">
        <v>33</v>
      </c>
      <c r="E924" t="s">
        <v>34</v>
      </c>
      <c r="F924" t="s">
        <v>64</v>
      </c>
      <c r="G924" t="s">
        <v>36</v>
      </c>
      <c r="H924" t="s">
        <v>37</v>
      </c>
      <c r="I924" t="s">
        <v>50</v>
      </c>
      <c r="J924" t="s">
        <v>71</v>
      </c>
      <c r="K924">
        <v>2</v>
      </c>
      <c r="L924">
        <v>3</v>
      </c>
      <c r="M924" t="s">
        <v>60</v>
      </c>
      <c r="N924" t="s">
        <v>52</v>
      </c>
      <c r="O924" t="s">
        <v>53</v>
      </c>
      <c r="P924" t="s">
        <v>43</v>
      </c>
      <c r="Q924">
        <v>14</v>
      </c>
      <c r="R924">
        <v>3</v>
      </c>
      <c r="S924">
        <v>28</v>
      </c>
      <c r="T924">
        <v>1</v>
      </c>
      <c r="U924">
        <v>6</v>
      </c>
      <c r="V924">
        <v>4</v>
      </c>
      <c r="W924">
        <v>96</v>
      </c>
      <c r="X924">
        <v>797</v>
      </c>
      <c r="Y924">
        <v>15815</v>
      </c>
      <c r="Z924">
        <v>19144</v>
      </c>
      <c r="AA924">
        <v>4</v>
      </c>
      <c r="AB924">
        <v>26817</v>
      </c>
      <c r="AC924" s="10">
        <v>41322</v>
      </c>
      <c r="AD924" s="10" t="s">
        <v>72</v>
      </c>
      <c r="AE924" t="s">
        <v>72</v>
      </c>
      <c r="AF924" t="s">
        <v>45</v>
      </c>
    </row>
    <row r="925" spans="1:32" x14ac:dyDescent="0.25">
      <c r="A925">
        <v>762</v>
      </c>
      <c r="B925">
        <v>56</v>
      </c>
      <c r="C925" t="s">
        <v>43</v>
      </c>
      <c r="D925" t="s">
        <v>33</v>
      </c>
      <c r="E925" t="s">
        <v>34</v>
      </c>
      <c r="F925" t="s">
        <v>49</v>
      </c>
      <c r="G925" t="s">
        <v>50</v>
      </c>
      <c r="H925" t="s">
        <v>37</v>
      </c>
      <c r="I925" t="s">
        <v>50</v>
      </c>
      <c r="J925" t="s">
        <v>62</v>
      </c>
      <c r="K925">
        <v>4</v>
      </c>
      <c r="L925">
        <v>3</v>
      </c>
      <c r="M925" t="s">
        <v>60</v>
      </c>
      <c r="N925" t="s">
        <v>61</v>
      </c>
      <c r="O925" t="s">
        <v>42</v>
      </c>
      <c r="P925" t="s">
        <v>43</v>
      </c>
      <c r="Q925">
        <v>11</v>
      </c>
      <c r="R925">
        <v>7</v>
      </c>
      <c r="S925">
        <v>30</v>
      </c>
      <c r="T925">
        <v>1</v>
      </c>
      <c r="U925">
        <v>1</v>
      </c>
      <c r="V925">
        <v>9</v>
      </c>
      <c r="W925">
        <v>81</v>
      </c>
      <c r="X925">
        <v>832</v>
      </c>
      <c r="Y925">
        <v>20420</v>
      </c>
      <c r="Z925">
        <v>11103</v>
      </c>
      <c r="AA925">
        <v>1</v>
      </c>
      <c r="AB925">
        <v>24337</v>
      </c>
      <c r="AC925" s="10">
        <v>41384</v>
      </c>
      <c r="AD925" s="10" t="s">
        <v>72</v>
      </c>
      <c r="AE925" t="s">
        <v>72</v>
      </c>
      <c r="AF925" t="s">
        <v>45</v>
      </c>
    </row>
    <row r="926" spans="1:32" x14ac:dyDescent="0.25">
      <c r="A926">
        <v>41</v>
      </c>
      <c r="B926">
        <v>30</v>
      </c>
      <c r="C926" t="s">
        <v>43</v>
      </c>
      <c r="D926" t="s">
        <v>33</v>
      </c>
      <c r="E926" t="s">
        <v>34</v>
      </c>
      <c r="F926" t="s">
        <v>67</v>
      </c>
      <c r="G926" t="s">
        <v>59</v>
      </c>
      <c r="H926" t="s">
        <v>37</v>
      </c>
      <c r="I926" t="s">
        <v>38</v>
      </c>
      <c r="J926" t="s">
        <v>51</v>
      </c>
      <c r="K926">
        <v>3</v>
      </c>
      <c r="L926">
        <v>3</v>
      </c>
      <c r="M926" t="s">
        <v>48</v>
      </c>
      <c r="N926" t="s">
        <v>41</v>
      </c>
      <c r="O926" t="s">
        <v>42</v>
      </c>
      <c r="P926" t="s">
        <v>43</v>
      </c>
      <c r="Q926">
        <v>13</v>
      </c>
      <c r="R926">
        <v>1</v>
      </c>
      <c r="S926">
        <v>10</v>
      </c>
      <c r="T926">
        <v>1</v>
      </c>
      <c r="U926">
        <v>8</v>
      </c>
      <c r="V926">
        <v>9</v>
      </c>
      <c r="W926">
        <v>83</v>
      </c>
      <c r="X926">
        <v>125</v>
      </c>
      <c r="Y926">
        <v>16117</v>
      </c>
      <c r="Z926">
        <v>2206</v>
      </c>
      <c r="AA926">
        <v>5</v>
      </c>
      <c r="AB926">
        <v>33836</v>
      </c>
      <c r="AC926" s="10">
        <v>41389</v>
      </c>
      <c r="AD926" s="10" t="s">
        <v>72</v>
      </c>
      <c r="AE926" t="s">
        <v>72</v>
      </c>
      <c r="AF926" t="s">
        <v>45</v>
      </c>
    </row>
    <row r="927" spans="1:32" x14ac:dyDescent="0.25">
      <c r="A927">
        <v>1150</v>
      </c>
      <c r="B927">
        <v>29</v>
      </c>
      <c r="C927" t="s">
        <v>43</v>
      </c>
      <c r="D927" t="s">
        <v>33</v>
      </c>
      <c r="E927" t="s">
        <v>34</v>
      </c>
      <c r="F927" t="s">
        <v>64</v>
      </c>
      <c r="G927" t="s">
        <v>38</v>
      </c>
      <c r="H927" t="s">
        <v>37</v>
      </c>
      <c r="I927" t="s">
        <v>38</v>
      </c>
      <c r="J927" t="s">
        <v>65</v>
      </c>
      <c r="K927">
        <v>4</v>
      </c>
      <c r="L927">
        <v>3</v>
      </c>
      <c r="M927" t="s">
        <v>60</v>
      </c>
      <c r="N927" t="s">
        <v>61</v>
      </c>
      <c r="O927" t="s">
        <v>36</v>
      </c>
      <c r="P927" t="s">
        <v>32</v>
      </c>
      <c r="Q927">
        <v>15</v>
      </c>
      <c r="R927">
        <v>1</v>
      </c>
      <c r="S927">
        <v>10</v>
      </c>
      <c r="T927">
        <v>1</v>
      </c>
      <c r="U927">
        <v>2</v>
      </c>
      <c r="V927">
        <v>8</v>
      </c>
      <c r="W927">
        <v>79</v>
      </c>
      <c r="X927">
        <v>718</v>
      </c>
      <c r="Y927">
        <v>17689</v>
      </c>
      <c r="Z927">
        <v>5056</v>
      </c>
      <c r="AA927">
        <v>2</v>
      </c>
      <c r="AB927">
        <v>34447</v>
      </c>
      <c r="AC927" s="10">
        <v>41450</v>
      </c>
      <c r="AD927" s="10" t="s">
        <v>72</v>
      </c>
      <c r="AE927" t="s">
        <v>72</v>
      </c>
      <c r="AF927" t="s">
        <v>55</v>
      </c>
    </row>
    <row r="928" spans="1:32" x14ac:dyDescent="0.25">
      <c r="A928">
        <v>1344</v>
      </c>
      <c r="B928">
        <v>34</v>
      </c>
      <c r="C928" t="s">
        <v>43</v>
      </c>
      <c r="D928" t="s">
        <v>33</v>
      </c>
      <c r="E928" t="s">
        <v>34</v>
      </c>
      <c r="F928" t="s">
        <v>49</v>
      </c>
      <c r="G928" t="s">
        <v>59</v>
      </c>
      <c r="H928" t="s">
        <v>37</v>
      </c>
      <c r="I928" t="s">
        <v>50</v>
      </c>
      <c r="J928" t="s">
        <v>62</v>
      </c>
      <c r="K928">
        <v>4</v>
      </c>
      <c r="L928">
        <v>3</v>
      </c>
      <c r="M928" t="s">
        <v>60</v>
      </c>
      <c r="N928" t="s">
        <v>52</v>
      </c>
      <c r="O928" t="s">
        <v>36</v>
      </c>
      <c r="P928" t="s">
        <v>43</v>
      </c>
      <c r="Q928">
        <v>11</v>
      </c>
      <c r="R928">
        <v>0</v>
      </c>
      <c r="S928">
        <v>10</v>
      </c>
      <c r="T928">
        <v>1</v>
      </c>
      <c r="U928">
        <v>6</v>
      </c>
      <c r="V928">
        <v>9</v>
      </c>
      <c r="W928">
        <v>86</v>
      </c>
      <c r="X928">
        <v>943</v>
      </c>
      <c r="Y928">
        <v>5494</v>
      </c>
      <c r="Z928">
        <v>8500</v>
      </c>
      <c r="AA928">
        <v>0</v>
      </c>
      <c r="AB928">
        <v>32490</v>
      </c>
      <c r="AC928" s="10">
        <v>41502</v>
      </c>
      <c r="AD928" s="10" t="s">
        <v>72</v>
      </c>
      <c r="AE928" t="s">
        <v>72</v>
      </c>
      <c r="AF928" t="s">
        <v>45</v>
      </c>
    </row>
    <row r="929" spans="1:32" x14ac:dyDescent="0.25">
      <c r="A929">
        <v>1121</v>
      </c>
      <c r="B929">
        <v>28</v>
      </c>
      <c r="C929" t="s">
        <v>43</v>
      </c>
      <c r="D929" t="s">
        <v>33</v>
      </c>
      <c r="E929" t="s">
        <v>34</v>
      </c>
      <c r="F929" t="s">
        <v>49</v>
      </c>
      <c r="G929" t="s">
        <v>59</v>
      </c>
      <c r="H929" t="s">
        <v>47</v>
      </c>
      <c r="I929" t="s">
        <v>50</v>
      </c>
      <c r="J929" t="s">
        <v>65</v>
      </c>
      <c r="K929">
        <v>2</v>
      </c>
      <c r="L929">
        <v>3</v>
      </c>
      <c r="M929" t="s">
        <v>60</v>
      </c>
      <c r="N929" t="s">
        <v>52</v>
      </c>
      <c r="O929" t="s">
        <v>50</v>
      </c>
      <c r="P929" t="s">
        <v>43</v>
      </c>
      <c r="Q929">
        <v>17</v>
      </c>
      <c r="R929">
        <v>0</v>
      </c>
      <c r="S929">
        <v>10</v>
      </c>
      <c r="T929">
        <v>1</v>
      </c>
      <c r="U929">
        <v>7</v>
      </c>
      <c r="V929">
        <v>3</v>
      </c>
      <c r="W929">
        <v>93</v>
      </c>
      <c r="X929">
        <v>950</v>
      </c>
      <c r="Y929">
        <v>8039</v>
      </c>
      <c r="Z929">
        <v>7655</v>
      </c>
      <c r="AA929">
        <v>3</v>
      </c>
      <c r="AB929">
        <v>34721</v>
      </c>
      <c r="AC929" s="10">
        <v>41576</v>
      </c>
      <c r="AD929" s="10" t="s">
        <v>72</v>
      </c>
      <c r="AE929" t="s">
        <v>72</v>
      </c>
      <c r="AF929" t="s">
        <v>45</v>
      </c>
    </row>
    <row r="930" spans="1:32" x14ac:dyDescent="0.25">
      <c r="A930">
        <v>1617</v>
      </c>
      <c r="B930">
        <v>49</v>
      </c>
      <c r="C930" t="s">
        <v>43</v>
      </c>
      <c r="D930" t="s">
        <v>33</v>
      </c>
      <c r="E930" t="s">
        <v>34</v>
      </c>
      <c r="F930" t="s">
        <v>35</v>
      </c>
      <c r="G930" t="s">
        <v>50</v>
      </c>
      <c r="H930" t="s">
        <v>47</v>
      </c>
      <c r="I930" t="s">
        <v>50</v>
      </c>
      <c r="J930" t="s">
        <v>51</v>
      </c>
      <c r="K930">
        <v>1</v>
      </c>
      <c r="L930">
        <v>3</v>
      </c>
      <c r="M930" t="s">
        <v>60</v>
      </c>
      <c r="N930" t="s">
        <v>61</v>
      </c>
      <c r="O930" t="s">
        <v>36</v>
      </c>
      <c r="P930" t="s">
        <v>43</v>
      </c>
      <c r="Q930">
        <v>14</v>
      </c>
      <c r="R930">
        <v>1</v>
      </c>
      <c r="S930">
        <v>10</v>
      </c>
      <c r="T930">
        <v>1</v>
      </c>
      <c r="U930">
        <v>4</v>
      </c>
      <c r="V930">
        <v>25</v>
      </c>
      <c r="W930">
        <v>84</v>
      </c>
      <c r="X930">
        <v>722</v>
      </c>
      <c r="Y930">
        <v>22102</v>
      </c>
      <c r="Z930">
        <v>3211</v>
      </c>
      <c r="AA930">
        <v>3</v>
      </c>
      <c r="AB930">
        <v>27215</v>
      </c>
      <c r="AC930" s="10">
        <v>41737</v>
      </c>
      <c r="AD930" s="10" t="s">
        <v>72</v>
      </c>
      <c r="AE930" t="s">
        <v>72</v>
      </c>
      <c r="AF930" t="s">
        <v>45</v>
      </c>
    </row>
    <row r="931" spans="1:32" x14ac:dyDescent="0.25">
      <c r="A931">
        <v>1671</v>
      </c>
      <c r="B931">
        <v>32</v>
      </c>
      <c r="C931" t="s">
        <v>43</v>
      </c>
      <c r="D931" t="s">
        <v>33</v>
      </c>
      <c r="E931" t="s">
        <v>34</v>
      </c>
      <c r="F931" t="s">
        <v>49</v>
      </c>
      <c r="G931" t="s">
        <v>59</v>
      </c>
      <c r="H931" t="s">
        <v>37</v>
      </c>
      <c r="I931" t="s">
        <v>50</v>
      </c>
      <c r="J931" t="s">
        <v>39</v>
      </c>
      <c r="K931">
        <v>2</v>
      </c>
      <c r="L931">
        <v>3</v>
      </c>
      <c r="M931" t="s">
        <v>60</v>
      </c>
      <c r="N931" t="s">
        <v>52</v>
      </c>
      <c r="O931" t="s">
        <v>53</v>
      </c>
      <c r="P931" t="s">
        <v>43</v>
      </c>
      <c r="Q931">
        <v>13</v>
      </c>
      <c r="R931">
        <v>0</v>
      </c>
      <c r="S931">
        <v>10</v>
      </c>
      <c r="T931">
        <v>1</v>
      </c>
      <c r="U931">
        <v>6</v>
      </c>
      <c r="V931">
        <v>2</v>
      </c>
      <c r="W931">
        <v>45</v>
      </c>
      <c r="X931">
        <v>977</v>
      </c>
      <c r="Y931">
        <v>25518</v>
      </c>
      <c r="Z931">
        <v>5470</v>
      </c>
      <c r="AA931">
        <v>4</v>
      </c>
      <c r="AB931">
        <v>33159</v>
      </c>
      <c r="AC931" s="10">
        <v>41798</v>
      </c>
      <c r="AD931" s="10" t="s">
        <v>72</v>
      </c>
      <c r="AE931" t="s">
        <v>72</v>
      </c>
      <c r="AF931" t="s">
        <v>45</v>
      </c>
    </row>
    <row r="932" spans="1:32" x14ac:dyDescent="0.25">
      <c r="A932">
        <v>1172</v>
      </c>
      <c r="B932">
        <v>35</v>
      </c>
      <c r="C932" t="s">
        <v>43</v>
      </c>
      <c r="D932" t="s">
        <v>33</v>
      </c>
      <c r="E932" t="s">
        <v>34</v>
      </c>
      <c r="F932" t="s">
        <v>35</v>
      </c>
      <c r="G932" t="s">
        <v>59</v>
      </c>
      <c r="H932" t="s">
        <v>37</v>
      </c>
      <c r="I932" t="s">
        <v>38</v>
      </c>
      <c r="J932" t="s">
        <v>51</v>
      </c>
      <c r="K932">
        <v>3</v>
      </c>
      <c r="L932">
        <v>3</v>
      </c>
      <c r="M932" t="s">
        <v>48</v>
      </c>
      <c r="N932" t="s">
        <v>61</v>
      </c>
      <c r="O932" t="s">
        <v>36</v>
      </c>
      <c r="P932" t="s">
        <v>43</v>
      </c>
      <c r="Q932">
        <v>12</v>
      </c>
      <c r="R932">
        <v>6</v>
      </c>
      <c r="S932">
        <v>10</v>
      </c>
      <c r="T932">
        <v>1</v>
      </c>
      <c r="U932">
        <v>7</v>
      </c>
      <c r="V932">
        <v>1</v>
      </c>
      <c r="W932">
        <v>58</v>
      </c>
      <c r="X932">
        <v>982</v>
      </c>
      <c r="Y932">
        <v>16340</v>
      </c>
      <c r="Z932">
        <v>2258</v>
      </c>
      <c r="AA932">
        <v>2</v>
      </c>
      <c r="AB932">
        <v>32189</v>
      </c>
      <c r="AC932" s="10">
        <v>41866</v>
      </c>
      <c r="AD932" s="10" t="s">
        <v>72</v>
      </c>
      <c r="AE932" t="s">
        <v>72</v>
      </c>
      <c r="AF932" t="s">
        <v>45</v>
      </c>
    </row>
    <row r="933" spans="1:32" x14ac:dyDescent="0.25">
      <c r="A933">
        <v>1015</v>
      </c>
      <c r="B933">
        <v>30</v>
      </c>
      <c r="C933" t="s">
        <v>43</v>
      </c>
      <c r="D933" t="s">
        <v>33</v>
      </c>
      <c r="E933" t="s">
        <v>34</v>
      </c>
      <c r="F933" t="s">
        <v>67</v>
      </c>
      <c r="G933" t="s">
        <v>38</v>
      </c>
      <c r="H933" t="s">
        <v>47</v>
      </c>
      <c r="I933" t="s">
        <v>59</v>
      </c>
      <c r="J933" t="s">
        <v>71</v>
      </c>
      <c r="K933">
        <v>1</v>
      </c>
      <c r="L933">
        <v>3</v>
      </c>
      <c r="M933" t="s">
        <v>60</v>
      </c>
      <c r="N933" t="s">
        <v>61</v>
      </c>
      <c r="O933" t="s">
        <v>50</v>
      </c>
      <c r="P933" t="s">
        <v>32</v>
      </c>
      <c r="Q933">
        <v>12</v>
      </c>
      <c r="R933">
        <v>0</v>
      </c>
      <c r="S933">
        <v>9</v>
      </c>
      <c r="T933">
        <v>1</v>
      </c>
      <c r="U933">
        <v>7</v>
      </c>
      <c r="V933">
        <v>8</v>
      </c>
      <c r="W933">
        <v>73</v>
      </c>
      <c r="X933">
        <v>153</v>
      </c>
      <c r="Y933">
        <v>17802</v>
      </c>
      <c r="Z933">
        <v>11416</v>
      </c>
      <c r="AA933">
        <v>4</v>
      </c>
      <c r="AB933">
        <v>33909</v>
      </c>
      <c r="AC933" s="10">
        <v>41904</v>
      </c>
      <c r="AD933" s="10" t="s">
        <v>72</v>
      </c>
      <c r="AE933" t="s">
        <v>72</v>
      </c>
      <c r="AF933" t="s">
        <v>55</v>
      </c>
    </row>
    <row r="934" spans="1:32" x14ac:dyDescent="0.25">
      <c r="A934">
        <v>1514</v>
      </c>
      <c r="B934">
        <v>28</v>
      </c>
      <c r="C934" t="s">
        <v>43</v>
      </c>
      <c r="D934" t="s">
        <v>33</v>
      </c>
      <c r="E934" t="s">
        <v>34</v>
      </c>
      <c r="F934" t="s">
        <v>64</v>
      </c>
      <c r="G934" t="s">
        <v>50</v>
      </c>
      <c r="H934" t="s">
        <v>37</v>
      </c>
      <c r="I934" t="s">
        <v>36</v>
      </c>
      <c r="J934" t="s">
        <v>65</v>
      </c>
      <c r="K934">
        <v>2</v>
      </c>
      <c r="L934">
        <v>3</v>
      </c>
      <c r="M934" t="s">
        <v>60</v>
      </c>
      <c r="N934" t="s">
        <v>61</v>
      </c>
      <c r="O934" t="s">
        <v>53</v>
      </c>
      <c r="P934" t="s">
        <v>43</v>
      </c>
      <c r="Q934">
        <v>14</v>
      </c>
      <c r="R934">
        <v>1</v>
      </c>
      <c r="S934">
        <v>8</v>
      </c>
      <c r="T934">
        <v>1</v>
      </c>
      <c r="U934">
        <v>7</v>
      </c>
      <c r="V934">
        <v>29</v>
      </c>
      <c r="W934">
        <v>96</v>
      </c>
      <c r="X934">
        <v>1083</v>
      </c>
      <c r="Y934">
        <v>3173</v>
      </c>
      <c r="Z934">
        <v>6549</v>
      </c>
      <c r="AA934">
        <v>2</v>
      </c>
      <c r="AB934">
        <v>34598</v>
      </c>
      <c r="AC934" s="10">
        <v>41940</v>
      </c>
      <c r="AD934" s="10" t="s">
        <v>72</v>
      </c>
      <c r="AE934" t="s">
        <v>72</v>
      </c>
      <c r="AF934" t="s">
        <v>45</v>
      </c>
    </row>
    <row r="935" spans="1:32" x14ac:dyDescent="0.25">
      <c r="A935">
        <v>1018</v>
      </c>
      <c r="B935">
        <v>26</v>
      </c>
      <c r="C935" t="s">
        <v>43</v>
      </c>
      <c r="D935" t="s">
        <v>33</v>
      </c>
      <c r="E935" t="s">
        <v>34</v>
      </c>
      <c r="F935" t="s">
        <v>67</v>
      </c>
      <c r="G935" t="s">
        <v>59</v>
      </c>
      <c r="H935" t="s">
        <v>37</v>
      </c>
      <c r="I935" t="s">
        <v>59</v>
      </c>
      <c r="J935" t="s">
        <v>65</v>
      </c>
      <c r="K935">
        <v>4</v>
      </c>
      <c r="L935">
        <v>3</v>
      </c>
      <c r="M935" t="s">
        <v>48</v>
      </c>
      <c r="N935" t="s">
        <v>61</v>
      </c>
      <c r="O935" t="s">
        <v>42</v>
      </c>
      <c r="P935" t="s">
        <v>43</v>
      </c>
      <c r="Q935">
        <v>12</v>
      </c>
      <c r="R935">
        <v>1</v>
      </c>
      <c r="S935">
        <v>8</v>
      </c>
      <c r="T935">
        <v>1</v>
      </c>
      <c r="U935">
        <v>3</v>
      </c>
      <c r="V935">
        <v>2</v>
      </c>
      <c r="W935">
        <v>32</v>
      </c>
      <c r="X935">
        <v>1066</v>
      </c>
      <c r="Y935">
        <v>3334</v>
      </c>
      <c r="Z935">
        <v>5472</v>
      </c>
      <c r="AA935">
        <v>2</v>
      </c>
      <c r="AB935">
        <v>35399</v>
      </c>
      <c r="AC935" s="10">
        <v>41956</v>
      </c>
      <c r="AD935" s="10" t="s">
        <v>72</v>
      </c>
      <c r="AE935" t="s">
        <v>72</v>
      </c>
      <c r="AF935" t="s">
        <v>55</v>
      </c>
    </row>
    <row r="936" spans="1:32" x14ac:dyDescent="0.25">
      <c r="A936">
        <v>793</v>
      </c>
      <c r="B936">
        <v>29</v>
      </c>
      <c r="C936" t="s">
        <v>43</v>
      </c>
      <c r="D936" t="s">
        <v>33</v>
      </c>
      <c r="E936" t="s">
        <v>34</v>
      </c>
      <c r="F936" t="s">
        <v>49</v>
      </c>
      <c r="G936" t="s">
        <v>38</v>
      </c>
      <c r="H936" t="s">
        <v>47</v>
      </c>
      <c r="I936" t="s">
        <v>50</v>
      </c>
      <c r="J936" t="s">
        <v>62</v>
      </c>
      <c r="K936">
        <v>3</v>
      </c>
      <c r="L936">
        <v>3</v>
      </c>
      <c r="M936" t="s">
        <v>60</v>
      </c>
      <c r="N936" t="s">
        <v>61</v>
      </c>
      <c r="O936" t="s">
        <v>36</v>
      </c>
      <c r="P936" t="s">
        <v>43</v>
      </c>
      <c r="Q936">
        <v>12</v>
      </c>
      <c r="R936">
        <v>4</v>
      </c>
      <c r="S936">
        <v>11</v>
      </c>
      <c r="T936">
        <v>1</v>
      </c>
      <c r="U936">
        <v>1</v>
      </c>
      <c r="V936">
        <v>27</v>
      </c>
      <c r="W936">
        <v>66</v>
      </c>
      <c r="X936">
        <v>657</v>
      </c>
      <c r="Y936">
        <v>25549</v>
      </c>
      <c r="Z936">
        <v>4335</v>
      </c>
      <c r="AA936">
        <v>3</v>
      </c>
      <c r="AB936">
        <v>34279</v>
      </c>
      <c r="AC936" s="10">
        <v>42034</v>
      </c>
      <c r="AD936" s="10" t="s">
        <v>72</v>
      </c>
      <c r="AE936" t="s">
        <v>72</v>
      </c>
      <c r="AF936" t="s">
        <v>45</v>
      </c>
    </row>
    <row r="937" spans="1:32" x14ac:dyDescent="0.25">
      <c r="A937">
        <v>267</v>
      </c>
      <c r="B937">
        <v>37</v>
      </c>
      <c r="C937" t="s">
        <v>43</v>
      </c>
      <c r="D937" t="s">
        <v>33</v>
      </c>
      <c r="E937" t="s">
        <v>34</v>
      </c>
      <c r="F937" t="s">
        <v>49</v>
      </c>
      <c r="G937" t="s">
        <v>38</v>
      </c>
      <c r="H937" t="s">
        <v>37</v>
      </c>
      <c r="I937" t="s">
        <v>59</v>
      </c>
      <c r="J937" t="s">
        <v>39</v>
      </c>
      <c r="K937">
        <v>1</v>
      </c>
      <c r="L937">
        <v>3</v>
      </c>
      <c r="M937" t="s">
        <v>60</v>
      </c>
      <c r="N937" t="s">
        <v>61</v>
      </c>
      <c r="O937" t="s">
        <v>36</v>
      </c>
      <c r="P937" t="s">
        <v>32</v>
      </c>
      <c r="Q937">
        <v>12</v>
      </c>
      <c r="R937">
        <v>1</v>
      </c>
      <c r="S937">
        <v>8</v>
      </c>
      <c r="T937">
        <v>1</v>
      </c>
      <c r="U937">
        <v>7</v>
      </c>
      <c r="V937">
        <v>21</v>
      </c>
      <c r="W937">
        <v>65</v>
      </c>
      <c r="X937">
        <v>290</v>
      </c>
      <c r="Y937">
        <v>22977</v>
      </c>
      <c r="Z937">
        <v>3564</v>
      </c>
      <c r="AA937">
        <v>3</v>
      </c>
      <c r="AB937">
        <v>31614</v>
      </c>
      <c r="AC937" s="10">
        <v>42045</v>
      </c>
      <c r="AD937" s="10" t="s">
        <v>72</v>
      </c>
      <c r="AE937" t="s">
        <v>72</v>
      </c>
      <c r="AF937" t="s">
        <v>45</v>
      </c>
    </row>
    <row r="938" spans="1:32" x14ac:dyDescent="0.25">
      <c r="A938">
        <v>1322</v>
      </c>
      <c r="B938">
        <v>39</v>
      </c>
      <c r="C938" t="s">
        <v>43</v>
      </c>
      <c r="D938" t="s">
        <v>33</v>
      </c>
      <c r="E938" t="s">
        <v>34</v>
      </c>
      <c r="F938" t="s">
        <v>67</v>
      </c>
      <c r="G938" t="s">
        <v>36</v>
      </c>
      <c r="H938" t="s">
        <v>37</v>
      </c>
      <c r="I938" t="s">
        <v>50</v>
      </c>
      <c r="J938" t="s">
        <v>65</v>
      </c>
      <c r="K938">
        <v>3</v>
      </c>
      <c r="L938">
        <v>3</v>
      </c>
      <c r="M938" t="s">
        <v>48</v>
      </c>
      <c r="N938" t="s">
        <v>41</v>
      </c>
      <c r="O938" t="s">
        <v>42</v>
      </c>
      <c r="P938" t="s">
        <v>43</v>
      </c>
      <c r="Q938">
        <v>11</v>
      </c>
      <c r="R938">
        <v>0</v>
      </c>
      <c r="S938">
        <v>9</v>
      </c>
      <c r="T938">
        <v>1</v>
      </c>
      <c r="U938">
        <v>7</v>
      </c>
      <c r="V938">
        <v>18</v>
      </c>
      <c r="W938">
        <v>32</v>
      </c>
      <c r="X938">
        <v>524</v>
      </c>
      <c r="Y938">
        <v>13352</v>
      </c>
      <c r="Z938">
        <v>4534</v>
      </c>
      <c r="AA938">
        <v>6</v>
      </c>
      <c r="AB938">
        <v>30802</v>
      </c>
      <c r="AC938" s="10">
        <v>42059</v>
      </c>
      <c r="AD938" s="10" t="s">
        <v>72</v>
      </c>
      <c r="AE938" t="s">
        <v>72</v>
      </c>
      <c r="AF938" t="s">
        <v>55</v>
      </c>
    </row>
    <row r="939" spans="1:32" x14ac:dyDescent="0.25">
      <c r="A939">
        <v>1097</v>
      </c>
      <c r="B939">
        <v>28</v>
      </c>
      <c r="C939" t="s">
        <v>43</v>
      </c>
      <c r="D939" t="s">
        <v>33</v>
      </c>
      <c r="E939" t="s">
        <v>34</v>
      </c>
      <c r="F939" t="s">
        <v>49</v>
      </c>
      <c r="G939" t="s">
        <v>50</v>
      </c>
      <c r="H939" t="s">
        <v>47</v>
      </c>
      <c r="I939" t="s">
        <v>50</v>
      </c>
      <c r="J939" t="s">
        <v>39</v>
      </c>
      <c r="K939">
        <v>3</v>
      </c>
      <c r="L939">
        <v>3</v>
      </c>
      <c r="M939" t="s">
        <v>58</v>
      </c>
      <c r="N939" t="s">
        <v>41</v>
      </c>
      <c r="O939" t="s">
        <v>42</v>
      </c>
      <c r="P939" t="s">
        <v>43</v>
      </c>
      <c r="Q939">
        <v>13</v>
      </c>
      <c r="R939">
        <v>3</v>
      </c>
      <c r="S939">
        <v>10</v>
      </c>
      <c r="T939">
        <v>1</v>
      </c>
      <c r="U939">
        <v>7</v>
      </c>
      <c r="V939">
        <v>10</v>
      </c>
      <c r="W939">
        <v>59</v>
      </c>
      <c r="X939">
        <v>857</v>
      </c>
      <c r="Y939">
        <v>7909</v>
      </c>
      <c r="Z939">
        <v>3660</v>
      </c>
      <c r="AA939">
        <v>4</v>
      </c>
      <c r="AB939">
        <v>34661</v>
      </c>
      <c r="AC939" s="10">
        <v>42158</v>
      </c>
      <c r="AD939" s="10" t="s">
        <v>72</v>
      </c>
      <c r="AE939" t="s">
        <v>72</v>
      </c>
      <c r="AF939" t="s">
        <v>45</v>
      </c>
    </row>
    <row r="940" spans="1:32" x14ac:dyDescent="0.25">
      <c r="A940">
        <v>483</v>
      </c>
      <c r="B940">
        <v>40</v>
      </c>
      <c r="C940" t="s">
        <v>43</v>
      </c>
      <c r="D940" t="s">
        <v>33</v>
      </c>
      <c r="E940" t="s">
        <v>34</v>
      </c>
      <c r="F940" t="s">
        <v>35</v>
      </c>
      <c r="G940" t="s">
        <v>59</v>
      </c>
      <c r="H940" t="s">
        <v>47</v>
      </c>
      <c r="I940" t="s">
        <v>59</v>
      </c>
      <c r="J940" t="s">
        <v>51</v>
      </c>
      <c r="K940">
        <v>3</v>
      </c>
      <c r="L940">
        <v>3</v>
      </c>
      <c r="M940" t="s">
        <v>48</v>
      </c>
      <c r="N940" t="s">
        <v>61</v>
      </c>
      <c r="O940" t="s">
        <v>36</v>
      </c>
      <c r="P940" t="s">
        <v>32</v>
      </c>
      <c r="Q940">
        <v>13</v>
      </c>
      <c r="R940">
        <v>3</v>
      </c>
      <c r="S940">
        <v>10</v>
      </c>
      <c r="T940">
        <v>1</v>
      </c>
      <c r="U940">
        <v>7</v>
      </c>
      <c r="V940">
        <v>10</v>
      </c>
      <c r="W940">
        <v>46</v>
      </c>
      <c r="X940">
        <v>1171</v>
      </c>
      <c r="Y940">
        <v>22495</v>
      </c>
      <c r="Z940">
        <v>2213</v>
      </c>
      <c r="AA940">
        <v>3</v>
      </c>
      <c r="AB940">
        <v>30400</v>
      </c>
      <c r="AC940" s="10">
        <v>42260</v>
      </c>
      <c r="AD940" s="10" t="s">
        <v>72</v>
      </c>
      <c r="AE940" t="s">
        <v>72</v>
      </c>
      <c r="AF940" t="s">
        <v>45</v>
      </c>
    </row>
    <row r="941" spans="1:32" x14ac:dyDescent="0.25">
      <c r="A941">
        <v>2014</v>
      </c>
      <c r="B941">
        <v>39</v>
      </c>
      <c r="C941" t="s">
        <v>43</v>
      </c>
      <c r="D941" t="s">
        <v>33</v>
      </c>
      <c r="E941" t="s">
        <v>34</v>
      </c>
      <c r="F941" t="s">
        <v>64</v>
      </c>
      <c r="G941" t="s">
        <v>36</v>
      </c>
      <c r="H941" t="s">
        <v>37</v>
      </c>
      <c r="I941" t="s">
        <v>50</v>
      </c>
      <c r="J941" t="s">
        <v>39</v>
      </c>
      <c r="K941">
        <v>4</v>
      </c>
      <c r="L941">
        <v>3</v>
      </c>
      <c r="M941" t="s">
        <v>48</v>
      </c>
      <c r="N941" t="s">
        <v>41</v>
      </c>
      <c r="O941" t="s">
        <v>42</v>
      </c>
      <c r="P941" t="s">
        <v>43</v>
      </c>
      <c r="Q941">
        <v>13</v>
      </c>
      <c r="R941">
        <v>7</v>
      </c>
      <c r="S941">
        <v>18</v>
      </c>
      <c r="T941">
        <v>1</v>
      </c>
      <c r="U941">
        <v>7</v>
      </c>
      <c r="V941">
        <v>24</v>
      </c>
      <c r="W941">
        <v>52</v>
      </c>
      <c r="X941">
        <v>116</v>
      </c>
      <c r="Y941">
        <v>5340</v>
      </c>
      <c r="Z941">
        <v>4108</v>
      </c>
      <c r="AA941">
        <v>2</v>
      </c>
      <c r="AB941">
        <v>30781</v>
      </c>
      <c r="AC941" s="10">
        <v>42293</v>
      </c>
      <c r="AD941" s="10" t="s">
        <v>72</v>
      </c>
      <c r="AE941" t="s">
        <v>72</v>
      </c>
      <c r="AF941" t="s">
        <v>45</v>
      </c>
    </row>
    <row r="942" spans="1:32" x14ac:dyDescent="0.25">
      <c r="A942">
        <v>258</v>
      </c>
      <c r="B942">
        <v>51</v>
      </c>
      <c r="C942" t="s">
        <v>43</v>
      </c>
      <c r="D942" t="s">
        <v>33</v>
      </c>
      <c r="E942" t="s">
        <v>34</v>
      </c>
      <c r="F942" t="s">
        <v>49</v>
      </c>
      <c r="G942" t="s">
        <v>59</v>
      </c>
      <c r="H942" t="s">
        <v>47</v>
      </c>
      <c r="I942" t="s">
        <v>50</v>
      </c>
      <c r="J942" t="s">
        <v>62</v>
      </c>
      <c r="K942">
        <v>2</v>
      </c>
      <c r="L942">
        <v>3</v>
      </c>
      <c r="M942" t="s">
        <v>48</v>
      </c>
      <c r="N942" t="s">
        <v>41</v>
      </c>
      <c r="O942" t="s">
        <v>42</v>
      </c>
      <c r="P942" t="s">
        <v>43</v>
      </c>
      <c r="Q942">
        <v>18</v>
      </c>
      <c r="R942">
        <v>3</v>
      </c>
      <c r="S942">
        <v>21</v>
      </c>
      <c r="T942">
        <v>1</v>
      </c>
      <c r="U942">
        <v>0</v>
      </c>
      <c r="V942">
        <v>3</v>
      </c>
      <c r="W942">
        <v>98</v>
      </c>
      <c r="X942">
        <v>313</v>
      </c>
      <c r="Y942">
        <v>7192</v>
      </c>
      <c r="Z942">
        <v>13734</v>
      </c>
      <c r="AA942">
        <v>6</v>
      </c>
      <c r="AB942">
        <v>26388</v>
      </c>
      <c r="AC942" s="10">
        <v>42307</v>
      </c>
      <c r="AD942" s="10" t="s">
        <v>72</v>
      </c>
      <c r="AE942" t="s">
        <v>72</v>
      </c>
      <c r="AF942" t="s">
        <v>45</v>
      </c>
    </row>
    <row r="943" spans="1:32" x14ac:dyDescent="0.25">
      <c r="A943">
        <v>1763</v>
      </c>
      <c r="B943">
        <v>30</v>
      </c>
      <c r="C943" t="s">
        <v>43</v>
      </c>
      <c r="D943" t="s">
        <v>33</v>
      </c>
      <c r="E943" t="s">
        <v>34</v>
      </c>
      <c r="F943" t="s">
        <v>49</v>
      </c>
      <c r="G943" t="s">
        <v>50</v>
      </c>
      <c r="H943" t="s">
        <v>37</v>
      </c>
      <c r="I943" t="s">
        <v>59</v>
      </c>
      <c r="J943" t="s">
        <v>62</v>
      </c>
      <c r="K943">
        <v>3</v>
      </c>
      <c r="L943">
        <v>3</v>
      </c>
      <c r="M943" t="s">
        <v>48</v>
      </c>
      <c r="N943" t="s">
        <v>61</v>
      </c>
      <c r="O943" t="s">
        <v>36</v>
      </c>
      <c r="P943" t="s">
        <v>43</v>
      </c>
      <c r="Q943">
        <v>16</v>
      </c>
      <c r="R943">
        <v>3</v>
      </c>
      <c r="S943">
        <v>10</v>
      </c>
      <c r="T943">
        <v>1</v>
      </c>
      <c r="U943">
        <v>7</v>
      </c>
      <c r="V943">
        <v>16</v>
      </c>
      <c r="W943">
        <v>58</v>
      </c>
      <c r="X943">
        <v>305</v>
      </c>
      <c r="Y943">
        <v>9128</v>
      </c>
      <c r="Z943">
        <v>5294</v>
      </c>
      <c r="AA943">
        <v>3</v>
      </c>
      <c r="AB943">
        <v>34161</v>
      </c>
      <c r="AC943" s="10">
        <v>42346</v>
      </c>
      <c r="AD943" s="10" t="s">
        <v>72</v>
      </c>
      <c r="AE943" t="s">
        <v>72</v>
      </c>
      <c r="AF943" t="s">
        <v>45</v>
      </c>
    </row>
    <row r="944" spans="1:32" x14ac:dyDescent="0.25">
      <c r="A944">
        <v>2062</v>
      </c>
      <c r="B944">
        <v>39</v>
      </c>
      <c r="C944" t="s">
        <v>43</v>
      </c>
      <c r="D944" t="s">
        <v>33</v>
      </c>
      <c r="E944" t="s">
        <v>34</v>
      </c>
      <c r="F944" t="s">
        <v>64</v>
      </c>
      <c r="G944" t="s">
        <v>59</v>
      </c>
      <c r="H944" t="s">
        <v>37</v>
      </c>
      <c r="I944" t="s">
        <v>38</v>
      </c>
      <c r="J944" t="s">
        <v>62</v>
      </c>
      <c r="K944">
        <v>1</v>
      </c>
      <c r="L944">
        <v>3</v>
      </c>
      <c r="M944" t="s">
        <v>48</v>
      </c>
      <c r="N944" t="s">
        <v>61</v>
      </c>
      <c r="O944" t="s">
        <v>36</v>
      </c>
      <c r="P944" t="s">
        <v>43</v>
      </c>
      <c r="Q944">
        <v>15</v>
      </c>
      <c r="R944">
        <v>4</v>
      </c>
      <c r="S944">
        <v>9</v>
      </c>
      <c r="T944">
        <v>1</v>
      </c>
      <c r="U944">
        <v>7</v>
      </c>
      <c r="V944">
        <v>6</v>
      </c>
      <c r="W944">
        <v>42</v>
      </c>
      <c r="X944">
        <v>613</v>
      </c>
      <c r="Y944">
        <v>21457</v>
      </c>
      <c r="Z944">
        <v>9991</v>
      </c>
      <c r="AA944">
        <v>5</v>
      </c>
      <c r="AB944">
        <v>30533</v>
      </c>
      <c r="AC944" s="10">
        <v>42368</v>
      </c>
      <c r="AD944" s="10" t="s">
        <v>72</v>
      </c>
      <c r="AE944" t="s">
        <v>72</v>
      </c>
      <c r="AF944" t="s">
        <v>45</v>
      </c>
    </row>
    <row r="945" spans="1:32" x14ac:dyDescent="0.25">
      <c r="A945">
        <v>273</v>
      </c>
      <c r="B945">
        <v>38</v>
      </c>
      <c r="C945" t="s">
        <v>43</v>
      </c>
      <c r="D945" t="s">
        <v>33</v>
      </c>
      <c r="E945" t="s">
        <v>34</v>
      </c>
      <c r="F945" t="s">
        <v>49</v>
      </c>
      <c r="G945" t="s">
        <v>59</v>
      </c>
      <c r="H945" t="s">
        <v>37</v>
      </c>
      <c r="I945" t="s">
        <v>50</v>
      </c>
      <c r="J945" t="s">
        <v>65</v>
      </c>
      <c r="K945">
        <v>4</v>
      </c>
      <c r="L945">
        <v>3</v>
      </c>
      <c r="M945" t="s">
        <v>40</v>
      </c>
      <c r="N945" t="s">
        <v>61</v>
      </c>
      <c r="O945" t="s">
        <v>36</v>
      </c>
      <c r="P945" t="s">
        <v>43</v>
      </c>
      <c r="Q945">
        <v>18</v>
      </c>
      <c r="R945">
        <v>3</v>
      </c>
      <c r="S945">
        <v>9</v>
      </c>
      <c r="T945">
        <v>1</v>
      </c>
      <c r="U945">
        <v>3</v>
      </c>
      <c r="V945">
        <v>29</v>
      </c>
      <c r="W945">
        <v>54</v>
      </c>
      <c r="X945">
        <v>1084</v>
      </c>
      <c r="Y945">
        <v>4185</v>
      </c>
      <c r="Z945">
        <v>6261</v>
      </c>
      <c r="AA945">
        <v>3</v>
      </c>
      <c r="AB945">
        <v>31058</v>
      </c>
      <c r="AC945" s="10">
        <v>42408</v>
      </c>
      <c r="AD945" s="10" t="s">
        <v>72</v>
      </c>
      <c r="AE945" t="s">
        <v>72</v>
      </c>
      <c r="AF945" t="s">
        <v>45</v>
      </c>
    </row>
    <row r="946" spans="1:32" x14ac:dyDescent="0.25">
      <c r="A946">
        <v>1264</v>
      </c>
      <c r="B946">
        <v>29</v>
      </c>
      <c r="C946" t="s">
        <v>43</v>
      </c>
      <c r="D946" t="s">
        <v>33</v>
      </c>
      <c r="E946" t="s">
        <v>34</v>
      </c>
      <c r="F946" t="s">
        <v>49</v>
      </c>
      <c r="G946" t="s">
        <v>59</v>
      </c>
      <c r="H946" t="s">
        <v>47</v>
      </c>
      <c r="I946" t="s">
        <v>38</v>
      </c>
      <c r="J946" t="s">
        <v>71</v>
      </c>
      <c r="K946">
        <v>4</v>
      </c>
      <c r="L946">
        <v>3</v>
      </c>
      <c r="M946" t="s">
        <v>60</v>
      </c>
      <c r="N946" t="s">
        <v>52</v>
      </c>
      <c r="O946" t="s">
        <v>53</v>
      </c>
      <c r="P946" t="s">
        <v>43</v>
      </c>
      <c r="Q946">
        <v>14</v>
      </c>
      <c r="R946">
        <v>3</v>
      </c>
      <c r="S946">
        <v>9</v>
      </c>
      <c r="T946">
        <v>1</v>
      </c>
      <c r="U946">
        <v>2</v>
      </c>
      <c r="V946">
        <v>1</v>
      </c>
      <c r="W946">
        <v>87</v>
      </c>
      <c r="X946">
        <v>694</v>
      </c>
      <c r="Y946">
        <v>3423</v>
      </c>
      <c r="Z946">
        <v>16124</v>
      </c>
      <c r="AA946">
        <v>2</v>
      </c>
      <c r="AB946">
        <v>34447</v>
      </c>
      <c r="AC946" s="10">
        <v>42490</v>
      </c>
      <c r="AD946" s="10" t="s">
        <v>72</v>
      </c>
      <c r="AE946" t="s">
        <v>72</v>
      </c>
      <c r="AF946" t="s">
        <v>45</v>
      </c>
    </row>
    <row r="947" spans="1:32" x14ac:dyDescent="0.25">
      <c r="A947">
        <v>1312</v>
      </c>
      <c r="B947">
        <v>36</v>
      </c>
      <c r="C947" t="s">
        <v>43</v>
      </c>
      <c r="D947" t="s">
        <v>33</v>
      </c>
      <c r="E947" t="s">
        <v>34</v>
      </c>
      <c r="F947" t="s">
        <v>35</v>
      </c>
      <c r="G947" t="s">
        <v>59</v>
      </c>
      <c r="H947" t="s">
        <v>47</v>
      </c>
      <c r="I947" t="s">
        <v>50</v>
      </c>
      <c r="J947" t="s">
        <v>62</v>
      </c>
      <c r="K947">
        <v>3</v>
      </c>
      <c r="L947">
        <v>3</v>
      </c>
      <c r="M947" t="s">
        <v>48</v>
      </c>
      <c r="N947" t="s">
        <v>61</v>
      </c>
      <c r="O947" t="s">
        <v>42</v>
      </c>
      <c r="P947" t="s">
        <v>43</v>
      </c>
      <c r="Q947">
        <v>12</v>
      </c>
      <c r="R947">
        <v>3</v>
      </c>
      <c r="S947">
        <v>10</v>
      </c>
      <c r="T947">
        <v>1</v>
      </c>
      <c r="U947">
        <v>3</v>
      </c>
      <c r="V947">
        <v>10</v>
      </c>
      <c r="W947">
        <v>63</v>
      </c>
      <c r="X947">
        <v>325</v>
      </c>
      <c r="Y947">
        <v>5747</v>
      </c>
      <c r="Z947">
        <v>7094</v>
      </c>
      <c r="AA947">
        <v>0</v>
      </c>
      <c r="AB947">
        <v>31723</v>
      </c>
      <c r="AC947" s="10">
        <v>42502</v>
      </c>
      <c r="AD947" s="10" t="s">
        <v>72</v>
      </c>
      <c r="AE947" t="s">
        <v>72</v>
      </c>
      <c r="AF947" t="s">
        <v>45</v>
      </c>
    </row>
    <row r="948" spans="1:32" x14ac:dyDescent="0.25">
      <c r="A948">
        <v>1830</v>
      </c>
      <c r="B948">
        <v>54</v>
      </c>
      <c r="C948" t="s">
        <v>43</v>
      </c>
      <c r="D948" t="s">
        <v>33</v>
      </c>
      <c r="E948" t="s">
        <v>34</v>
      </c>
      <c r="F948" t="s">
        <v>35</v>
      </c>
      <c r="G948" t="s">
        <v>59</v>
      </c>
      <c r="H948" t="s">
        <v>47</v>
      </c>
      <c r="I948" t="s">
        <v>50</v>
      </c>
      <c r="J948" t="s">
        <v>39</v>
      </c>
      <c r="K948">
        <v>4</v>
      </c>
      <c r="L948">
        <v>3</v>
      </c>
      <c r="M948" t="s">
        <v>60</v>
      </c>
      <c r="N948" t="s">
        <v>61</v>
      </c>
      <c r="O948" t="s">
        <v>36</v>
      </c>
      <c r="P948" t="s">
        <v>43</v>
      </c>
      <c r="Q948">
        <v>15</v>
      </c>
      <c r="R948">
        <v>4</v>
      </c>
      <c r="S948">
        <v>14</v>
      </c>
      <c r="T948">
        <v>1</v>
      </c>
      <c r="U948">
        <v>6</v>
      </c>
      <c r="V948">
        <v>7</v>
      </c>
      <c r="W948">
        <v>68</v>
      </c>
      <c r="X948">
        <v>431</v>
      </c>
      <c r="Y948">
        <v>15696</v>
      </c>
      <c r="Z948">
        <v>6854</v>
      </c>
      <c r="AA948">
        <v>2</v>
      </c>
      <c r="AB948">
        <v>25376</v>
      </c>
      <c r="AC948" s="10">
        <v>42540</v>
      </c>
      <c r="AD948" s="10" t="s">
        <v>72</v>
      </c>
      <c r="AE948" t="s">
        <v>72</v>
      </c>
      <c r="AF948" t="s">
        <v>55</v>
      </c>
    </row>
    <row r="949" spans="1:32" x14ac:dyDescent="0.25">
      <c r="A949">
        <v>1859</v>
      </c>
      <c r="B949">
        <v>29</v>
      </c>
      <c r="C949" t="s">
        <v>43</v>
      </c>
      <c r="D949" t="s">
        <v>33</v>
      </c>
      <c r="E949" t="s">
        <v>34</v>
      </c>
      <c r="F949" t="s">
        <v>64</v>
      </c>
      <c r="G949" t="s">
        <v>59</v>
      </c>
      <c r="H949" t="s">
        <v>37</v>
      </c>
      <c r="I949" t="s">
        <v>36</v>
      </c>
      <c r="J949" t="s">
        <v>62</v>
      </c>
      <c r="K949">
        <v>3</v>
      </c>
      <c r="L949">
        <v>3</v>
      </c>
      <c r="M949" t="s">
        <v>48</v>
      </c>
      <c r="N949" t="s">
        <v>52</v>
      </c>
      <c r="O949" t="s">
        <v>53</v>
      </c>
      <c r="P949" t="s">
        <v>43</v>
      </c>
      <c r="Q949">
        <v>17</v>
      </c>
      <c r="R949">
        <v>8</v>
      </c>
      <c r="S949">
        <v>11</v>
      </c>
      <c r="T949">
        <v>1</v>
      </c>
      <c r="U949">
        <v>6</v>
      </c>
      <c r="V949">
        <v>29</v>
      </c>
      <c r="W949">
        <v>93</v>
      </c>
      <c r="X949">
        <v>726</v>
      </c>
      <c r="Y949">
        <v>21143</v>
      </c>
      <c r="Z949">
        <v>6384</v>
      </c>
      <c r="AA949">
        <v>3</v>
      </c>
      <c r="AB949">
        <v>34310</v>
      </c>
      <c r="AC949" s="10">
        <v>42543</v>
      </c>
      <c r="AD949" s="10" t="s">
        <v>72</v>
      </c>
      <c r="AE949" t="s">
        <v>72</v>
      </c>
      <c r="AF949" t="s">
        <v>45</v>
      </c>
    </row>
    <row r="950" spans="1:32" x14ac:dyDescent="0.25">
      <c r="A950">
        <v>1221</v>
      </c>
      <c r="B950">
        <v>36</v>
      </c>
      <c r="C950" t="s">
        <v>43</v>
      </c>
      <c r="D950" t="s">
        <v>33</v>
      </c>
      <c r="E950" t="s">
        <v>34</v>
      </c>
      <c r="F950" t="s">
        <v>35</v>
      </c>
      <c r="G950" t="s">
        <v>50</v>
      </c>
      <c r="H950" t="s">
        <v>37</v>
      </c>
      <c r="I950" t="s">
        <v>36</v>
      </c>
      <c r="J950" t="s">
        <v>51</v>
      </c>
      <c r="K950">
        <v>3</v>
      </c>
      <c r="L950">
        <v>3</v>
      </c>
      <c r="M950" t="s">
        <v>48</v>
      </c>
      <c r="N950" t="s">
        <v>52</v>
      </c>
      <c r="O950" t="s">
        <v>36</v>
      </c>
      <c r="P950" t="s">
        <v>43</v>
      </c>
      <c r="Q950">
        <v>14</v>
      </c>
      <c r="R950">
        <v>1</v>
      </c>
      <c r="S950">
        <v>7</v>
      </c>
      <c r="T950">
        <v>1</v>
      </c>
      <c r="U950">
        <v>4</v>
      </c>
      <c r="V950">
        <v>6</v>
      </c>
      <c r="W950">
        <v>60</v>
      </c>
      <c r="X950">
        <v>917</v>
      </c>
      <c r="Y950">
        <v>6865</v>
      </c>
      <c r="Z950">
        <v>2741</v>
      </c>
      <c r="AA950">
        <v>4</v>
      </c>
      <c r="AB950">
        <v>31852</v>
      </c>
      <c r="AC950" s="10">
        <v>42554</v>
      </c>
      <c r="AD950" s="10" t="s">
        <v>72</v>
      </c>
      <c r="AE950" t="s">
        <v>72</v>
      </c>
      <c r="AF950" t="s">
        <v>45</v>
      </c>
    </row>
    <row r="951" spans="1:32" x14ac:dyDescent="0.25">
      <c r="A951">
        <v>623</v>
      </c>
      <c r="B951">
        <v>37</v>
      </c>
      <c r="C951" t="s">
        <v>43</v>
      </c>
      <c r="D951" t="s">
        <v>33</v>
      </c>
      <c r="E951" t="s">
        <v>34</v>
      </c>
      <c r="F951" t="s">
        <v>49</v>
      </c>
      <c r="G951" t="s">
        <v>38</v>
      </c>
      <c r="H951" t="s">
        <v>47</v>
      </c>
      <c r="I951" t="s">
        <v>50</v>
      </c>
      <c r="J951" t="s">
        <v>65</v>
      </c>
      <c r="K951">
        <v>4</v>
      </c>
      <c r="L951">
        <v>3</v>
      </c>
      <c r="M951" t="s">
        <v>58</v>
      </c>
      <c r="N951" t="s">
        <v>41</v>
      </c>
      <c r="O951" t="s">
        <v>42</v>
      </c>
      <c r="P951" t="s">
        <v>43</v>
      </c>
      <c r="Q951">
        <v>17</v>
      </c>
      <c r="R951">
        <v>4</v>
      </c>
      <c r="S951">
        <v>12</v>
      </c>
      <c r="T951">
        <v>1</v>
      </c>
      <c r="U951">
        <v>2</v>
      </c>
      <c r="V951">
        <v>1</v>
      </c>
      <c r="W951">
        <v>59</v>
      </c>
      <c r="X951">
        <v>799</v>
      </c>
      <c r="Y951">
        <v>23848</v>
      </c>
      <c r="Z951">
        <v>7491</v>
      </c>
      <c r="AA951">
        <v>3</v>
      </c>
      <c r="AB951">
        <v>31458</v>
      </c>
      <c r="AC951" s="10">
        <v>42591</v>
      </c>
      <c r="AD951" s="10" t="s">
        <v>72</v>
      </c>
      <c r="AE951" t="s">
        <v>72</v>
      </c>
      <c r="AF951" t="s">
        <v>55</v>
      </c>
    </row>
    <row r="952" spans="1:32" x14ac:dyDescent="0.25">
      <c r="A952">
        <v>1751</v>
      </c>
      <c r="B952">
        <v>27</v>
      </c>
      <c r="C952" t="s">
        <v>43</v>
      </c>
      <c r="D952" t="s">
        <v>33</v>
      </c>
      <c r="E952" t="s">
        <v>34</v>
      </c>
      <c r="F952" t="s">
        <v>49</v>
      </c>
      <c r="G952" t="s">
        <v>50</v>
      </c>
      <c r="H952" t="s">
        <v>47</v>
      </c>
      <c r="I952" t="s">
        <v>50</v>
      </c>
      <c r="J952" t="s">
        <v>39</v>
      </c>
      <c r="K952">
        <v>4</v>
      </c>
      <c r="L952">
        <v>3</v>
      </c>
      <c r="M952" t="s">
        <v>60</v>
      </c>
      <c r="N952" t="s">
        <v>41</v>
      </c>
      <c r="O952" t="s">
        <v>42</v>
      </c>
      <c r="P952" t="s">
        <v>43</v>
      </c>
      <c r="Q952">
        <v>11</v>
      </c>
      <c r="R952">
        <v>1</v>
      </c>
      <c r="S952">
        <v>6</v>
      </c>
      <c r="T952">
        <v>1</v>
      </c>
      <c r="U952">
        <v>4</v>
      </c>
      <c r="V952">
        <v>8</v>
      </c>
      <c r="W952">
        <v>67</v>
      </c>
      <c r="X952">
        <v>1054</v>
      </c>
      <c r="Y952">
        <v>6152</v>
      </c>
      <c r="Z952">
        <v>3445</v>
      </c>
      <c r="AA952">
        <v>5</v>
      </c>
      <c r="AB952">
        <v>34947</v>
      </c>
      <c r="AC952" s="10">
        <v>42598</v>
      </c>
      <c r="AD952" s="10" t="s">
        <v>72</v>
      </c>
      <c r="AE952" t="s">
        <v>72</v>
      </c>
      <c r="AF952" t="s">
        <v>45</v>
      </c>
    </row>
    <row r="953" spans="1:32" x14ac:dyDescent="0.25">
      <c r="A953">
        <v>1609</v>
      </c>
      <c r="B953">
        <v>30</v>
      </c>
      <c r="C953" t="s">
        <v>43</v>
      </c>
      <c r="D953" t="s">
        <v>33</v>
      </c>
      <c r="E953" t="s">
        <v>34</v>
      </c>
      <c r="F953" t="s">
        <v>49</v>
      </c>
      <c r="G953" t="s">
        <v>38</v>
      </c>
      <c r="H953" t="s">
        <v>37</v>
      </c>
      <c r="I953" t="s">
        <v>38</v>
      </c>
      <c r="J953" t="s">
        <v>39</v>
      </c>
      <c r="K953">
        <v>2</v>
      </c>
      <c r="L953">
        <v>3</v>
      </c>
      <c r="M953" t="s">
        <v>60</v>
      </c>
      <c r="N953" t="s">
        <v>61</v>
      </c>
      <c r="O953" t="s">
        <v>36</v>
      </c>
      <c r="P953" t="s">
        <v>43</v>
      </c>
      <c r="Q953">
        <v>12</v>
      </c>
      <c r="R953">
        <v>1</v>
      </c>
      <c r="S953">
        <v>6</v>
      </c>
      <c r="T953">
        <v>1</v>
      </c>
      <c r="U953">
        <v>1</v>
      </c>
      <c r="V953">
        <v>7</v>
      </c>
      <c r="W953">
        <v>48</v>
      </c>
      <c r="X953">
        <v>241</v>
      </c>
      <c r="Y953">
        <v>5348</v>
      </c>
      <c r="Z953">
        <v>2141</v>
      </c>
      <c r="AA953">
        <v>3</v>
      </c>
      <c r="AB953">
        <v>33884</v>
      </c>
      <c r="AC953" s="10">
        <v>42622</v>
      </c>
      <c r="AD953" s="10" t="s">
        <v>72</v>
      </c>
      <c r="AE953" t="s">
        <v>72</v>
      </c>
      <c r="AF953" t="s">
        <v>45</v>
      </c>
    </row>
    <row r="954" spans="1:32" x14ac:dyDescent="0.25">
      <c r="A954">
        <v>639</v>
      </c>
      <c r="B954">
        <v>24</v>
      </c>
      <c r="C954" t="s">
        <v>43</v>
      </c>
      <c r="D954" t="s">
        <v>33</v>
      </c>
      <c r="E954" t="s">
        <v>34</v>
      </c>
      <c r="F954" t="s">
        <v>49</v>
      </c>
      <c r="G954" t="s">
        <v>38</v>
      </c>
      <c r="H954" t="s">
        <v>37</v>
      </c>
      <c r="I954" t="s">
        <v>59</v>
      </c>
      <c r="J954" t="s">
        <v>39</v>
      </c>
      <c r="K954">
        <v>4</v>
      </c>
      <c r="L954">
        <v>3</v>
      </c>
      <c r="M954" t="s">
        <v>48</v>
      </c>
      <c r="N954" t="s">
        <v>61</v>
      </c>
      <c r="O954" t="s">
        <v>53</v>
      </c>
      <c r="P954" t="s">
        <v>32</v>
      </c>
      <c r="Q954">
        <v>11</v>
      </c>
      <c r="R954">
        <v>1</v>
      </c>
      <c r="S954">
        <v>6</v>
      </c>
      <c r="T954">
        <v>1</v>
      </c>
      <c r="U954">
        <v>4</v>
      </c>
      <c r="V954">
        <v>23</v>
      </c>
      <c r="W954">
        <v>89</v>
      </c>
      <c r="X954">
        <v>691</v>
      </c>
      <c r="Y954">
        <v>21630</v>
      </c>
      <c r="Z954">
        <v>2725</v>
      </c>
      <c r="AA954">
        <v>3</v>
      </c>
      <c r="AB954">
        <v>36140</v>
      </c>
      <c r="AC954" s="10">
        <v>42646</v>
      </c>
      <c r="AD954" s="10" t="s">
        <v>72</v>
      </c>
      <c r="AE954" t="s">
        <v>72</v>
      </c>
      <c r="AF954" t="s">
        <v>45</v>
      </c>
    </row>
    <row r="955" spans="1:32" x14ac:dyDescent="0.25">
      <c r="A955">
        <v>856</v>
      </c>
      <c r="B955">
        <v>35</v>
      </c>
      <c r="C955" t="s">
        <v>43</v>
      </c>
      <c r="D955" t="s">
        <v>33</v>
      </c>
      <c r="E955" t="s">
        <v>34</v>
      </c>
      <c r="F955" t="s">
        <v>64</v>
      </c>
      <c r="G955" t="s">
        <v>50</v>
      </c>
      <c r="H955" t="s">
        <v>47</v>
      </c>
      <c r="I955" t="s">
        <v>38</v>
      </c>
      <c r="J955" t="s">
        <v>39</v>
      </c>
      <c r="K955">
        <v>1</v>
      </c>
      <c r="L955">
        <v>3</v>
      </c>
      <c r="M955" t="s">
        <v>60</v>
      </c>
      <c r="N955" t="s">
        <v>41</v>
      </c>
      <c r="O955" t="s">
        <v>42</v>
      </c>
      <c r="P955" t="s">
        <v>43</v>
      </c>
      <c r="Q955">
        <v>11</v>
      </c>
      <c r="R955">
        <v>1</v>
      </c>
      <c r="S955">
        <v>6</v>
      </c>
      <c r="T955">
        <v>1</v>
      </c>
      <c r="U955">
        <v>1</v>
      </c>
      <c r="V955">
        <v>27</v>
      </c>
      <c r="W955">
        <v>53</v>
      </c>
      <c r="X955">
        <v>1343</v>
      </c>
      <c r="Y955">
        <v>17852</v>
      </c>
      <c r="Z955">
        <v>2559</v>
      </c>
      <c r="AA955">
        <v>3</v>
      </c>
      <c r="AB955">
        <v>32211</v>
      </c>
      <c r="AC955" s="10">
        <v>42663</v>
      </c>
      <c r="AD955" s="10" t="s">
        <v>72</v>
      </c>
      <c r="AE955" t="s">
        <v>72</v>
      </c>
      <c r="AF955" t="s">
        <v>45</v>
      </c>
    </row>
    <row r="956" spans="1:32" x14ac:dyDescent="0.25">
      <c r="A956">
        <v>649</v>
      </c>
      <c r="B956">
        <v>34</v>
      </c>
      <c r="C956" t="s">
        <v>43</v>
      </c>
      <c r="D956" t="s">
        <v>33</v>
      </c>
      <c r="E956" t="s">
        <v>34</v>
      </c>
      <c r="F956" t="s">
        <v>67</v>
      </c>
      <c r="G956" t="s">
        <v>38</v>
      </c>
      <c r="H956" t="s">
        <v>37</v>
      </c>
      <c r="I956" t="s">
        <v>38</v>
      </c>
      <c r="J956" t="s">
        <v>39</v>
      </c>
      <c r="K956">
        <v>4</v>
      </c>
      <c r="L956">
        <v>3</v>
      </c>
      <c r="M956" t="s">
        <v>48</v>
      </c>
      <c r="N956" t="s">
        <v>61</v>
      </c>
      <c r="O956" t="s">
        <v>36</v>
      </c>
      <c r="P956" t="s">
        <v>32</v>
      </c>
      <c r="Q956">
        <v>13</v>
      </c>
      <c r="R956">
        <v>1</v>
      </c>
      <c r="S956">
        <v>6</v>
      </c>
      <c r="T956">
        <v>1</v>
      </c>
      <c r="U956">
        <v>3</v>
      </c>
      <c r="V956">
        <v>1</v>
      </c>
      <c r="W956">
        <v>83</v>
      </c>
      <c r="X956">
        <v>254</v>
      </c>
      <c r="Y956">
        <v>22794</v>
      </c>
      <c r="Z956">
        <v>3622</v>
      </c>
      <c r="AA956">
        <v>3</v>
      </c>
      <c r="AB956">
        <v>32449</v>
      </c>
      <c r="AC956" s="10">
        <v>42675</v>
      </c>
      <c r="AD956" s="10" t="s">
        <v>72</v>
      </c>
      <c r="AE956" t="s">
        <v>72</v>
      </c>
      <c r="AF956" t="s">
        <v>45</v>
      </c>
    </row>
    <row r="957" spans="1:32" x14ac:dyDescent="0.25">
      <c r="A957">
        <v>1161</v>
      </c>
      <c r="B957">
        <v>37</v>
      </c>
      <c r="C957" t="s">
        <v>43</v>
      </c>
      <c r="D957" t="s">
        <v>33</v>
      </c>
      <c r="E957" t="s">
        <v>34</v>
      </c>
      <c r="F957" t="s">
        <v>67</v>
      </c>
      <c r="G957" t="s">
        <v>50</v>
      </c>
      <c r="H957" t="s">
        <v>47</v>
      </c>
      <c r="I957" t="s">
        <v>38</v>
      </c>
      <c r="J957" t="s">
        <v>62</v>
      </c>
      <c r="K957">
        <v>4</v>
      </c>
      <c r="L957">
        <v>3</v>
      </c>
      <c r="M957" t="s">
        <v>48</v>
      </c>
      <c r="N957" t="s">
        <v>52</v>
      </c>
      <c r="O957" t="s">
        <v>53</v>
      </c>
      <c r="P957" t="s">
        <v>43</v>
      </c>
      <c r="Q957">
        <v>13</v>
      </c>
      <c r="R957">
        <v>7</v>
      </c>
      <c r="S957">
        <v>9</v>
      </c>
      <c r="T957">
        <v>1</v>
      </c>
      <c r="U957">
        <v>3</v>
      </c>
      <c r="V957">
        <v>25</v>
      </c>
      <c r="W957">
        <v>52</v>
      </c>
      <c r="X957">
        <v>367</v>
      </c>
      <c r="Y957">
        <v>17171</v>
      </c>
      <c r="Z957">
        <v>5731</v>
      </c>
      <c r="AA957">
        <v>2</v>
      </c>
      <c r="AB957">
        <v>31437</v>
      </c>
      <c r="AC957" s="10">
        <v>42732</v>
      </c>
      <c r="AD957" s="10" t="s">
        <v>72</v>
      </c>
      <c r="AE957" t="s">
        <v>72</v>
      </c>
      <c r="AF957" t="s">
        <v>55</v>
      </c>
    </row>
    <row r="958" spans="1:32" x14ac:dyDescent="0.25">
      <c r="A958">
        <v>1438</v>
      </c>
      <c r="B958">
        <v>47</v>
      </c>
      <c r="C958" t="s">
        <v>43</v>
      </c>
      <c r="D958" t="s">
        <v>33</v>
      </c>
      <c r="E958" t="s">
        <v>34</v>
      </c>
      <c r="F958" t="s">
        <v>49</v>
      </c>
      <c r="G958" t="s">
        <v>36</v>
      </c>
      <c r="H958" t="s">
        <v>37</v>
      </c>
      <c r="I958" t="s">
        <v>50</v>
      </c>
      <c r="J958" t="s">
        <v>39</v>
      </c>
      <c r="K958">
        <v>4</v>
      </c>
      <c r="L958">
        <v>3</v>
      </c>
      <c r="M958" t="s">
        <v>60</v>
      </c>
      <c r="N958" t="s">
        <v>61</v>
      </c>
      <c r="O958" t="s">
        <v>36</v>
      </c>
      <c r="P958" t="s">
        <v>43</v>
      </c>
      <c r="Q958">
        <v>12</v>
      </c>
      <c r="R958">
        <v>7</v>
      </c>
      <c r="S958">
        <v>17</v>
      </c>
      <c r="T958">
        <v>1</v>
      </c>
      <c r="U958">
        <v>2</v>
      </c>
      <c r="V958">
        <v>1</v>
      </c>
      <c r="W958">
        <v>74</v>
      </c>
      <c r="X958">
        <v>465</v>
      </c>
      <c r="Y958">
        <v>10205</v>
      </c>
      <c r="Z958">
        <v>3420</v>
      </c>
      <c r="AA958">
        <v>2</v>
      </c>
      <c r="AB958">
        <v>27698</v>
      </c>
      <c r="AC958" s="10">
        <v>42736</v>
      </c>
      <c r="AD958" s="10" t="s">
        <v>72</v>
      </c>
      <c r="AE958" t="s">
        <v>72</v>
      </c>
      <c r="AF958" t="s">
        <v>45</v>
      </c>
    </row>
    <row r="959" spans="1:32" x14ac:dyDescent="0.25">
      <c r="A959">
        <v>346</v>
      </c>
      <c r="B959">
        <v>29</v>
      </c>
      <c r="C959" t="s">
        <v>43</v>
      </c>
      <c r="D959" t="s">
        <v>33</v>
      </c>
      <c r="E959" t="s">
        <v>34</v>
      </c>
      <c r="F959" t="s">
        <v>49</v>
      </c>
      <c r="G959" t="s">
        <v>50</v>
      </c>
      <c r="H959" t="s">
        <v>37</v>
      </c>
      <c r="I959" t="s">
        <v>50</v>
      </c>
      <c r="J959" t="s">
        <v>39</v>
      </c>
      <c r="K959">
        <v>4</v>
      </c>
      <c r="L959">
        <v>3</v>
      </c>
      <c r="M959" t="s">
        <v>48</v>
      </c>
      <c r="N959" t="s">
        <v>41</v>
      </c>
      <c r="O959" t="s">
        <v>42</v>
      </c>
      <c r="P959" t="s">
        <v>43</v>
      </c>
      <c r="Q959">
        <v>19</v>
      </c>
      <c r="R959">
        <v>1</v>
      </c>
      <c r="S959">
        <v>6</v>
      </c>
      <c r="T959">
        <v>1</v>
      </c>
      <c r="U959">
        <v>5</v>
      </c>
      <c r="V959">
        <v>15</v>
      </c>
      <c r="W959">
        <v>60</v>
      </c>
      <c r="X959">
        <v>665</v>
      </c>
      <c r="Y959">
        <v>22673</v>
      </c>
      <c r="Z959">
        <v>2340</v>
      </c>
      <c r="AA959">
        <v>1</v>
      </c>
      <c r="AB959">
        <v>34398</v>
      </c>
      <c r="AC959" s="10">
        <v>42767</v>
      </c>
      <c r="AD959" s="10" t="s">
        <v>72</v>
      </c>
      <c r="AE959" t="s">
        <v>72</v>
      </c>
      <c r="AF959" t="s">
        <v>45</v>
      </c>
    </row>
    <row r="960" spans="1:32" x14ac:dyDescent="0.25">
      <c r="A960">
        <v>1725</v>
      </c>
      <c r="B960">
        <v>24</v>
      </c>
      <c r="C960" t="s">
        <v>43</v>
      </c>
      <c r="D960" t="s">
        <v>33</v>
      </c>
      <c r="E960" t="s">
        <v>34</v>
      </c>
      <c r="F960" t="s">
        <v>64</v>
      </c>
      <c r="G960" t="s">
        <v>38</v>
      </c>
      <c r="H960" t="s">
        <v>37</v>
      </c>
      <c r="I960" t="s">
        <v>50</v>
      </c>
      <c r="J960" t="s">
        <v>51</v>
      </c>
      <c r="K960">
        <v>1</v>
      </c>
      <c r="L960">
        <v>3</v>
      </c>
      <c r="M960" t="s">
        <v>58</v>
      </c>
      <c r="N960" t="s">
        <v>52</v>
      </c>
      <c r="O960" t="s">
        <v>50</v>
      </c>
      <c r="P960" t="s">
        <v>43</v>
      </c>
      <c r="Q960">
        <v>13</v>
      </c>
      <c r="R960">
        <v>1</v>
      </c>
      <c r="S960">
        <v>6</v>
      </c>
      <c r="T960">
        <v>1</v>
      </c>
      <c r="U960">
        <v>2</v>
      </c>
      <c r="V960">
        <v>29</v>
      </c>
      <c r="W960">
        <v>91</v>
      </c>
      <c r="X960">
        <v>506</v>
      </c>
      <c r="Y960">
        <v>3622</v>
      </c>
      <c r="Z960">
        <v>3907</v>
      </c>
      <c r="AA960">
        <v>2</v>
      </c>
      <c r="AB960">
        <v>36267</v>
      </c>
      <c r="AC960" s="10">
        <v>42874</v>
      </c>
      <c r="AD960" s="10" t="s">
        <v>72</v>
      </c>
      <c r="AE960" t="s">
        <v>72</v>
      </c>
      <c r="AF960" t="s">
        <v>45</v>
      </c>
    </row>
    <row r="961" spans="1:32" x14ac:dyDescent="0.25">
      <c r="A961">
        <v>1260</v>
      </c>
      <c r="B961">
        <v>29</v>
      </c>
      <c r="C961" t="s">
        <v>43</v>
      </c>
      <c r="D961" t="s">
        <v>33</v>
      </c>
      <c r="E961" t="s">
        <v>34</v>
      </c>
      <c r="F961" t="s">
        <v>49</v>
      </c>
      <c r="G961" t="s">
        <v>50</v>
      </c>
      <c r="H961" t="s">
        <v>37</v>
      </c>
      <c r="I961" t="s">
        <v>50</v>
      </c>
      <c r="J961" t="s">
        <v>62</v>
      </c>
      <c r="K961">
        <v>4</v>
      </c>
      <c r="L961">
        <v>3</v>
      </c>
      <c r="M961" t="s">
        <v>48</v>
      </c>
      <c r="N961" t="s">
        <v>52</v>
      </c>
      <c r="O961" t="s">
        <v>53</v>
      </c>
      <c r="P961" t="s">
        <v>32</v>
      </c>
      <c r="Q961">
        <v>11</v>
      </c>
      <c r="R961">
        <v>1</v>
      </c>
      <c r="S961">
        <v>6</v>
      </c>
      <c r="T961">
        <v>1</v>
      </c>
      <c r="U961">
        <v>0</v>
      </c>
      <c r="V961">
        <v>7</v>
      </c>
      <c r="W961">
        <v>82</v>
      </c>
      <c r="X961">
        <v>1329</v>
      </c>
      <c r="Y961">
        <v>4204</v>
      </c>
      <c r="Z961">
        <v>6623</v>
      </c>
      <c r="AA961">
        <v>2</v>
      </c>
      <c r="AB961">
        <v>34221</v>
      </c>
      <c r="AC961" s="10">
        <v>42889</v>
      </c>
      <c r="AD961" s="10" t="s">
        <v>72</v>
      </c>
      <c r="AE961" t="s">
        <v>72</v>
      </c>
      <c r="AF961" t="s">
        <v>45</v>
      </c>
    </row>
    <row r="962" spans="1:32" x14ac:dyDescent="0.25">
      <c r="A962">
        <v>1434</v>
      </c>
      <c r="B962">
        <v>27</v>
      </c>
      <c r="C962" t="s">
        <v>43</v>
      </c>
      <c r="D962" t="s">
        <v>33</v>
      </c>
      <c r="E962" t="s">
        <v>34</v>
      </c>
      <c r="F962" t="s">
        <v>64</v>
      </c>
      <c r="G962" t="s">
        <v>38</v>
      </c>
      <c r="H962" t="s">
        <v>37</v>
      </c>
      <c r="I962" t="s">
        <v>50</v>
      </c>
      <c r="J962" t="s">
        <v>51</v>
      </c>
      <c r="K962">
        <v>1</v>
      </c>
      <c r="L962">
        <v>3</v>
      </c>
      <c r="M962" t="s">
        <v>58</v>
      </c>
      <c r="N962" t="s">
        <v>61</v>
      </c>
      <c r="O962" t="s">
        <v>42</v>
      </c>
      <c r="P962" t="s">
        <v>43</v>
      </c>
      <c r="Q962">
        <v>14</v>
      </c>
      <c r="R962">
        <v>0</v>
      </c>
      <c r="S962">
        <v>6</v>
      </c>
      <c r="T962">
        <v>1</v>
      </c>
      <c r="U962">
        <v>4</v>
      </c>
      <c r="V962">
        <v>11</v>
      </c>
      <c r="W962">
        <v>91</v>
      </c>
      <c r="X962">
        <v>1377</v>
      </c>
      <c r="Y962">
        <v>7679</v>
      </c>
      <c r="Z962">
        <v>2099</v>
      </c>
      <c r="AA962">
        <v>3</v>
      </c>
      <c r="AB962">
        <v>35211</v>
      </c>
      <c r="AC962" s="10">
        <v>42941</v>
      </c>
      <c r="AD962" s="10" t="s">
        <v>72</v>
      </c>
      <c r="AE962" t="s">
        <v>72</v>
      </c>
      <c r="AF962" t="s">
        <v>45</v>
      </c>
    </row>
    <row r="963" spans="1:32" x14ac:dyDescent="0.25">
      <c r="A963">
        <v>546</v>
      </c>
      <c r="B963">
        <v>52</v>
      </c>
      <c r="C963" t="s">
        <v>43</v>
      </c>
      <c r="D963" t="s">
        <v>33</v>
      </c>
      <c r="E963" t="s">
        <v>34</v>
      </c>
      <c r="F963" t="s">
        <v>67</v>
      </c>
      <c r="G963" t="s">
        <v>59</v>
      </c>
      <c r="H963" t="s">
        <v>47</v>
      </c>
      <c r="I963" t="s">
        <v>50</v>
      </c>
      <c r="J963" t="s">
        <v>69</v>
      </c>
      <c r="K963">
        <v>4</v>
      </c>
      <c r="L963">
        <v>3</v>
      </c>
      <c r="M963" t="s">
        <v>40</v>
      </c>
      <c r="N963" t="s">
        <v>61</v>
      </c>
      <c r="O963" t="s">
        <v>42</v>
      </c>
      <c r="P963" t="s">
        <v>43</v>
      </c>
      <c r="Q963">
        <v>13</v>
      </c>
      <c r="R963">
        <v>2</v>
      </c>
      <c r="S963">
        <v>31</v>
      </c>
      <c r="T963">
        <v>1</v>
      </c>
      <c r="U963">
        <v>4</v>
      </c>
      <c r="V963">
        <v>4</v>
      </c>
      <c r="W963">
        <v>30</v>
      </c>
      <c r="X963">
        <v>1490</v>
      </c>
      <c r="Y963">
        <v>10310</v>
      </c>
      <c r="Z963">
        <v>16555</v>
      </c>
      <c r="AA963">
        <v>2</v>
      </c>
      <c r="AB963">
        <v>25814</v>
      </c>
      <c r="AC963" s="10">
        <v>42945</v>
      </c>
      <c r="AD963" s="10" t="s">
        <v>72</v>
      </c>
      <c r="AE963" t="s">
        <v>72</v>
      </c>
      <c r="AF963" t="s">
        <v>45</v>
      </c>
    </row>
    <row r="964" spans="1:32" x14ac:dyDescent="0.25">
      <c r="A964">
        <v>1709</v>
      </c>
      <c r="B964">
        <v>29</v>
      </c>
      <c r="C964" t="s">
        <v>43</v>
      </c>
      <c r="D964" t="s">
        <v>33</v>
      </c>
      <c r="E964" t="s">
        <v>34</v>
      </c>
      <c r="F964" t="s">
        <v>35</v>
      </c>
      <c r="G964" t="s">
        <v>59</v>
      </c>
      <c r="H964" t="s">
        <v>47</v>
      </c>
      <c r="I964" t="s">
        <v>50</v>
      </c>
      <c r="J964" t="s">
        <v>51</v>
      </c>
      <c r="K964">
        <v>3</v>
      </c>
      <c r="L964">
        <v>3</v>
      </c>
      <c r="M964" t="s">
        <v>48</v>
      </c>
      <c r="N964" t="s">
        <v>61</v>
      </c>
      <c r="O964" t="s">
        <v>36</v>
      </c>
      <c r="P964" t="s">
        <v>43</v>
      </c>
      <c r="Q964">
        <v>17</v>
      </c>
      <c r="R964">
        <v>9</v>
      </c>
      <c r="S964">
        <v>9</v>
      </c>
      <c r="T964">
        <v>1</v>
      </c>
      <c r="U964">
        <v>2</v>
      </c>
      <c r="V964">
        <v>9</v>
      </c>
      <c r="W964">
        <v>43</v>
      </c>
      <c r="X964">
        <v>1082</v>
      </c>
      <c r="Y964">
        <v>25412</v>
      </c>
      <c r="Z964">
        <v>2974</v>
      </c>
      <c r="AA964">
        <v>2</v>
      </c>
      <c r="AB964">
        <v>34283</v>
      </c>
      <c r="AC964" s="10">
        <v>42958</v>
      </c>
      <c r="AD964" s="10" t="s">
        <v>72</v>
      </c>
      <c r="AE964" t="s">
        <v>72</v>
      </c>
      <c r="AF964" t="s">
        <v>45</v>
      </c>
    </row>
    <row r="965" spans="1:32" x14ac:dyDescent="0.25">
      <c r="A965">
        <v>730</v>
      </c>
      <c r="B965">
        <v>53</v>
      </c>
      <c r="C965" t="s">
        <v>43</v>
      </c>
      <c r="D965" t="s">
        <v>33</v>
      </c>
      <c r="E965" t="s">
        <v>34</v>
      </c>
      <c r="F965" t="s">
        <v>49</v>
      </c>
      <c r="G965" t="s">
        <v>50</v>
      </c>
      <c r="H965" t="s">
        <v>37</v>
      </c>
      <c r="I965" t="s">
        <v>59</v>
      </c>
      <c r="J965" t="s">
        <v>71</v>
      </c>
      <c r="K965">
        <v>3</v>
      </c>
      <c r="L965">
        <v>3</v>
      </c>
      <c r="M965" t="s">
        <v>48</v>
      </c>
      <c r="N965" t="s">
        <v>61</v>
      </c>
      <c r="O965" t="s">
        <v>42</v>
      </c>
      <c r="P965" t="s">
        <v>43</v>
      </c>
      <c r="Q965">
        <v>19</v>
      </c>
      <c r="R965">
        <v>3</v>
      </c>
      <c r="S965">
        <v>32</v>
      </c>
      <c r="T965">
        <v>1</v>
      </c>
      <c r="U965">
        <v>3</v>
      </c>
      <c r="V965">
        <v>7</v>
      </c>
      <c r="W965">
        <v>59</v>
      </c>
      <c r="X965">
        <v>970</v>
      </c>
      <c r="Y965">
        <v>13514</v>
      </c>
      <c r="Z965">
        <v>14814</v>
      </c>
      <c r="AA965">
        <v>3</v>
      </c>
      <c r="AB965">
        <v>25553</v>
      </c>
      <c r="AC965" s="10">
        <v>42990</v>
      </c>
      <c r="AD965" s="10" t="s">
        <v>72</v>
      </c>
      <c r="AE965" t="s">
        <v>72</v>
      </c>
      <c r="AF965" t="s">
        <v>45</v>
      </c>
    </row>
    <row r="966" spans="1:32" x14ac:dyDescent="0.25">
      <c r="A966">
        <v>865</v>
      </c>
      <c r="B966">
        <v>32</v>
      </c>
      <c r="C966" t="s">
        <v>43</v>
      </c>
      <c r="D966" t="s">
        <v>33</v>
      </c>
      <c r="E966" t="s">
        <v>34</v>
      </c>
      <c r="F966" t="s">
        <v>67</v>
      </c>
      <c r="G966" t="s">
        <v>50</v>
      </c>
      <c r="H966" t="s">
        <v>47</v>
      </c>
      <c r="I966" t="s">
        <v>59</v>
      </c>
      <c r="J966" t="s">
        <v>39</v>
      </c>
      <c r="K966">
        <v>3</v>
      </c>
      <c r="L966">
        <v>3</v>
      </c>
      <c r="M966" t="s">
        <v>60</v>
      </c>
      <c r="N966" t="s">
        <v>61</v>
      </c>
      <c r="O966" t="s">
        <v>36</v>
      </c>
      <c r="P966" t="s">
        <v>43</v>
      </c>
      <c r="Q966">
        <v>12</v>
      </c>
      <c r="R966">
        <v>5</v>
      </c>
      <c r="S966">
        <v>9</v>
      </c>
      <c r="T966">
        <v>1</v>
      </c>
      <c r="U966">
        <v>3</v>
      </c>
      <c r="V966">
        <v>8</v>
      </c>
      <c r="W966">
        <v>91</v>
      </c>
      <c r="X966">
        <v>638</v>
      </c>
      <c r="Y966">
        <v>22162</v>
      </c>
      <c r="Z966">
        <v>5175</v>
      </c>
      <c r="AA966">
        <v>3</v>
      </c>
      <c r="AB966">
        <v>33296</v>
      </c>
      <c r="AC966" s="10">
        <v>42997</v>
      </c>
      <c r="AD966" s="10" t="s">
        <v>72</v>
      </c>
      <c r="AE966" t="s">
        <v>72</v>
      </c>
      <c r="AF966" t="s">
        <v>55</v>
      </c>
    </row>
    <row r="967" spans="1:32" x14ac:dyDescent="0.25">
      <c r="A967">
        <v>1980</v>
      </c>
      <c r="B967">
        <v>54</v>
      </c>
      <c r="C967" t="s">
        <v>43</v>
      </c>
      <c r="D967" t="s">
        <v>33</v>
      </c>
      <c r="E967" t="s">
        <v>34</v>
      </c>
      <c r="F967" t="s">
        <v>49</v>
      </c>
      <c r="G967" t="s">
        <v>50</v>
      </c>
      <c r="H967" t="s">
        <v>47</v>
      </c>
      <c r="I967" t="s">
        <v>50</v>
      </c>
      <c r="J967" t="s">
        <v>65</v>
      </c>
      <c r="K967">
        <v>1</v>
      </c>
      <c r="L967">
        <v>3</v>
      </c>
      <c r="M967" t="s">
        <v>48</v>
      </c>
      <c r="N967" t="s">
        <v>41</v>
      </c>
      <c r="O967" t="s">
        <v>42</v>
      </c>
      <c r="P967" t="s">
        <v>32</v>
      </c>
      <c r="Q967">
        <v>19</v>
      </c>
      <c r="R967">
        <v>6</v>
      </c>
      <c r="S967">
        <v>9</v>
      </c>
      <c r="T967">
        <v>1</v>
      </c>
      <c r="U967">
        <v>4</v>
      </c>
      <c r="V967">
        <v>10</v>
      </c>
      <c r="W967">
        <v>77</v>
      </c>
      <c r="X967">
        <v>157</v>
      </c>
      <c r="Y967">
        <v>25198</v>
      </c>
      <c r="Z967">
        <v>4440</v>
      </c>
      <c r="AA967">
        <v>3</v>
      </c>
      <c r="AB967">
        <v>25129</v>
      </c>
      <c r="AC967" s="10">
        <v>43012</v>
      </c>
      <c r="AD967" s="10" t="s">
        <v>72</v>
      </c>
      <c r="AE967" t="s">
        <v>72</v>
      </c>
      <c r="AF967" t="s">
        <v>45</v>
      </c>
    </row>
    <row r="968" spans="1:32" x14ac:dyDescent="0.25">
      <c r="A968">
        <v>1755</v>
      </c>
      <c r="B968">
        <v>34</v>
      </c>
      <c r="C968" t="s">
        <v>43</v>
      </c>
      <c r="D968" t="s">
        <v>33</v>
      </c>
      <c r="E968" t="s">
        <v>34</v>
      </c>
      <c r="F968" t="s">
        <v>35</v>
      </c>
      <c r="G968" t="s">
        <v>59</v>
      </c>
      <c r="H968" t="s">
        <v>37</v>
      </c>
      <c r="I968" t="s">
        <v>59</v>
      </c>
      <c r="J968" t="s">
        <v>39</v>
      </c>
      <c r="K968">
        <v>4</v>
      </c>
      <c r="L968">
        <v>3</v>
      </c>
      <c r="M968" t="s">
        <v>48</v>
      </c>
      <c r="N968" t="s">
        <v>61</v>
      </c>
      <c r="O968" t="s">
        <v>50</v>
      </c>
      <c r="P968" t="s">
        <v>32</v>
      </c>
      <c r="Q968">
        <v>14</v>
      </c>
      <c r="R968">
        <v>0</v>
      </c>
      <c r="S968">
        <v>6</v>
      </c>
      <c r="T968">
        <v>1</v>
      </c>
      <c r="U968">
        <v>2</v>
      </c>
      <c r="V968">
        <v>2</v>
      </c>
      <c r="W968">
        <v>97</v>
      </c>
      <c r="X968">
        <v>181</v>
      </c>
      <c r="Y968">
        <v>5586</v>
      </c>
      <c r="Z968">
        <v>2932</v>
      </c>
      <c r="AA968">
        <v>3</v>
      </c>
      <c r="AB968">
        <v>32563</v>
      </c>
      <c r="AC968" s="10">
        <v>43058</v>
      </c>
      <c r="AD968" s="10" t="s">
        <v>72</v>
      </c>
      <c r="AE968" t="s">
        <v>72</v>
      </c>
      <c r="AF968" t="s">
        <v>55</v>
      </c>
    </row>
    <row r="969" spans="1:32" x14ac:dyDescent="0.25">
      <c r="A969">
        <v>799</v>
      </c>
      <c r="B969">
        <v>54</v>
      </c>
      <c r="C969" t="s">
        <v>43</v>
      </c>
      <c r="D969" t="s">
        <v>33</v>
      </c>
      <c r="E969" t="s">
        <v>34</v>
      </c>
      <c r="F969" t="s">
        <v>35</v>
      </c>
      <c r="G969" t="s">
        <v>59</v>
      </c>
      <c r="H969" t="s">
        <v>47</v>
      </c>
      <c r="I969" t="s">
        <v>50</v>
      </c>
      <c r="J969" t="s">
        <v>65</v>
      </c>
      <c r="K969">
        <v>1</v>
      </c>
      <c r="L969">
        <v>3</v>
      </c>
      <c r="M969" t="s">
        <v>48</v>
      </c>
      <c r="N969" t="s">
        <v>52</v>
      </c>
      <c r="O969" t="s">
        <v>53</v>
      </c>
      <c r="P969" t="s">
        <v>32</v>
      </c>
      <c r="Q969">
        <v>11</v>
      </c>
      <c r="R969">
        <v>9</v>
      </c>
      <c r="S969">
        <v>9</v>
      </c>
      <c r="T969">
        <v>1</v>
      </c>
      <c r="U969">
        <v>4</v>
      </c>
      <c r="V969">
        <v>19</v>
      </c>
      <c r="W969">
        <v>95</v>
      </c>
      <c r="X969">
        <v>376</v>
      </c>
      <c r="Y969">
        <v>22670</v>
      </c>
      <c r="Z969">
        <v>5485</v>
      </c>
      <c r="AA969">
        <v>4</v>
      </c>
      <c r="AB969">
        <v>25397</v>
      </c>
      <c r="AC969" s="10">
        <v>43060</v>
      </c>
      <c r="AD969" s="10" t="s">
        <v>72</v>
      </c>
      <c r="AE969" t="s">
        <v>72</v>
      </c>
      <c r="AF969" t="s">
        <v>45</v>
      </c>
    </row>
    <row r="970" spans="1:32" x14ac:dyDescent="0.25">
      <c r="A970">
        <v>386</v>
      </c>
      <c r="B970">
        <v>53</v>
      </c>
      <c r="C970" t="s">
        <v>43</v>
      </c>
      <c r="D970" t="s">
        <v>33</v>
      </c>
      <c r="E970" t="s">
        <v>34</v>
      </c>
      <c r="F970" t="s">
        <v>35</v>
      </c>
      <c r="G970" t="s">
        <v>50</v>
      </c>
      <c r="H970" t="s">
        <v>37</v>
      </c>
      <c r="I970" t="s">
        <v>50</v>
      </c>
      <c r="J970" t="s">
        <v>71</v>
      </c>
      <c r="K970">
        <v>3</v>
      </c>
      <c r="L970">
        <v>3</v>
      </c>
      <c r="M970" t="s">
        <v>60</v>
      </c>
      <c r="N970" t="s">
        <v>61</v>
      </c>
      <c r="O970" t="s">
        <v>50</v>
      </c>
      <c r="P970" t="s">
        <v>32</v>
      </c>
      <c r="Q970">
        <v>16</v>
      </c>
      <c r="R970">
        <v>3</v>
      </c>
      <c r="S970">
        <v>21</v>
      </c>
      <c r="T970">
        <v>1</v>
      </c>
      <c r="U970">
        <v>3</v>
      </c>
      <c r="V970">
        <v>3</v>
      </c>
      <c r="W970">
        <v>45</v>
      </c>
      <c r="X970">
        <v>1070</v>
      </c>
      <c r="Y970">
        <v>21016</v>
      </c>
      <c r="Z970">
        <v>17584</v>
      </c>
      <c r="AA970">
        <v>5</v>
      </c>
      <c r="AB970">
        <v>25601</v>
      </c>
      <c r="AC970" s="10">
        <v>43086</v>
      </c>
      <c r="AD970" s="10" t="s">
        <v>72</v>
      </c>
      <c r="AE970" t="s">
        <v>72</v>
      </c>
      <c r="AF970" t="s">
        <v>55</v>
      </c>
    </row>
    <row r="971" spans="1:32" x14ac:dyDescent="0.25">
      <c r="A971">
        <v>223</v>
      </c>
      <c r="B971">
        <v>57</v>
      </c>
      <c r="C971" t="s">
        <v>43</v>
      </c>
      <c r="D971" t="s">
        <v>33</v>
      </c>
      <c r="E971" t="s">
        <v>34</v>
      </c>
      <c r="F971" t="s">
        <v>67</v>
      </c>
      <c r="G971" t="s">
        <v>50</v>
      </c>
      <c r="H971" t="s">
        <v>37</v>
      </c>
      <c r="I971" t="s">
        <v>59</v>
      </c>
      <c r="J971" t="s">
        <v>62</v>
      </c>
      <c r="K971">
        <v>4</v>
      </c>
      <c r="L971">
        <v>3</v>
      </c>
      <c r="M971" t="s">
        <v>40</v>
      </c>
      <c r="N971" t="s">
        <v>52</v>
      </c>
      <c r="O971" t="s">
        <v>36</v>
      </c>
      <c r="P971" t="s">
        <v>32</v>
      </c>
      <c r="Q971">
        <v>16</v>
      </c>
      <c r="R971">
        <v>3</v>
      </c>
      <c r="S971">
        <v>12</v>
      </c>
      <c r="T971">
        <v>1</v>
      </c>
      <c r="U971">
        <v>4</v>
      </c>
      <c r="V971">
        <v>24</v>
      </c>
      <c r="W971">
        <v>83</v>
      </c>
      <c r="X971">
        <v>334</v>
      </c>
      <c r="Y971">
        <v>23402</v>
      </c>
      <c r="Z971">
        <v>9439</v>
      </c>
      <c r="AA971">
        <v>2</v>
      </c>
      <c r="AB971">
        <v>23963</v>
      </c>
      <c r="AC971" s="10">
        <v>43104</v>
      </c>
      <c r="AD971" s="10" t="s">
        <v>72</v>
      </c>
      <c r="AE971" t="s">
        <v>72</v>
      </c>
      <c r="AF971" t="s">
        <v>45</v>
      </c>
    </row>
    <row r="972" spans="1:32" x14ac:dyDescent="0.25">
      <c r="A972">
        <v>1475</v>
      </c>
      <c r="B972">
        <v>44</v>
      </c>
      <c r="C972" t="s">
        <v>43</v>
      </c>
      <c r="D972" t="s">
        <v>33</v>
      </c>
      <c r="E972" t="s">
        <v>34</v>
      </c>
      <c r="F972" t="s">
        <v>49</v>
      </c>
      <c r="G972" t="s">
        <v>59</v>
      </c>
      <c r="H972" t="s">
        <v>37</v>
      </c>
      <c r="I972" t="s">
        <v>50</v>
      </c>
      <c r="J972" t="s">
        <v>39</v>
      </c>
      <c r="K972">
        <v>2</v>
      </c>
      <c r="L972">
        <v>3</v>
      </c>
      <c r="M972" t="s">
        <v>60</v>
      </c>
      <c r="N972" t="s">
        <v>41</v>
      </c>
      <c r="O972" t="s">
        <v>42</v>
      </c>
      <c r="P972" t="s">
        <v>43</v>
      </c>
      <c r="Q972">
        <v>13</v>
      </c>
      <c r="R972">
        <v>1</v>
      </c>
      <c r="S972">
        <v>6</v>
      </c>
      <c r="T972">
        <v>1</v>
      </c>
      <c r="U972">
        <v>3</v>
      </c>
      <c r="V972">
        <v>20</v>
      </c>
      <c r="W972">
        <v>49</v>
      </c>
      <c r="X972">
        <v>1467</v>
      </c>
      <c r="Y972">
        <v>21158</v>
      </c>
      <c r="Z972">
        <v>3420</v>
      </c>
      <c r="AA972">
        <v>3</v>
      </c>
      <c r="AB972">
        <v>28720</v>
      </c>
      <c r="AC972" s="10">
        <v>43104</v>
      </c>
      <c r="AD972" s="10" t="s">
        <v>72</v>
      </c>
      <c r="AE972" t="s">
        <v>72</v>
      </c>
      <c r="AF972" t="s">
        <v>45</v>
      </c>
    </row>
    <row r="973" spans="1:32" x14ac:dyDescent="0.25">
      <c r="A973">
        <v>46</v>
      </c>
      <c r="B973">
        <v>43</v>
      </c>
      <c r="C973" t="s">
        <v>43</v>
      </c>
      <c r="D973" t="s">
        <v>33</v>
      </c>
      <c r="E973" t="s">
        <v>34</v>
      </c>
      <c r="F973" t="s">
        <v>67</v>
      </c>
      <c r="G973" t="s">
        <v>59</v>
      </c>
      <c r="H973" t="s">
        <v>47</v>
      </c>
      <c r="I973" t="s">
        <v>59</v>
      </c>
      <c r="J973" t="s">
        <v>39</v>
      </c>
      <c r="K973">
        <v>3</v>
      </c>
      <c r="L973">
        <v>3</v>
      </c>
      <c r="M973" t="s">
        <v>60</v>
      </c>
      <c r="N973" t="s">
        <v>52</v>
      </c>
      <c r="O973" t="s">
        <v>53</v>
      </c>
      <c r="P973" t="s">
        <v>43</v>
      </c>
      <c r="Q973">
        <v>12</v>
      </c>
      <c r="R973">
        <v>1</v>
      </c>
      <c r="S973">
        <v>6</v>
      </c>
      <c r="T973">
        <v>1</v>
      </c>
      <c r="U973">
        <v>4</v>
      </c>
      <c r="V973">
        <v>2</v>
      </c>
      <c r="W973">
        <v>72</v>
      </c>
      <c r="X973">
        <v>1273</v>
      </c>
      <c r="Y973">
        <v>21923</v>
      </c>
      <c r="Z973">
        <v>2645</v>
      </c>
      <c r="AA973">
        <v>3</v>
      </c>
      <c r="AB973">
        <v>29099</v>
      </c>
      <c r="AC973" s="10">
        <v>43136</v>
      </c>
      <c r="AD973" s="10" t="s">
        <v>72</v>
      </c>
      <c r="AE973" t="s">
        <v>72</v>
      </c>
      <c r="AF973" t="s">
        <v>45</v>
      </c>
    </row>
    <row r="974" spans="1:32" x14ac:dyDescent="0.25">
      <c r="A974">
        <v>233</v>
      </c>
      <c r="B974">
        <v>27</v>
      </c>
      <c r="C974" t="s">
        <v>43</v>
      </c>
      <c r="D974" t="s">
        <v>33</v>
      </c>
      <c r="E974" t="s">
        <v>34</v>
      </c>
      <c r="F974" t="s">
        <v>49</v>
      </c>
      <c r="G974" t="s">
        <v>50</v>
      </c>
      <c r="H974" t="s">
        <v>37</v>
      </c>
      <c r="I974" t="s">
        <v>50</v>
      </c>
      <c r="J974" t="s">
        <v>39</v>
      </c>
      <c r="K974">
        <v>2</v>
      </c>
      <c r="L974">
        <v>3</v>
      </c>
      <c r="M974" t="s">
        <v>60</v>
      </c>
      <c r="N974" t="s">
        <v>61</v>
      </c>
      <c r="O974" t="s">
        <v>36</v>
      </c>
      <c r="P974" t="s">
        <v>32</v>
      </c>
      <c r="Q974">
        <v>16</v>
      </c>
      <c r="R974">
        <v>0</v>
      </c>
      <c r="S974">
        <v>6</v>
      </c>
      <c r="T974">
        <v>1</v>
      </c>
      <c r="U974">
        <v>1</v>
      </c>
      <c r="V974">
        <v>17</v>
      </c>
      <c r="W974">
        <v>51</v>
      </c>
      <c r="X974">
        <v>1157</v>
      </c>
      <c r="Y974">
        <v>13364</v>
      </c>
      <c r="Z974">
        <v>3058</v>
      </c>
      <c r="AA974">
        <v>3</v>
      </c>
      <c r="AB974">
        <v>35028</v>
      </c>
      <c r="AC974" s="10">
        <v>43136</v>
      </c>
      <c r="AD974" s="10" t="s">
        <v>72</v>
      </c>
      <c r="AE974" t="s">
        <v>72</v>
      </c>
      <c r="AF974" t="s">
        <v>55</v>
      </c>
    </row>
    <row r="975" spans="1:32" x14ac:dyDescent="0.25">
      <c r="A975">
        <v>1982</v>
      </c>
      <c r="B975">
        <v>23</v>
      </c>
      <c r="C975" t="s">
        <v>43</v>
      </c>
      <c r="D975" t="s">
        <v>33</v>
      </c>
      <c r="E975" t="s">
        <v>34</v>
      </c>
      <c r="F975" t="s">
        <v>67</v>
      </c>
      <c r="G975" t="s">
        <v>59</v>
      </c>
      <c r="H975" t="s">
        <v>37</v>
      </c>
      <c r="I975" t="s">
        <v>50</v>
      </c>
      <c r="J975" t="s">
        <v>51</v>
      </c>
      <c r="K975">
        <v>4</v>
      </c>
      <c r="L975">
        <v>3</v>
      </c>
      <c r="M975" t="s">
        <v>58</v>
      </c>
      <c r="N975" t="s">
        <v>41</v>
      </c>
      <c r="O975" t="s">
        <v>42</v>
      </c>
      <c r="P975" t="s">
        <v>43</v>
      </c>
      <c r="Q975">
        <v>13</v>
      </c>
      <c r="R975">
        <v>1</v>
      </c>
      <c r="S975">
        <v>5</v>
      </c>
      <c r="T975">
        <v>1</v>
      </c>
      <c r="U975">
        <v>4</v>
      </c>
      <c r="V975">
        <v>12</v>
      </c>
      <c r="W975">
        <v>78</v>
      </c>
      <c r="X975">
        <v>571</v>
      </c>
      <c r="Y975">
        <v>13672</v>
      </c>
      <c r="Z975">
        <v>2647</v>
      </c>
      <c r="AA975">
        <v>6</v>
      </c>
      <c r="AB975">
        <v>36659</v>
      </c>
      <c r="AC975" s="10">
        <v>43166</v>
      </c>
      <c r="AD975" s="10" t="s">
        <v>72</v>
      </c>
      <c r="AE975" t="s">
        <v>72</v>
      </c>
      <c r="AF975" t="s">
        <v>55</v>
      </c>
    </row>
    <row r="976" spans="1:32" x14ac:dyDescent="0.25">
      <c r="A976">
        <v>198</v>
      </c>
      <c r="B976">
        <v>30</v>
      </c>
      <c r="C976" t="s">
        <v>43</v>
      </c>
      <c r="D976" t="s">
        <v>33</v>
      </c>
      <c r="E976" t="s">
        <v>34</v>
      </c>
      <c r="F976" t="s">
        <v>64</v>
      </c>
      <c r="G976" t="s">
        <v>38</v>
      </c>
      <c r="H976" t="s">
        <v>37</v>
      </c>
      <c r="I976" t="s">
        <v>38</v>
      </c>
      <c r="J976" t="s">
        <v>51</v>
      </c>
      <c r="K976">
        <v>4</v>
      </c>
      <c r="L976">
        <v>3</v>
      </c>
      <c r="M976" t="s">
        <v>48</v>
      </c>
      <c r="N976" t="s">
        <v>41</v>
      </c>
      <c r="O976" t="s">
        <v>42</v>
      </c>
      <c r="P976" t="s">
        <v>43</v>
      </c>
      <c r="Q976">
        <v>13</v>
      </c>
      <c r="R976">
        <v>0</v>
      </c>
      <c r="S976">
        <v>6</v>
      </c>
      <c r="T976">
        <v>1</v>
      </c>
      <c r="U976">
        <v>2</v>
      </c>
      <c r="V976">
        <v>2</v>
      </c>
      <c r="W976">
        <v>35</v>
      </c>
      <c r="X976">
        <v>1427</v>
      </c>
      <c r="Y976">
        <v>11162</v>
      </c>
      <c r="Z976">
        <v>2720</v>
      </c>
      <c r="AA976">
        <v>3</v>
      </c>
      <c r="AB976">
        <v>33861</v>
      </c>
      <c r="AC976" s="10">
        <v>43169</v>
      </c>
      <c r="AD976" s="10" t="s">
        <v>72</v>
      </c>
      <c r="AE976" t="s">
        <v>72</v>
      </c>
      <c r="AF976" t="s">
        <v>45</v>
      </c>
    </row>
    <row r="977" spans="1:32" x14ac:dyDescent="0.25">
      <c r="A977">
        <v>517</v>
      </c>
      <c r="B977">
        <v>42</v>
      </c>
      <c r="C977" t="s">
        <v>43</v>
      </c>
      <c r="D977" t="s">
        <v>33</v>
      </c>
      <c r="E977" t="s">
        <v>34</v>
      </c>
      <c r="F977" t="s">
        <v>35</v>
      </c>
      <c r="G977" t="s">
        <v>38</v>
      </c>
      <c r="H977" t="s">
        <v>47</v>
      </c>
      <c r="I977" t="s">
        <v>50</v>
      </c>
      <c r="J977" t="s">
        <v>51</v>
      </c>
      <c r="K977">
        <v>1</v>
      </c>
      <c r="L977">
        <v>3</v>
      </c>
      <c r="M977" t="s">
        <v>48</v>
      </c>
      <c r="N977" t="s">
        <v>52</v>
      </c>
      <c r="O977" t="s">
        <v>36</v>
      </c>
      <c r="P977" t="s">
        <v>43</v>
      </c>
      <c r="Q977">
        <v>16</v>
      </c>
      <c r="R977">
        <v>3</v>
      </c>
      <c r="S977">
        <v>8</v>
      </c>
      <c r="T977">
        <v>1</v>
      </c>
      <c r="U977">
        <v>2</v>
      </c>
      <c r="V977">
        <v>1</v>
      </c>
      <c r="W977">
        <v>95</v>
      </c>
      <c r="X977">
        <v>201</v>
      </c>
      <c r="Y977">
        <v>20490</v>
      </c>
      <c r="Z977">
        <v>2576</v>
      </c>
      <c r="AA977">
        <v>5</v>
      </c>
      <c r="AB977">
        <v>29773</v>
      </c>
      <c r="AC977" s="10">
        <v>43172</v>
      </c>
      <c r="AD977" s="10" t="s">
        <v>72</v>
      </c>
      <c r="AE977" t="s">
        <v>72</v>
      </c>
      <c r="AF977" t="s">
        <v>45</v>
      </c>
    </row>
    <row r="978" spans="1:32" x14ac:dyDescent="0.25">
      <c r="A978">
        <v>1083</v>
      </c>
      <c r="B978">
        <v>26</v>
      </c>
      <c r="C978" t="s">
        <v>43</v>
      </c>
      <c r="D978" t="s">
        <v>33</v>
      </c>
      <c r="E978" t="s">
        <v>34</v>
      </c>
      <c r="F978" t="s">
        <v>67</v>
      </c>
      <c r="G978" t="s">
        <v>36</v>
      </c>
      <c r="H978" t="s">
        <v>37</v>
      </c>
      <c r="I978" t="s">
        <v>38</v>
      </c>
      <c r="J978" t="s">
        <v>51</v>
      </c>
      <c r="K978">
        <v>1</v>
      </c>
      <c r="L978">
        <v>3</v>
      </c>
      <c r="M978" t="s">
        <v>48</v>
      </c>
      <c r="N978" t="s">
        <v>61</v>
      </c>
      <c r="O978" t="s">
        <v>53</v>
      </c>
      <c r="P978" t="s">
        <v>43</v>
      </c>
      <c r="Q978">
        <v>16</v>
      </c>
      <c r="R978">
        <v>1</v>
      </c>
      <c r="S978">
        <v>6</v>
      </c>
      <c r="T978">
        <v>1</v>
      </c>
      <c r="U978">
        <v>3</v>
      </c>
      <c r="V978">
        <v>1</v>
      </c>
      <c r="W978">
        <v>59</v>
      </c>
      <c r="X978">
        <v>192</v>
      </c>
      <c r="Y978">
        <v>11141</v>
      </c>
      <c r="Z978">
        <v>3955</v>
      </c>
      <c r="AA978">
        <v>2</v>
      </c>
      <c r="AB978">
        <v>35404</v>
      </c>
      <c r="AC978" s="10">
        <v>43191</v>
      </c>
      <c r="AD978" s="10" t="s">
        <v>72</v>
      </c>
      <c r="AE978" t="s">
        <v>72</v>
      </c>
      <c r="AF978" t="s">
        <v>45</v>
      </c>
    </row>
    <row r="979" spans="1:32" x14ac:dyDescent="0.25">
      <c r="A979">
        <v>1202</v>
      </c>
      <c r="B979">
        <v>29</v>
      </c>
      <c r="C979" t="s">
        <v>43</v>
      </c>
      <c r="D979" t="s">
        <v>33</v>
      </c>
      <c r="E979" t="s">
        <v>34</v>
      </c>
      <c r="F979" t="s">
        <v>64</v>
      </c>
      <c r="G979" t="s">
        <v>38</v>
      </c>
      <c r="H979" t="s">
        <v>47</v>
      </c>
      <c r="I979" t="s">
        <v>36</v>
      </c>
      <c r="J979" t="s">
        <v>39</v>
      </c>
      <c r="K979">
        <v>4</v>
      </c>
      <c r="L979">
        <v>3</v>
      </c>
      <c r="M979" t="s">
        <v>60</v>
      </c>
      <c r="N979" t="s">
        <v>61</v>
      </c>
      <c r="O979" t="s">
        <v>36</v>
      </c>
      <c r="P979" t="s">
        <v>32</v>
      </c>
      <c r="Q979">
        <v>18</v>
      </c>
      <c r="R979">
        <v>0</v>
      </c>
      <c r="S979">
        <v>6</v>
      </c>
      <c r="T979">
        <v>1</v>
      </c>
      <c r="U979">
        <v>3</v>
      </c>
      <c r="V979">
        <v>15</v>
      </c>
      <c r="W979">
        <v>69</v>
      </c>
      <c r="X979">
        <v>942</v>
      </c>
      <c r="Y979">
        <v>26933</v>
      </c>
      <c r="Z979">
        <v>2168</v>
      </c>
      <c r="AA979">
        <v>2</v>
      </c>
      <c r="AB979">
        <v>34486</v>
      </c>
      <c r="AC979" s="10">
        <v>43206</v>
      </c>
      <c r="AD979" s="10" t="s">
        <v>72</v>
      </c>
      <c r="AE979" t="s">
        <v>72</v>
      </c>
      <c r="AF979" t="s">
        <v>45</v>
      </c>
    </row>
    <row r="980" spans="1:32" x14ac:dyDescent="0.25">
      <c r="A980">
        <v>505</v>
      </c>
      <c r="B980">
        <v>55</v>
      </c>
      <c r="C980" t="s">
        <v>43</v>
      </c>
      <c r="D980" t="s">
        <v>33</v>
      </c>
      <c r="E980" t="s">
        <v>34</v>
      </c>
      <c r="F980" t="s">
        <v>49</v>
      </c>
      <c r="G980" t="s">
        <v>50</v>
      </c>
      <c r="H980" t="s">
        <v>47</v>
      </c>
      <c r="I980" t="s">
        <v>50</v>
      </c>
      <c r="J980" t="s">
        <v>69</v>
      </c>
      <c r="K980">
        <v>4</v>
      </c>
      <c r="L980">
        <v>3</v>
      </c>
      <c r="M980" t="s">
        <v>48</v>
      </c>
      <c r="N980" t="s">
        <v>41</v>
      </c>
      <c r="O980" t="s">
        <v>42</v>
      </c>
      <c r="P980" t="s">
        <v>32</v>
      </c>
      <c r="Q980">
        <v>13</v>
      </c>
      <c r="R980">
        <v>2</v>
      </c>
      <c r="S980">
        <v>30</v>
      </c>
      <c r="T980">
        <v>1</v>
      </c>
      <c r="U980">
        <v>2</v>
      </c>
      <c r="V980">
        <v>2</v>
      </c>
      <c r="W980">
        <v>97</v>
      </c>
      <c r="X980">
        <v>1311</v>
      </c>
      <c r="Y980">
        <v>23258</v>
      </c>
      <c r="Z980">
        <v>16659</v>
      </c>
      <c r="AA980">
        <v>2</v>
      </c>
      <c r="AB980">
        <v>24839</v>
      </c>
      <c r="AC980" s="10">
        <v>43213</v>
      </c>
      <c r="AD980" s="10" t="s">
        <v>72</v>
      </c>
      <c r="AE980" t="s">
        <v>72</v>
      </c>
      <c r="AF980" t="s">
        <v>45</v>
      </c>
    </row>
    <row r="981" spans="1:32" x14ac:dyDescent="0.25">
      <c r="A981">
        <v>466</v>
      </c>
      <c r="B981">
        <v>41</v>
      </c>
      <c r="C981" t="s">
        <v>43</v>
      </c>
      <c r="D981" t="s">
        <v>33</v>
      </c>
      <c r="E981" t="s">
        <v>34</v>
      </c>
      <c r="F981" t="s">
        <v>49</v>
      </c>
      <c r="G981" t="s">
        <v>59</v>
      </c>
      <c r="H981" t="s">
        <v>37</v>
      </c>
      <c r="I981" t="s">
        <v>38</v>
      </c>
      <c r="J981" t="s">
        <v>65</v>
      </c>
      <c r="K981">
        <v>2</v>
      </c>
      <c r="L981">
        <v>3</v>
      </c>
      <c r="M981" t="s">
        <v>48</v>
      </c>
      <c r="N981" t="s">
        <v>41</v>
      </c>
      <c r="O981" t="s">
        <v>42</v>
      </c>
      <c r="P981" t="s">
        <v>32</v>
      </c>
      <c r="Q981">
        <v>15</v>
      </c>
      <c r="R981">
        <v>6</v>
      </c>
      <c r="S981">
        <v>8</v>
      </c>
      <c r="T981">
        <v>1</v>
      </c>
      <c r="U981">
        <v>2</v>
      </c>
      <c r="V981">
        <v>6</v>
      </c>
      <c r="W981">
        <v>95</v>
      </c>
      <c r="X981">
        <v>483</v>
      </c>
      <c r="Y981">
        <v>10110</v>
      </c>
      <c r="Z981">
        <v>6032</v>
      </c>
      <c r="AA981">
        <v>3</v>
      </c>
      <c r="AB981">
        <v>29853</v>
      </c>
      <c r="AC981" s="10">
        <v>43251</v>
      </c>
      <c r="AD981" s="10" t="s">
        <v>72</v>
      </c>
      <c r="AE981" t="s">
        <v>72</v>
      </c>
      <c r="AF981" t="s">
        <v>45</v>
      </c>
    </row>
    <row r="982" spans="1:32" x14ac:dyDescent="0.25">
      <c r="A982">
        <v>110</v>
      </c>
      <c r="B982">
        <v>34</v>
      </c>
      <c r="C982" t="s">
        <v>43</v>
      </c>
      <c r="D982" t="s">
        <v>33</v>
      </c>
      <c r="E982" t="s">
        <v>34</v>
      </c>
      <c r="F982" t="s">
        <v>67</v>
      </c>
      <c r="G982" t="s">
        <v>36</v>
      </c>
      <c r="H982" t="s">
        <v>37</v>
      </c>
      <c r="I982" t="s">
        <v>50</v>
      </c>
      <c r="J982" t="s">
        <v>65</v>
      </c>
      <c r="K982">
        <v>2</v>
      </c>
      <c r="L982">
        <v>3</v>
      </c>
      <c r="M982" t="s">
        <v>48</v>
      </c>
      <c r="N982" t="s">
        <v>61</v>
      </c>
      <c r="O982" t="s">
        <v>42</v>
      </c>
      <c r="P982" t="s">
        <v>43</v>
      </c>
      <c r="Q982">
        <v>15</v>
      </c>
      <c r="R982">
        <v>1</v>
      </c>
      <c r="S982">
        <v>5</v>
      </c>
      <c r="T982">
        <v>1</v>
      </c>
      <c r="U982">
        <v>3</v>
      </c>
      <c r="V982">
        <v>1</v>
      </c>
      <c r="W982">
        <v>94</v>
      </c>
      <c r="X982">
        <v>1153</v>
      </c>
      <c r="Y982">
        <v>17736</v>
      </c>
      <c r="Z982">
        <v>4325</v>
      </c>
      <c r="AA982">
        <v>2</v>
      </c>
      <c r="AB982">
        <v>32453</v>
      </c>
      <c r="AC982" s="10">
        <v>43272</v>
      </c>
      <c r="AD982" s="10" t="s">
        <v>72</v>
      </c>
      <c r="AE982" t="s">
        <v>72</v>
      </c>
      <c r="AF982" t="s">
        <v>55</v>
      </c>
    </row>
    <row r="983" spans="1:32" x14ac:dyDescent="0.25">
      <c r="A983">
        <v>969</v>
      </c>
      <c r="B983">
        <v>33</v>
      </c>
      <c r="C983" t="s">
        <v>43</v>
      </c>
      <c r="D983" t="s">
        <v>33</v>
      </c>
      <c r="E983" t="s">
        <v>34</v>
      </c>
      <c r="F983" t="s">
        <v>49</v>
      </c>
      <c r="G983" t="s">
        <v>38</v>
      </c>
      <c r="H983" t="s">
        <v>47</v>
      </c>
      <c r="I983" t="s">
        <v>38</v>
      </c>
      <c r="J983" t="s">
        <v>62</v>
      </c>
      <c r="K983">
        <v>4</v>
      </c>
      <c r="L983">
        <v>3</v>
      </c>
      <c r="M983" t="s">
        <v>48</v>
      </c>
      <c r="N983" t="s">
        <v>41</v>
      </c>
      <c r="O983" t="s">
        <v>42</v>
      </c>
      <c r="P983" t="s">
        <v>43</v>
      </c>
      <c r="Q983">
        <v>14</v>
      </c>
      <c r="R983">
        <v>0</v>
      </c>
      <c r="S983">
        <v>6</v>
      </c>
      <c r="T983">
        <v>1</v>
      </c>
      <c r="U983">
        <v>4</v>
      </c>
      <c r="V983">
        <v>1</v>
      </c>
      <c r="W983">
        <v>42</v>
      </c>
      <c r="X983">
        <v>1069</v>
      </c>
      <c r="Y983">
        <v>12291</v>
      </c>
      <c r="Z983">
        <v>6949</v>
      </c>
      <c r="AA983">
        <v>3</v>
      </c>
      <c r="AB983">
        <v>32968</v>
      </c>
      <c r="AC983" s="10">
        <v>43275</v>
      </c>
      <c r="AD983" s="10" t="s">
        <v>72</v>
      </c>
      <c r="AE983" t="s">
        <v>72</v>
      </c>
      <c r="AF983" t="s">
        <v>55</v>
      </c>
    </row>
    <row r="984" spans="1:32" x14ac:dyDescent="0.25">
      <c r="A984">
        <v>1931</v>
      </c>
      <c r="B984">
        <v>27</v>
      </c>
      <c r="C984" t="s">
        <v>43</v>
      </c>
      <c r="D984" t="s">
        <v>33</v>
      </c>
      <c r="E984" t="s">
        <v>34</v>
      </c>
      <c r="F984" t="s">
        <v>35</v>
      </c>
      <c r="G984" t="s">
        <v>38</v>
      </c>
      <c r="H984" t="s">
        <v>37</v>
      </c>
      <c r="I984" t="s">
        <v>50</v>
      </c>
      <c r="J984" t="s">
        <v>39</v>
      </c>
      <c r="K984">
        <v>2</v>
      </c>
      <c r="L984">
        <v>3</v>
      </c>
      <c r="M984" t="s">
        <v>60</v>
      </c>
      <c r="N984" t="s">
        <v>61</v>
      </c>
      <c r="O984" t="s">
        <v>36</v>
      </c>
      <c r="P984" t="s">
        <v>43</v>
      </c>
      <c r="Q984">
        <v>11</v>
      </c>
      <c r="R984">
        <v>1</v>
      </c>
      <c r="S984">
        <v>6</v>
      </c>
      <c r="T984">
        <v>1</v>
      </c>
      <c r="U984">
        <v>2</v>
      </c>
      <c r="V984">
        <v>2</v>
      </c>
      <c r="W984">
        <v>41</v>
      </c>
      <c r="X984">
        <v>1354</v>
      </c>
      <c r="Y984">
        <v>6073</v>
      </c>
      <c r="Z984">
        <v>2226</v>
      </c>
      <c r="AA984">
        <v>3</v>
      </c>
      <c r="AB984">
        <v>34916</v>
      </c>
      <c r="AC984" s="10">
        <v>43297</v>
      </c>
      <c r="AD984" s="10" t="s">
        <v>72</v>
      </c>
      <c r="AE984" t="s">
        <v>72</v>
      </c>
      <c r="AF984" t="s">
        <v>45</v>
      </c>
    </row>
    <row r="985" spans="1:32" x14ac:dyDescent="0.25">
      <c r="A985">
        <v>1689</v>
      </c>
      <c r="B985">
        <v>53</v>
      </c>
      <c r="C985" t="s">
        <v>43</v>
      </c>
      <c r="D985" t="s">
        <v>33</v>
      </c>
      <c r="E985" t="s">
        <v>34</v>
      </c>
      <c r="F985" t="s">
        <v>35</v>
      </c>
      <c r="G985" t="s">
        <v>38</v>
      </c>
      <c r="H985" t="s">
        <v>37</v>
      </c>
      <c r="I985" t="s">
        <v>59</v>
      </c>
      <c r="J985" t="s">
        <v>62</v>
      </c>
      <c r="K985">
        <v>4</v>
      </c>
      <c r="L985">
        <v>3</v>
      </c>
      <c r="M985" t="s">
        <v>48</v>
      </c>
      <c r="N985" t="s">
        <v>61</v>
      </c>
      <c r="O985" t="s">
        <v>42</v>
      </c>
      <c r="P985" t="s">
        <v>43</v>
      </c>
      <c r="Q985">
        <v>15</v>
      </c>
      <c r="R985">
        <v>3</v>
      </c>
      <c r="S985">
        <v>11</v>
      </c>
      <c r="T985">
        <v>1</v>
      </c>
      <c r="U985">
        <v>2</v>
      </c>
      <c r="V985">
        <v>24</v>
      </c>
      <c r="W985">
        <v>48</v>
      </c>
      <c r="X985">
        <v>1395</v>
      </c>
      <c r="Y985">
        <v>3458</v>
      </c>
      <c r="Z985">
        <v>7005</v>
      </c>
      <c r="AA985">
        <v>2</v>
      </c>
      <c r="AB985">
        <v>25751</v>
      </c>
      <c r="AC985" s="10">
        <v>43309</v>
      </c>
      <c r="AD985" s="10" t="s">
        <v>72</v>
      </c>
      <c r="AE985" t="s">
        <v>72</v>
      </c>
      <c r="AF985" t="s">
        <v>55</v>
      </c>
    </row>
    <row r="986" spans="1:32" x14ac:dyDescent="0.25">
      <c r="A986">
        <v>491</v>
      </c>
      <c r="B986">
        <v>50</v>
      </c>
      <c r="C986" t="s">
        <v>43</v>
      </c>
      <c r="D986" t="s">
        <v>33</v>
      </c>
      <c r="E986" t="s">
        <v>34</v>
      </c>
      <c r="F986" t="s">
        <v>49</v>
      </c>
      <c r="G986" t="s">
        <v>59</v>
      </c>
      <c r="H986" t="s">
        <v>37</v>
      </c>
      <c r="I986" t="s">
        <v>38</v>
      </c>
      <c r="J986" t="s">
        <v>62</v>
      </c>
      <c r="K986">
        <v>4</v>
      </c>
      <c r="L986">
        <v>3</v>
      </c>
      <c r="M986" t="s">
        <v>48</v>
      </c>
      <c r="N986" t="s">
        <v>41</v>
      </c>
      <c r="O986" t="s">
        <v>42</v>
      </c>
      <c r="P986" t="s">
        <v>43</v>
      </c>
      <c r="Q986">
        <v>15</v>
      </c>
      <c r="R986">
        <v>6</v>
      </c>
      <c r="S986">
        <v>20</v>
      </c>
      <c r="T986">
        <v>1</v>
      </c>
      <c r="U986">
        <v>3</v>
      </c>
      <c r="V986">
        <v>10</v>
      </c>
      <c r="W986">
        <v>100</v>
      </c>
      <c r="X986">
        <v>1046</v>
      </c>
      <c r="Y986">
        <v>2755</v>
      </c>
      <c r="Z986">
        <v>10496</v>
      </c>
      <c r="AA986">
        <v>2</v>
      </c>
      <c r="AB986">
        <v>26634</v>
      </c>
      <c r="AC986" s="10">
        <v>43323</v>
      </c>
      <c r="AD986" s="10" t="s">
        <v>72</v>
      </c>
      <c r="AE986" t="s">
        <v>72</v>
      </c>
      <c r="AF986" t="s">
        <v>45</v>
      </c>
    </row>
    <row r="987" spans="1:32" x14ac:dyDescent="0.25">
      <c r="A987">
        <v>2038</v>
      </c>
      <c r="B987">
        <v>32</v>
      </c>
      <c r="C987" t="s">
        <v>43</v>
      </c>
      <c r="D987" t="s">
        <v>33</v>
      </c>
      <c r="E987" t="s">
        <v>34</v>
      </c>
      <c r="F987" t="s">
        <v>49</v>
      </c>
      <c r="G987" t="s">
        <v>59</v>
      </c>
      <c r="H987" t="s">
        <v>37</v>
      </c>
      <c r="I987" t="s">
        <v>50</v>
      </c>
      <c r="J987" t="s">
        <v>39</v>
      </c>
      <c r="K987">
        <v>1</v>
      </c>
      <c r="L987">
        <v>3</v>
      </c>
      <c r="M987" t="s">
        <v>48</v>
      </c>
      <c r="N987" t="s">
        <v>41</v>
      </c>
      <c r="O987" t="s">
        <v>42</v>
      </c>
      <c r="P987" t="s">
        <v>43</v>
      </c>
      <c r="Q987">
        <v>14</v>
      </c>
      <c r="R987">
        <v>1</v>
      </c>
      <c r="S987">
        <v>4</v>
      </c>
      <c r="T987">
        <v>1</v>
      </c>
      <c r="U987">
        <v>2</v>
      </c>
      <c r="V987">
        <v>2</v>
      </c>
      <c r="W987">
        <v>78</v>
      </c>
      <c r="X987">
        <v>529</v>
      </c>
      <c r="Y987">
        <v>11288</v>
      </c>
      <c r="Z987">
        <v>2439</v>
      </c>
      <c r="AA987">
        <v>4</v>
      </c>
      <c r="AB987">
        <v>33383</v>
      </c>
      <c r="AC987" s="10">
        <v>43324</v>
      </c>
      <c r="AD987" s="10" t="s">
        <v>72</v>
      </c>
      <c r="AE987" t="s">
        <v>72</v>
      </c>
      <c r="AF987" t="s">
        <v>45</v>
      </c>
    </row>
    <row r="988" spans="1:32" x14ac:dyDescent="0.25">
      <c r="A988">
        <v>1019</v>
      </c>
      <c r="B988">
        <v>22</v>
      </c>
      <c r="C988" t="s">
        <v>43</v>
      </c>
      <c r="D988" t="s">
        <v>33</v>
      </c>
      <c r="E988" t="s">
        <v>34</v>
      </c>
      <c r="F988" t="s">
        <v>64</v>
      </c>
      <c r="G988" t="s">
        <v>38</v>
      </c>
      <c r="H988" t="s">
        <v>37</v>
      </c>
      <c r="I988" t="s">
        <v>36</v>
      </c>
      <c r="J988" t="s">
        <v>51</v>
      </c>
      <c r="K988">
        <v>1</v>
      </c>
      <c r="L988">
        <v>3</v>
      </c>
      <c r="M988" t="s">
        <v>60</v>
      </c>
      <c r="N988" t="s">
        <v>61</v>
      </c>
      <c r="O988" t="s">
        <v>36</v>
      </c>
      <c r="P988" t="s">
        <v>43</v>
      </c>
      <c r="Q988">
        <v>15</v>
      </c>
      <c r="R988">
        <v>1</v>
      </c>
      <c r="S988">
        <v>4</v>
      </c>
      <c r="T988">
        <v>1</v>
      </c>
      <c r="U988">
        <v>1</v>
      </c>
      <c r="V988">
        <v>8</v>
      </c>
      <c r="W988">
        <v>94</v>
      </c>
      <c r="X988">
        <v>217</v>
      </c>
      <c r="Y988">
        <v>6881</v>
      </c>
      <c r="Z988">
        <v>2451</v>
      </c>
      <c r="AA988">
        <v>3</v>
      </c>
      <c r="AB988">
        <v>36894</v>
      </c>
      <c r="AC988" s="10">
        <v>43329</v>
      </c>
      <c r="AD988" s="10" t="s">
        <v>72</v>
      </c>
      <c r="AE988" t="s">
        <v>72</v>
      </c>
      <c r="AF988" t="s">
        <v>45</v>
      </c>
    </row>
    <row r="989" spans="1:32" x14ac:dyDescent="0.25">
      <c r="A989">
        <v>1407</v>
      </c>
      <c r="B989">
        <v>26</v>
      </c>
      <c r="C989" t="s">
        <v>43</v>
      </c>
      <c r="D989" t="s">
        <v>33</v>
      </c>
      <c r="E989" t="s">
        <v>34</v>
      </c>
      <c r="F989" t="s">
        <v>64</v>
      </c>
      <c r="G989" t="s">
        <v>36</v>
      </c>
      <c r="H989" t="s">
        <v>37</v>
      </c>
      <c r="I989" t="s">
        <v>38</v>
      </c>
      <c r="J989" t="s">
        <v>39</v>
      </c>
      <c r="K989">
        <v>4</v>
      </c>
      <c r="L989">
        <v>3</v>
      </c>
      <c r="M989" t="s">
        <v>48</v>
      </c>
      <c r="N989" t="s">
        <v>41</v>
      </c>
      <c r="O989" t="s">
        <v>42</v>
      </c>
      <c r="P989" t="s">
        <v>43</v>
      </c>
      <c r="Q989">
        <v>12</v>
      </c>
      <c r="R989">
        <v>0</v>
      </c>
      <c r="S989">
        <v>5</v>
      </c>
      <c r="T989">
        <v>1</v>
      </c>
      <c r="U989">
        <v>1</v>
      </c>
      <c r="V989">
        <v>2</v>
      </c>
      <c r="W989">
        <v>36</v>
      </c>
      <c r="X989">
        <v>683</v>
      </c>
      <c r="Y989">
        <v>4050</v>
      </c>
      <c r="Z989">
        <v>3904</v>
      </c>
      <c r="AA989">
        <v>2</v>
      </c>
      <c r="AB989">
        <v>35559</v>
      </c>
      <c r="AC989" s="10">
        <v>43393</v>
      </c>
      <c r="AD989" s="10" t="s">
        <v>72</v>
      </c>
      <c r="AE989" t="s">
        <v>72</v>
      </c>
      <c r="AF989" t="s">
        <v>45</v>
      </c>
    </row>
    <row r="990" spans="1:32" x14ac:dyDescent="0.25">
      <c r="A990">
        <v>250</v>
      </c>
      <c r="B990">
        <v>53</v>
      </c>
      <c r="C990" t="s">
        <v>43</v>
      </c>
      <c r="D990" t="s">
        <v>33</v>
      </c>
      <c r="E990" t="s">
        <v>34</v>
      </c>
      <c r="F990" t="s">
        <v>67</v>
      </c>
      <c r="G990" t="s">
        <v>59</v>
      </c>
      <c r="H990" t="s">
        <v>47</v>
      </c>
      <c r="I990" t="s">
        <v>59</v>
      </c>
      <c r="J990" t="s">
        <v>65</v>
      </c>
      <c r="K990">
        <v>1</v>
      </c>
      <c r="L990">
        <v>3</v>
      </c>
      <c r="M990" t="s">
        <v>48</v>
      </c>
      <c r="N990" t="s">
        <v>52</v>
      </c>
      <c r="O990" t="s">
        <v>53</v>
      </c>
      <c r="P990" t="s">
        <v>43</v>
      </c>
      <c r="Q990">
        <v>11</v>
      </c>
      <c r="R990">
        <v>1</v>
      </c>
      <c r="S990">
        <v>5</v>
      </c>
      <c r="T990">
        <v>1</v>
      </c>
      <c r="U990">
        <v>3</v>
      </c>
      <c r="V990">
        <v>13</v>
      </c>
      <c r="W990">
        <v>57</v>
      </c>
      <c r="X990">
        <v>1084</v>
      </c>
      <c r="Y990">
        <v>26250</v>
      </c>
      <c r="Z990">
        <v>4450</v>
      </c>
      <c r="AA990">
        <v>3</v>
      </c>
      <c r="AB990">
        <v>25427</v>
      </c>
      <c r="AC990" s="10">
        <v>43400</v>
      </c>
      <c r="AD990" s="10" t="s">
        <v>72</v>
      </c>
      <c r="AE990" t="s">
        <v>72</v>
      </c>
      <c r="AF990" t="s">
        <v>45</v>
      </c>
    </row>
    <row r="991" spans="1:32" x14ac:dyDescent="0.25">
      <c r="A991">
        <v>797</v>
      </c>
      <c r="B991">
        <v>34</v>
      </c>
      <c r="C991" t="s">
        <v>43</v>
      </c>
      <c r="D991" t="s">
        <v>33</v>
      </c>
      <c r="E991" t="s">
        <v>34</v>
      </c>
      <c r="F991" t="s">
        <v>35</v>
      </c>
      <c r="G991" t="s">
        <v>38</v>
      </c>
      <c r="H991" t="s">
        <v>47</v>
      </c>
      <c r="I991" t="s">
        <v>59</v>
      </c>
      <c r="J991" t="s">
        <v>39</v>
      </c>
      <c r="K991">
        <v>4</v>
      </c>
      <c r="L991">
        <v>3</v>
      </c>
      <c r="M991" t="s">
        <v>48</v>
      </c>
      <c r="N991" t="s">
        <v>41</v>
      </c>
      <c r="O991" t="s">
        <v>42</v>
      </c>
      <c r="P991" t="s">
        <v>43</v>
      </c>
      <c r="Q991">
        <v>16</v>
      </c>
      <c r="R991">
        <v>2</v>
      </c>
      <c r="S991">
        <v>10</v>
      </c>
      <c r="T991">
        <v>1</v>
      </c>
      <c r="U991">
        <v>3</v>
      </c>
      <c r="V991">
        <v>1</v>
      </c>
      <c r="W991">
        <v>72</v>
      </c>
      <c r="X991">
        <v>182</v>
      </c>
      <c r="Y991">
        <v>13551</v>
      </c>
      <c r="Z991">
        <v>3280</v>
      </c>
      <c r="AA991">
        <v>2</v>
      </c>
      <c r="AB991">
        <v>32619</v>
      </c>
      <c r="AC991" s="10">
        <v>43400</v>
      </c>
      <c r="AD991" s="10" t="s">
        <v>72</v>
      </c>
      <c r="AE991" t="s">
        <v>72</v>
      </c>
      <c r="AF991" t="s">
        <v>45</v>
      </c>
    </row>
    <row r="992" spans="1:32" x14ac:dyDescent="0.25">
      <c r="A992">
        <v>2068</v>
      </c>
      <c r="B992">
        <v>34</v>
      </c>
      <c r="C992" t="s">
        <v>43</v>
      </c>
      <c r="D992" t="s">
        <v>33</v>
      </c>
      <c r="E992" t="s">
        <v>34</v>
      </c>
      <c r="F992" t="s">
        <v>49</v>
      </c>
      <c r="G992" t="s">
        <v>38</v>
      </c>
      <c r="H992" t="s">
        <v>37</v>
      </c>
      <c r="I992" t="s">
        <v>59</v>
      </c>
      <c r="J992" t="s">
        <v>51</v>
      </c>
      <c r="K992">
        <v>3</v>
      </c>
      <c r="L992">
        <v>3</v>
      </c>
      <c r="M992" t="s">
        <v>58</v>
      </c>
      <c r="N992" t="s">
        <v>61</v>
      </c>
      <c r="O992" t="s">
        <v>42</v>
      </c>
      <c r="P992" t="s">
        <v>43</v>
      </c>
      <c r="Q992">
        <v>12</v>
      </c>
      <c r="R992">
        <v>2</v>
      </c>
      <c r="S992">
        <v>6</v>
      </c>
      <c r="T992">
        <v>1</v>
      </c>
      <c r="U992">
        <v>2</v>
      </c>
      <c r="V992">
        <v>8</v>
      </c>
      <c r="W992">
        <v>82</v>
      </c>
      <c r="X992">
        <v>628</v>
      </c>
      <c r="Y992">
        <v>10228</v>
      </c>
      <c r="Z992">
        <v>4404</v>
      </c>
      <c r="AA992">
        <v>3</v>
      </c>
      <c r="AB992">
        <v>32647</v>
      </c>
      <c r="AC992" s="10">
        <v>43400</v>
      </c>
      <c r="AD992" s="10" t="s">
        <v>72</v>
      </c>
      <c r="AE992" t="s">
        <v>72</v>
      </c>
      <c r="AF992" t="s">
        <v>45</v>
      </c>
    </row>
    <row r="993" spans="1:32" x14ac:dyDescent="0.25">
      <c r="A993">
        <v>350</v>
      </c>
      <c r="B993">
        <v>25</v>
      </c>
      <c r="C993" t="s">
        <v>43</v>
      </c>
      <c r="D993" t="s">
        <v>33</v>
      </c>
      <c r="E993" t="s">
        <v>34</v>
      </c>
      <c r="F993" t="s">
        <v>49</v>
      </c>
      <c r="G993" t="s">
        <v>36</v>
      </c>
      <c r="H993" t="s">
        <v>47</v>
      </c>
      <c r="I993" t="s">
        <v>50</v>
      </c>
      <c r="J993" t="s">
        <v>65</v>
      </c>
      <c r="K993">
        <v>3</v>
      </c>
      <c r="L993">
        <v>3</v>
      </c>
      <c r="M993" t="s">
        <v>48</v>
      </c>
      <c r="N993" t="s">
        <v>61</v>
      </c>
      <c r="O993" t="s">
        <v>53</v>
      </c>
      <c r="P993" t="s">
        <v>43</v>
      </c>
      <c r="Q993">
        <v>12</v>
      </c>
      <c r="R993">
        <v>0</v>
      </c>
      <c r="S993">
        <v>5</v>
      </c>
      <c r="T993">
        <v>1</v>
      </c>
      <c r="U993">
        <v>2</v>
      </c>
      <c r="V993">
        <v>1</v>
      </c>
      <c r="W993">
        <v>62</v>
      </c>
      <c r="X993">
        <v>685</v>
      </c>
      <c r="Y993">
        <v>7505</v>
      </c>
      <c r="Z993">
        <v>4898</v>
      </c>
      <c r="AA993">
        <v>3</v>
      </c>
      <c r="AB993">
        <v>35871</v>
      </c>
      <c r="AC993" s="10">
        <v>43484</v>
      </c>
      <c r="AD993" s="10" t="s">
        <v>72</v>
      </c>
      <c r="AE993" t="s">
        <v>72</v>
      </c>
      <c r="AF993" t="s">
        <v>55</v>
      </c>
    </row>
    <row r="994" spans="1:32" x14ac:dyDescent="0.25">
      <c r="A994">
        <v>40</v>
      </c>
      <c r="B994">
        <v>44</v>
      </c>
      <c r="C994" t="s">
        <v>43</v>
      </c>
      <c r="D994" t="s">
        <v>33</v>
      </c>
      <c r="E994" t="s">
        <v>34</v>
      </c>
      <c r="F994" t="s">
        <v>35</v>
      </c>
      <c r="G994" t="s">
        <v>59</v>
      </c>
      <c r="H994" t="s">
        <v>37</v>
      </c>
      <c r="I994" t="s">
        <v>50</v>
      </c>
      <c r="J994" t="s">
        <v>62</v>
      </c>
      <c r="K994">
        <v>4</v>
      </c>
      <c r="L994">
        <v>3</v>
      </c>
      <c r="M994" t="s">
        <v>58</v>
      </c>
      <c r="N994" t="s">
        <v>61</v>
      </c>
      <c r="O994" t="s">
        <v>42</v>
      </c>
      <c r="P994" t="s">
        <v>32</v>
      </c>
      <c r="Q994">
        <v>13</v>
      </c>
      <c r="R994">
        <v>2</v>
      </c>
      <c r="S994">
        <v>9</v>
      </c>
      <c r="T994">
        <v>1</v>
      </c>
      <c r="U994">
        <v>3</v>
      </c>
      <c r="V994">
        <v>10</v>
      </c>
      <c r="W994">
        <v>41</v>
      </c>
      <c r="X994">
        <v>1459</v>
      </c>
      <c r="Y994">
        <v>19121</v>
      </c>
      <c r="Z994">
        <v>6465</v>
      </c>
      <c r="AA994">
        <v>5</v>
      </c>
      <c r="AB994">
        <v>29056</v>
      </c>
      <c r="AC994" s="10">
        <v>43522</v>
      </c>
      <c r="AD994" s="10" t="s">
        <v>72</v>
      </c>
      <c r="AE994" t="s">
        <v>72</v>
      </c>
      <c r="AF994" t="s">
        <v>45</v>
      </c>
    </row>
    <row r="995" spans="1:32" x14ac:dyDescent="0.25">
      <c r="A995">
        <v>1998</v>
      </c>
      <c r="B995">
        <v>42</v>
      </c>
      <c r="C995" t="s">
        <v>43</v>
      </c>
      <c r="D995" t="s">
        <v>33</v>
      </c>
      <c r="E995" t="s">
        <v>34</v>
      </c>
      <c r="F995" t="s">
        <v>35</v>
      </c>
      <c r="G995" t="s">
        <v>59</v>
      </c>
      <c r="H995" t="s">
        <v>37</v>
      </c>
      <c r="I995" t="s">
        <v>50</v>
      </c>
      <c r="J995" t="s">
        <v>39</v>
      </c>
      <c r="K995">
        <v>1</v>
      </c>
      <c r="L995">
        <v>3</v>
      </c>
      <c r="M995" t="s">
        <v>60</v>
      </c>
      <c r="N995" t="s">
        <v>52</v>
      </c>
      <c r="O995" t="s">
        <v>36</v>
      </c>
      <c r="P995" t="s">
        <v>32</v>
      </c>
      <c r="Q995">
        <v>17</v>
      </c>
      <c r="R995">
        <v>6</v>
      </c>
      <c r="S995">
        <v>9</v>
      </c>
      <c r="T995">
        <v>1</v>
      </c>
      <c r="U995">
        <v>2</v>
      </c>
      <c r="V995">
        <v>18</v>
      </c>
      <c r="W995">
        <v>35</v>
      </c>
      <c r="X995">
        <v>557</v>
      </c>
      <c r="Y995">
        <v>11189</v>
      </c>
      <c r="Z995">
        <v>5410</v>
      </c>
      <c r="AA995">
        <v>3</v>
      </c>
      <c r="AB995">
        <v>29601</v>
      </c>
      <c r="AC995" s="10">
        <v>43529</v>
      </c>
      <c r="AD995" s="10" t="s">
        <v>72</v>
      </c>
      <c r="AE995" t="s">
        <v>72</v>
      </c>
      <c r="AF995" t="s">
        <v>45</v>
      </c>
    </row>
    <row r="996" spans="1:32" x14ac:dyDescent="0.25">
      <c r="A996">
        <v>408</v>
      </c>
      <c r="B996">
        <v>51</v>
      </c>
      <c r="C996" t="s">
        <v>43</v>
      </c>
      <c r="D996" t="s">
        <v>33</v>
      </c>
      <c r="E996" t="s">
        <v>34</v>
      </c>
      <c r="F996" t="s">
        <v>49</v>
      </c>
      <c r="G996" t="s">
        <v>59</v>
      </c>
      <c r="H996" t="s">
        <v>37</v>
      </c>
      <c r="I996" t="s">
        <v>36</v>
      </c>
      <c r="J996" t="s">
        <v>65</v>
      </c>
      <c r="K996">
        <v>2</v>
      </c>
      <c r="L996">
        <v>3</v>
      </c>
      <c r="M996" t="s">
        <v>48</v>
      </c>
      <c r="N996" t="s">
        <v>52</v>
      </c>
      <c r="O996" t="s">
        <v>36</v>
      </c>
      <c r="P996" t="s">
        <v>43</v>
      </c>
      <c r="Q996">
        <v>18</v>
      </c>
      <c r="R996">
        <v>5</v>
      </c>
      <c r="S996">
        <v>13</v>
      </c>
      <c r="T996">
        <v>1</v>
      </c>
      <c r="U996">
        <v>2</v>
      </c>
      <c r="V996">
        <v>2</v>
      </c>
      <c r="W996">
        <v>84</v>
      </c>
      <c r="X996">
        <v>1302</v>
      </c>
      <c r="Y996">
        <v>16321</v>
      </c>
      <c r="Z996">
        <v>5482</v>
      </c>
      <c r="AA996">
        <v>3</v>
      </c>
      <c r="AB996">
        <v>26246</v>
      </c>
      <c r="AC996" s="10">
        <v>43565</v>
      </c>
      <c r="AD996" s="10" t="s">
        <v>72</v>
      </c>
      <c r="AE996" t="s">
        <v>72</v>
      </c>
      <c r="AF996" t="s">
        <v>45</v>
      </c>
    </row>
    <row r="997" spans="1:32" x14ac:dyDescent="0.25">
      <c r="A997">
        <v>522</v>
      </c>
      <c r="B997">
        <v>54</v>
      </c>
      <c r="C997" t="s">
        <v>43</v>
      </c>
      <c r="D997" t="s">
        <v>33</v>
      </c>
      <c r="E997" t="s">
        <v>34</v>
      </c>
      <c r="F997" t="s">
        <v>67</v>
      </c>
      <c r="G997" t="s">
        <v>36</v>
      </c>
      <c r="H997" t="s">
        <v>37</v>
      </c>
      <c r="I997" t="s">
        <v>50</v>
      </c>
      <c r="J997" t="s">
        <v>71</v>
      </c>
      <c r="K997">
        <v>1</v>
      </c>
      <c r="L997">
        <v>3</v>
      </c>
      <c r="M997" t="s">
        <v>60</v>
      </c>
      <c r="N997" t="s">
        <v>61</v>
      </c>
      <c r="O997" t="s">
        <v>36</v>
      </c>
      <c r="P997" t="s">
        <v>43</v>
      </c>
      <c r="Q997">
        <v>11</v>
      </c>
      <c r="R997">
        <v>4</v>
      </c>
      <c r="S997">
        <v>24</v>
      </c>
      <c r="T997">
        <v>1</v>
      </c>
      <c r="U997">
        <v>2</v>
      </c>
      <c r="V997">
        <v>5</v>
      </c>
      <c r="W997">
        <v>86</v>
      </c>
      <c r="X997">
        <v>821</v>
      </c>
      <c r="Y997">
        <v>8509</v>
      </c>
      <c r="Z997">
        <v>19406</v>
      </c>
      <c r="AA997">
        <v>4</v>
      </c>
      <c r="AB997">
        <v>25081</v>
      </c>
      <c r="AC997" s="10">
        <v>43577</v>
      </c>
      <c r="AD997" s="10" t="s">
        <v>72</v>
      </c>
      <c r="AE997" t="s">
        <v>72</v>
      </c>
      <c r="AF997" t="s">
        <v>45</v>
      </c>
    </row>
    <row r="998" spans="1:32" x14ac:dyDescent="0.25">
      <c r="A998">
        <v>1655</v>
      </c>
      <c r="B998">
        <v>49</v>
      </c>
      <c r="C998" t="s">
        <v>43</v>
      </c>
      <c r="D998" t="s">
        <v>33</v>
      </c>
      <c r="E998" t="s">
        <v>34</v>
      </c>
      <c r="F998" t="s">
        <v>35</v>
      </c>
      <c r="G998" t="s">
        <v>36</v>
      </c>
      <c r="H998" t="s">
        <v>47</v>
      </c>
      <c r="I998" t="s">
        <v>50</v>
      </c>
      <c r="J998" t="s">
        <v>71</v>
      </c>
      <c r="K998">
        <v>2</v>
      </c>
      <c r="L998">
        <v>3</v>
      </c>
      <c r="M998" t="s">
        <v>48</v>
      </c>
      <c r="N998" t="s">
        <v>61</v>
      </c>
      <c r="O998" t="s">
        <v>53</v>
      </c>
      <c r="P998" t="s">
        <v>43</v>
      </c>
      <c r="Q998">
        <v>16</v>
      </c>
      <c r="R998">
        <v>3</v>
      </c>
      <c r="S998">
        <v>27</v>
      </c>
      <c r="T998">
        <v>1</v>
      </c>
      <c r="U998">
        <v>2</v>
      </c>
      <c r="V998">
        <v>22</v>
      </c>
      <c r="W998">
        <v>72</v>
      </c>
      <c r="X998">
        <v>301</v>
      </c>
      <c r="Y998">
        <v>3498</v>
      </c>
      <c r="Z998">
        <v>16413</v>
      </c>
      <c r="AA998">
        <v>2</v>
      </c>
      <c r="AB998">
        <v>27033</v>
      </c>
      <c r="AC998" s="10">
        <v>43577</v>
      </c>
      <c r="AD998" s="10" t="s">
        <v>72</v>
      </c>
      <c r="AE998" t="s">
        <v>72</v>
      </c>
      <c r="AF998" t="s">
        <v>45</v>
      </c>
    </row>
    <row r="999" spans="1:32" x14ac:dyDescent="0.25">
      <c r="A999">
        <v>1533</v>
      </c>
      <c r="B999">
        <v>23</v>
      </c>
      <c r="C999" t="s">
        <v>43</v>
      </c>
      <c r="D999" t="s">
        <v>33</v>
      </c>
      <c r="E999" t="s">
        <v>34</v>
      </c>
      <c r="F999" t="s">
        <v>64</v>
      </c>
      <c r="G999" t="s">
        <v>36</v>
      </c>
      <c r="H999" t="s">
        <v>37</v>
      </c>
      <c r="I999" t="s">
        <v>50</v>
      </c>
      <c r="J999" t="s">
        <v>51</v>
      </c>
      <c r="K999">
        <v>3</v>
      </c>
      <c r="L999">
        <v>3</v>
      </c>
      <c r="M999" t="s">
        <v>48</v>
      </c>
      <c r="N999" t="s">
        <v>41</v>
      </c>
      <c r="O999" t="s">
        <v>42</v>
      </c>
      <c r="P999" t="s">
        <v>43</v>
      </c>
      <c r="Q999">
        <v>14</v>
      </c>
      <c r="R999">
        <v>0</v>
      </c>
      <c r="S999">
        <v>5</v>
      </c>
      <c r="T999">
        <v>1</v>
      </c>
      <c r="U999">
        <v>2</v>
      </c>
      <c r="V999">
        <v>20</v>
      </c>
      <c r="W999">
        <v>97</v>
      </c>
      <c r="X999">
        <v>507</v>
      </c>
      <c r="Y999">
        <v>24812</v>
      </c>
      <c r="Z999">
        <v>2272</v>
      </c>
      <c r="AA999">
        <v>2</v>
      </c>
      <c r="AB999">
        <v>36691</v>
      </c>
      <c r="AC999" s="10">
        <v>43579</v>
      </c>
      <c r="AD999" s="10" t="s">
        <v>72</v>
      </c>
      <c r="AE999" t="s">
        <v>72</v>
      </c>
      <c r="AF999" t="s">
        <v>45</v>
      </c>
    </row>
    <row r="1000" spans="1:32" x14ac:dyDescent="0.25">
      <c r="A1000">
        <v>1981</v>
      </c>
      <c r="B1000">
        <v>24</v>
      </c>
      <c r="C1000" t="s">
        <v>43</v>
      </c>
      <c r="D1000" t="s">
        <v>33</v>
      </c>
      <c r="E1000" t="s">
        <v>34</v>
      </c>
      <c r="F1000" t="s">
        <v>67</v>
      </c>
      <c r="G1000" t="s">
        <v>38</v>
      </c>
      <c r="H1000" t="s">
        <v>37</v>
      </c>
      <c r="I1000" t="s">
        <v>38</v>
      </c>
      <c r="J1000" t="s">
        <v>62</v>
      </c>
      <c r="K1000">
        <v>3</v>
      </c>
      <c r="L1000">
        <v>3</v>
      </c>
      <c r="M1000" t="s">
        <v>60</v>
      </c>
      <c r="N1000" t="s">
        <v>41</v>
      </c>
      <c r="O1000" t="s">
        <v>42</v>
      </c>
      <c r="P1000" t="s">
        <v>43</v>
      </c>
      <c r="Q1000">
        <v>12</v>
      </c>
      <c r="R1000">
        <v>1</v>
      </c>
      <c r="S1000">
        <v>4</v>
      </c>
      <c r="T1000">
        <v>1</v>
      </c>
      <c r="U1000">
        <v>2</v>
      </c>
      <c r="V1000">
        <v>1</v>
      </c>
      <c r="W1000">
        <v>45</v>
      </c>
      <c r="X1000">
        <v>771</v>
      </c>
      <c r="Y1000">
        <v>14120</v>
      </c>
      <c r="Z1000">
        <v>4617</v>
      </c>
      <c r="AA1000">
        <v>2</v>
      </c>
      <c r="AB1000">
        <v>36225</v>
      </c>
      <c r="AC1000" s="10">
        <v>43586</v>
      </c>
      <c r="AD1000" s="10" t="s">
        <v>72</v>
      </c>
      <c r="AE1000" t="s">
        <v>72</v>
      </c>
      <c r="AF1000" t="s">
        <v>55</v>
      </c>
    </row>
    <row r="1001" spans="1:32" x14ac:dyDescent="0.25">
      <c r="A1001">
        <v>700</v>
      </c>
      <c r="B1001">
        <v>27</v>
      </c>
      <c r="C1001" t="s">
        <v>43</v>
      </c>
      <c r="D1001" t="s">
        <v>33</v>
      </c>
      <c r="E1001" t="s">
        <v>34</v>
      </c>
      <c r="F1001" t="s">
        <v>35</v>
      </c>
      <c r="G1001" t="s">
        <v>36</v>
      </c>
      <c r="H1001" t="s">
        <v>37</v>
      </c>
      <c r="I1001" t="s">
        <v>38</v>
      </c>
      <c r="J1001" t="s">
        <v>39</v>
      </c>
      <c r="K1001">
        <v>4</v>
      </c>
      <c r="L1001">
        <v>3</v>
      </c>
      <c r="M1001" t="s">
        <v>48</v>
      </c>
      <c r="N1001" t="s">
        <v>41</v>
      </c>
      <c r="O1001" t="s">
        <v>42</v>
      </c>
      <c r="P1001" t="s">
        <v>43</v>
      </c>
      <c r="Q1001">
        <v>13</v>
      </c>
      <c r="R1001">
        <v>0</v>
      </c>
      <c r="S1001">
        <v>5</v>
      </c>
      <c r="T1001">
        <v>1</v>
      </c>
      <c r="U1001">
        <v>1</v>
      </c>
      <c r="V1001">
        <v>3</v>
      </c>
      <c r="W1001">
        <v>54</v>
      </c>
      <c r="X1001">
        <v>1115</v>
      </c>
      <c r="Y1001">
        <v>15174</v>
      </c>
      <c r="Z1001">
        <v>2045</v>
      </c>
      <c r="AA1001">
        <v>0</v>
      </c>
      <c r="AB1001">
        <v>35027</v>
      </c>
      <c r="AC1001" s="10">
        <v>43588</v>
      </c>
      <c r="AD1001" s="10" t="s">
        <v>72</v>
      </c>
      <c r="AE1001" t="s">
        <v>72</v>
      </c>
      <c r="AF1001" t="s">
        <v>45</v>
      </c>
    </row>
    <row r="1002" spans="1:32" x14ac:dyDescent="0.25">
      <c r="A1002">
        <v>1694</v>
      </c>
      <c r="B1002">
        <v>55</v>
      </c>
      <c r="C1002" t="s">
        <v>43</v>
      </c>
      <c r="D1002" t="s">
        <v>33</v>
      </c>
      <c r="E1002" t="s">
        <v>34</v>
      </c>
      <c r="F1002" t="s">
        <v>49</v>
      </c>
      <c r="G1002" t="s">
        <v>36</v>
      </c>
      <c r="H1002" t="s">
        <v>37</v>
      </c>
      <c r="I1002" t="s">
        <v>38</v>
      </c>
      <c r="J1002" t="s">
        <v>39</v>
      </c>
      <c r="K1002">
        <v>2</v>
      </c>
      <c r="L1002">
        <v>3</v>
      </c>
      <c r="M1002" t="s">
        <v>48</v>
      </c>
      <c r="N1002" t="s">
        <v>52</v>
      </c>
      <c r="O1002" t="s">
        <v>36</v>
      </c>
      <c r="P1002" t="s">
        <v>43</v>
      </c>
      <c r="Q1002">
        <v>12</v>
      </c>
      <c r="R1002">
        <v>5</v>
      </c>
      <c r="S1002">
        <v>8</v>
      </c>
      <c r="T1002">
        <v>1</v>
      </c>
      <c r="U1002">
        <v>2</v>
      </c>
      <c r="V1002">
        <v>22</v>
      </c>
      <c r="W1002">
        <v>94</v>
      </c>
      <c r="X1002">
        <v>1441</v>
      </c>
      <c r="Y1002">
        <v>23737</v>
      </c>
      <c r="Z1002">
        <v>3537</v>
      </c>
      <c r="AA1002">
        <v>1</v>
      </c>
      <c r="AB1002">
        <v>24783</v>
      </c>
      <c r="AC1002" s="10">
        <v>43606</v>
      </c>
      <c r="AD1002" s="10" t="s">
        <v>72</v>
      </c>
      <c r="AE1002" t="s">
        <v>72</v>
      </c>
      <c r="AF1002" t="s">
        <v>45</v>
      </c>
    </row>
    <row r="1003" spans="1:32" x14ac:dyDescent="0.25">
      <c r="A1003">
        <v>2020</v>
      </c>
      <c r="B1003">
        <v>44</v>
      </c>
      <c r="C1003" t="s">
        <v>43</v>
      </c>
      <c r="D1003" t="s">
        <v>33</v>
      </c>
      <c r="E1003" t="s">
        <v>34</v>
      </c>
      <c r="F1003" t="s">
        <v>49</v>
      </c>
      <c r="G1003" t="s">
        <v>38</v>
      </c>
      <c r="H1003" t="s">
        <v>37</v>
      </c>
      <c r="I1003" t="s">
        <v>50</v>
      </c>
      <c r="J1003" t="s">
        <v>39</v>
      </c>
      <c r="K1003">
        <v>4</v>
      </c>
      <c r="L1003">
        <v>3</v>
      </c>
      <c r="M1003" t="s">
        <v>48</v>
      </c>
      <c r="N1003" t="s">
        <v>41</v>
      </c>
      <c r="O1003" t="s">
        <v>42</v>
      </c>
      <c r="P1003" t="s">
        <v>32</v>
      </c>
      <c r="Q1003">
        <v>12</v>
      </c>
      <c r="R1003">
        <v>6</v>
      </c>
      <c r="S1003">
        <v>6</v>
      </c>
      <c r="T1003">
        <v>1</v>
      </c>
      <c r="U1003">
        <v>2</v>
      </c>
      <c r="V1003">
        <v>1</v>
      </c>
      <c r="W1003">
        <v>42</v>
      </c>
      <c r="X1003">
        <v>1037</v>
      </c>
      <c r="Y1003">
        <v>13422</v>
      </c>
      <c r="Z1003">
        <v>2436</v>
      </c>
      <c r="AA1003">
        <v>2</v>
      </c>
      <c r="AB1003">
        <v>28884</v>
      </c>
      <c r="AC1003" s="10">
        <v>43622</v>
      </c>
      <c r="AD1003" s="10" t="s">
        <v>72</v>
      </c>
      <c r="AE1003" t="s">
        <v>72</v>
      </c>
      <c r="AF1003" t="s">
        <v>45</v>
      </c>
    </row>
    <row r="1004" spans="1:32" x14ac:dyDescent="0.25">
      <c r="A1004">
        <v>434</v>
      </c>
      <c r="B1004">
        <v>27</v>
      </c>
      <c r="C1004" t="s">
        <v>43</v>
      </c>
      <c r="D1004" t="s">
        <v>33</v>
      </c>
      <c r="E1004" t="s">
        <v>34</v>
      </c>
      <c r="F1004" t="s">
        <v>49</v>
      </c>
      <c r="G1004" t="s">
        <v>50</v>
      </c>
      <c r="H1004" t="s">
        <v>47</v>
      </c>
      <c r="I1004" t="s">
        <v>50</v>
      </c>
      <c r="J1004" t="s">
        <v>39</v>
      </c>
      <c r="K1004">
        <v>2</v>
      </c>
      <c r="L1004">
        <v>3</v>
      </c>
      <c r="M1004" t="s">
        <v>60</v>
      </c>
      <c r="N1004" t="s">
        <v>41</v>
      </c>
      <c r="O1004" t="s">
        <v>42</v>
      </c>
      <c r="P1004" t="s">
        <v>32</v>
      </c>
      <c r="Q1004">
        <v>12</v>
      </c>
      <c r="R1004">
        <v>1</v>
      </c>
      <c r="S1004">
        <v>4</v>
      </c>
      <c r="T1004">
        <v>1</v>
      </c>
      <c r="U1004">
        <v>2</v>
      </c>
      <c r="V1004">
        <v>5</v>
      </c>
      <c r="W1004">
        <v>85</v>
      </c>
      <c r="X1004">
        <v>1220</v>
      </c>
      <c r="Y1004">
        <v>20938</v>
      </c>
      <c r="Z1004">
        <v>2478</v>
      </c>
      <c r="AA1004">
        <v>2</v>
      </c>
      <c r="AB1004">
        <v>35031</v>
      </c>
      <c r="AC1004" s="10">
        <v>43623</v>
      </c>
      <c r="AD1004" s="10" t="s">
        <v>72</v>
      </c>
      <c r="AE1004" t="s">
        <v>72</v>
      </c>
      <c r="AF1004" t="s">
        <v>45</v>
      </c>
    </row>
    <row r="1005" spans="1:32" x14ac:dyDescent="0.25">
      <c r="A1005">
        <v>2052</v>
      </c>
      <c r="B1005">
        <v>35</v>
      </c>
      <c r="C1005" t="s">
        <v>43</v>
      </c>
      <c r="D1005" t="s">
        <v>33</v>
      </c>
      <c r="E1005" t="s">
        <v>34</v>
      </c>
      <c r="F1005" t="s">
        <v>35</v>
      </c>
      <c r="G1005" t="s">
        <v>50</v>
      </c>
      <c r="H1005" t="s">
        <v>47</v>
      </c>
      <c r="I1005" t="s">
        <v>36</v>
      </c>
      <c r="J1005" t="s">
        <v>39</v>
      </c>
      <c r="K1005">
        <v>4</v>
      </c>
      <c r="L1005">
        <v>3</v>
      </c>
      <c r="M1005" t="s">
        <v>48</v>
      </c>
      <c r="N1005" t="s">
        <v>61</v>
      </c>
      <c r="O1005" t="s">
        <v>36</v>
      </c>
      <c r="P1005" t="s">
        <v>43</v>
      </c>
      <c r="Q1005">
        <v>12</v>
      </c>
      <c r="R1005">
        <v>1</v>
      </c>
      <c r="S1005">
        <v>4</v>
      </c>
      <c r="T1005">
        <v>1</v>
      </c>
      <c r="U1005">
        <v>1</v>
      </c>
      <c r="V1005">
        <v>1</v>
      </c>
      <c r="W1005">
        <v>62</v>
      </c>
      <c r="X1005">
        <v>287</v>
      </c>
      <c r="Y1005">
        <v>8952</v>
      </c>
      <c r="Z1005">
        <v>2977</v>
      </c>
      <c r="AA1005">
        <v>5</v>
      </c>
      <c r="AB1005">
        <v>32043</v>
      </c>
      <c r="AC1005" s="10">
        <v>43638</v>
      </c>
      <c r="AD1005" s="10" t="s">
        <v>72</v>
      </c>
      <c r="AE1005" t="s">
        <v>72</v>
      </c>
      <c r="AF1005" t="s">
        <v>45</v>
      </c>
    </row>
    <row r="1006" spans="1:32" x14ac:dyDescent="0.25">
      <c r="A1006">
        <v>1358</v>
      </c>
      <c r="B1006">
        <v>25</v>
      </c>
      <c r="C1006" t="s">
        <v>43</v>
      </c>
      <c r="D1006" t="s">
        <v>33</v>
      </c>
      <c r="E1006" t="s">
        <v>34</v>
      </c>
      <c r="F1006" t="s">
        <v>64</v>
      </c>
      <c r="G1006" t="s">
        <v>59</v>
      </c>
      <c r="H1006" t="s">
        <v>37</v>
      </c>
      <c r="I1006" t="s">
        <v>50</v>
      </c>
      <c r="J1006" t="s">
        <v>51</v>
      </c>
      <c r="K1006">
        <v>4</v>
      </c>
      <c r="L1006">
        <v>3</v>
      </c>
      <c r="M1006" t="s">
        <v>60</v>
      </c>
      <c r="N1006" t="s">
        <v>61</v>
      </c>
      <c r="O1006" t="s">
        <v>50</v>
      </c>
      <c r="P1006" t="s">
        <v>43</v>
      </c>
      <c r="Q1006">
        <v>11</v>
      </c>
      <c r="R1006">
        <v>3</v>
      </c>
      <c r="S1006">
        <v>7</v>
      </c>
      <c r="T1006">
        <v>1</v>
      </c>
      <c r="U1006">
        <v>2</v>
      </c>
      <c r="V1006">
        <v>19</v>
      </c>
      <c r="W1006">
        <v>67</v>
      </c>
      <c r="X1006">
        <v>882</v>
      </c>
      <c r="Y1006">
        <v>9075</v>
      </c>
      <c r="Z1006">
        <v>3669</v>
      </c>
      <c r="AA1006">
        <v>6</v>
      </c>
      <c r="AB1006">
        <v>35735</v>
      </c>
      <c r="AC1006" s="10">
        <v>43690</v>
      </c>
      <c r="AD1006" s="10" t="s">
        <v>72</v>
      </c>
      <c r="AE1006" t="s">
        <v>72</v>
      </c>
      <c r="AF1006" t="s">
        <v>45</v>
      </c>
    </row>
    <row r="1007" spans="1:32" x14ac:dyDescent="0.25">
      <c r="A1007">
        <v>1735</v>
      </c>
      <c r="B1007">
        <v>23</v>
      </c>
      <c r="C1007" t="s">
        <v>43</v>
      </c>
      <c r="D1007" t="s">
        <v>33</v>
      </c>
      <c r="E1007" t="s">
        <v>34</v>
      </c>
      <c r="F1007" t="s">
        <v>64</v>
      </c>
      <c r="G1007" t="s">
        <v>50</v>
      </c>
      <c r="H1007" t="s">
        <v>47</v>
      </c>
      <c r="I1007" t="s">
        <v>50</v>
      </c>
      <c r="J1007" t="s">
        <v>51</v>
      </c>
      <c r="K1007">
        <v>2</v>
      </c>
      <c r="L1007">
        <v>3</v>
      </c>
      <c r="M1007" t="s">
        <v>40</v>
      </c>
      <c r="N1007" t="s">
        <v>41</v>
      </c>
      <c r="O1007" t="s">
        <v>42</v>
      </c>
      <c r="P1007" t="s">
        <v>43</v>
      </c>
      <c r="Q1007">
        <v>13</v>
      </c>
      <c r="R1007">
        <v>1</v>
      </c>
      <c r="S1007">
        <v>3</v>
      </c>
      <c r="T1007">
        <v>1</v>
      </c>
      <c r="U1007">
        <v>2</v>
      </c>
      <c r="V1007">
        <v>4</v>
      </c>
      <c r="W1007">
        <v>51</v>
      </c>
      <c r="X1007">
        <v>160</v>
      </c>
      <c r="Y1007">
        <v>12862</v>
      </c>
      <c r="Z1007">
        <v>3295</v>
      </c>
      <c r="AA1007">
        <v>3</v>
      </c>
      <c r="AB1007">
        <v>36495</v>
      </c>
      <c r="AC1007" s="10">
        <v>43709</v>
      </c>
      <c r="AD1007" s="10" t="s">
        <v>72</v>
      </c>
      <c r="AE1007" t="s">
        <v>72</v>
      </c>
      <c r="AF1007" t="s">
        <v>45</v>
      </c>
    </row>
    <row r="1008" spans="1:32" x14ac:dyDescent="0.25">
      <c r="A1008">
        <v>379</v>
      </c>
      <c r="B1008">
        <v>21</v>
      </c>
      <c r="C1008" t="s">
        <v>43</v>
      </c>
      <c r="D1008" t="s">
        <v>33</v>
      </c>
      <c r="E1008" t="s">
        <v>34</v>
      </c>
      <c r="F1008" t="s">
        <v>67</v>
      </c>
      <c r="G1008" t="s">
        <v>59</v>
      </c>
      <c r="H1008" t="s">
        <v>37</v>
      </c>
      <c r="I1008" t="s">
        <v>38</v>
      </c>
      <c r="J1008" t="s">
        <v>39</v>
      </c>
      <c r="K1008">
        <v>3</v>
      </c>
      <c r="L1008">
        <v>3</v>
      </c>
      <c r="M1008" t="s">
        <v>58</v>
      </c>
      <c r="N1008" t="s">
        <v>41</v>
      </c>
      <c r="O1008" t="s">
        <v>42</v>
      </c>
      <c r="P1008" t="s">
        <v>43</v>
      </c>
      <c r="Q1008">
        <v>17</v>
      </c>
      <c r="R1008">
        <v>1</v>
      </c>
      <c r="S1008">
        <v>3</v>
      </c>
      <c r="T1008">
        <v>1</v>
      </c>
      <c r="U1008">
        <v>0</v>
      </c>
      <c r="V1008">
        <v>3</v>
      </c>
      <c r="W1008">
        <v>100</v>
      </c>
      <c r="X1008">
        <v>996</v>
      </c>
      <c r="Y1008">
        <v>10531</v>
      </c>
      <c r="Z1008">
        <v>3230</v>
      </c>
      <c r="AA1008">
        <v>4</v>
      </c>
      <c r="AB1008">
        <v>37222</v>
      </c>
      <c r="AC1008" s="10">
        <v>43718</v>
      </c>
      <c r="AD1008" s="10" t="s">
        <v>72</v>
      </c>
      <c r="AE1008" t="s">
        <v>72</v>
      </c>
      <c r="AF1008" t="s">
        <v>45</v>
      </c>
    </row>
    <row r="1009" spans="1:32" x14ac:dyDescent="0.25">
      <c r="A1009">
        <v>332</v>
      </c>
      <c r="B1009">
        <v>39</v>
      </c>
      <c r="C1009" t="s">
        <v>43</v>
      </c>
      <c r="D1009" t="s">
        <v>33</v>
      </c>
      <c r="E1009" t="s">
        <v>34</v>
      </c>
      <c r="F1009" t="s">
        <v>35</v>
      </c>
      <c r="G1009" t="s">
        <v>50</v>
      </c>
      <c r="H1009" t="s">
        <v>47</v>
      </c>
      <c r="I1009" t="s">
        <v>50</v>
      </c>
      <c r="J1009" t="s">
        <v>51</v>
      </c>
      <c r="K1009">
        <v>3</v>
      </c>
      <c r="L1009">
        <v>3</v>
      </c>
      <c r="M1009" t="s">
        <v>48</v>
      </c>
      <c r="N1009" t="s">
        <v>52</v>
      </c>
      <c r="O1009" t="s">
        <v>50</v>
      </c>
      <c r="P1009" t="s">
        <v>43</v>
      </c>
      <c r="Q1009">
        <v>14</v>
      </c>
      <c r="R1009">
        <v>7</v>
      </c>
      <c r="S1009">
        <v>7</v>
      </c>
      <c r="T1009">
        <v>1</v>
      </c>
      <c r="U1009">
        <v>2</v>
      </c>
      <c r="V1009">
        <v>1</v>
      </c>
      <c r="W1009">
        <v>96</v>
      </c>
      <c r="X1009">
        <v>1431</v>
      </c>
      <c r="Y1009">
        <v>15417</v>
      </c>
      <c r="Z1009">
        <v>2232</v>
      </c>
      <c r="AA1009">
        <v>1</v>
      </c>
      <c r="AB1009">
        <v>30591</v>
      </c>
      <c r="AC1009" s="10">
        <v>43754</v>
      </c>
      <c r="AD1009" s="10" t="s">
        <v>72</v>
      </c>
      <c r="AE1009" t="s">
        <v>72</v>
      </c>
      <c r="AF1009" t="s">
        <v>45</v>
      </c>
    </row>
    <row r="1010" spans="1:32" x14ac:dyDescent="0.25">
      <c r="A1010">
        <v>1474</v>
      </c>
      <c r="B1010">
        <v>40</v>
      </c>
      <c r="C1010" t="s">
        <v>43</v>
      </c>
      <c r="D1010" t="s">
        <v>33</v>
      </c>
      <c r="E1010" t="s">
        <v>34</v>
      </c>
      <c r="F1010" t="s">
        <v>49</v>
      </c>
      <c r="G1010" t="s">
        <v>50</v>
      </c>
      <c r="H1010" t="s">
        <v>37</v>
      </c>
      <c r="I1010" t="s">
        <v>50</v>
      </c>
      <c r="J1010" t="s">
        <v>39</v>
      </c>
      <c r="K1010">
        <v>3</v>
      </c>
      <c r="L1010">
        <v>3</v>
      </c>
      <c r="M1010" t="s">
        <v>58</v>
      </c>
      <c r="N1010" t="s">
        <v>52</v>
      </c>
      <c r="O1010" t="s">
        <v>36</v>
      </c>
      <c r="P1010" t="s">
        <v>43</v>
      </c>
      <c r="Q1010">
        <v>14</v>
      </c>
      <c r="R1010">
        <v>2</v>
      </c>
      <c r="S1010">
        <v>8</v>
      </c>
      <c r="T1010">
        <v>1</v>
      </c>
      <c r="U1010">
        <v>2</v>
      </c>
      <c r="V1010">
        <v>2</v>
      </c>
      <c r="W1010">
        <v>68</v>
      </c>
      <c r="X1010">
        <v>896</v>
      </c>
      <c r="Y1010">
        <v>8045</v>
      </c>
      <c r="Z1010">
        <v>2345</v>
      </c>
      <c r="AA1010">
        <v>3</v>
      </c>
      <c r="AB1010">
        <v>30355</v>
      </c>
      <c r="AC1010" s="10">
        <v>43768</v>
      </c>
      <c r="AD1010" s="10" t="s">
        <v>72</v>
      </c>
      <c r="AE1010" t="s">
        <v>72</v>
      </c>
      <c r="AF1010" t="s">
        <v>45</v>
      </c>
    </row>
    <row r="1011" spans="1:32" x14ac:dyDescent="0.25">
      <c r="A1011">
        <v>482</v>
      </c>
      <c r="B1011">
        <v>57</v>
      </c>
      <c r="C1011" t="s">
        <v>43</v>
      </c>
      <c r="D1011" t="s">
        <v>33</v>
      </c>
      <c r="E1011" t="s">
        <v>34</v>
      </c>
      <c r="F1011" t="s">
        <v>35</v>
      </c>
      <c r="G1011" t="s">
        <v>59</v>
      </c>
      <c r="H1011" t="s">
        <v>37</v>
      </c>
      <c r="I1011" t="s">
        <v>50</v>
      </c>
      <c r="J1011" t="s">
        <v>62</v>
      </c>
      <c r="K1011">
        <v>3</v>
      </c>
      <c r="L1011">
        <v>3</v>
      </c>
      <c r="M1011" t="s">
        <v>48</v>
      </c>
      <c r="N1011" t="s">
        <v>61</v>
      </c>
      <c r="O1011" t="s">
        <v>42</v>
      </c>
      <c r="P1011" t="s">
        <v>43</v>
      </c>
      <c r="Q1011">
        <v>11</v>
      </c>
      <c r="R1011">
        <v>2</v>
      </c>
      <c r="S1011">
        <v>15</v>
      </c>
      <c r="T1011">
        <v>1</v>
      </c>
      <c r="U1011">
        <v>2</v>
      </c>
      <c r="V1011">
        <v>1</v>
      </c>
      <c r="W1011">
        <v>88</v>
      </c>
      <c r="X1011">
        <v>593</v>
      </c>
      <c r="Y1011">
        <v>2967</v>
      </c>
      <c r="Z1011">
        <v>6755</v>
      </c>
      <c r="AA1011">
        <v>2</v>
      </c>
      <c r="AB1011">
        <v>24057</v>
      </c>
      <c r="AC1011" s="10">
        <v>43772</v>
      </c>
      <c r="AD1011" s="10" t="s">
        <v>72</v>
      </c>
      <c r="AE1011" t="s">
        <v>72</v>
      </c>
      <c r="AF1011" t="s">
        <v>45</v>
      </c>
    </row>
    <row r="1012" spans="1:32" x14ac:dyDescent="0.25">
      <c r="A1012">
        <v>1430</v>
      </c>
      <c r="B1012">
        <v>31</v>
      </c>
      <c r="C1012" t="s">
        <v>43</v>
      </c>
      <c r="D1012" t="s">
        <v>33</v>
      </c>
      <c r="E1012" t="s">
        <v>34</v>
      </c>
      <c r="F1012" t="s">
        <v>70</v>
      </c>
      <c r="G1012" t="s">
        <v>36</v>
      </c>
      <c r="H1012" t="s">
        <v>47</v>
      </c>
      <c r="I1012" t="s">
        <v>50</v>
      </c>
      <c r="J1012" t="s">
        <v>71</v>
      </c>
      <c r="K1012">
        <v>2</v>
      </c>
      <c r="L1012">
        <v>3</v>
      </c>
      <c r="M1012" t="s">
        <v>58</v>
      </c>
      <c r="N1012" t="s">
        <v>41</v>
      </c>
      <c r="O1012" t="s">
        <v>42</v>
      </c>
      <c r="P1012" t="s">
        <v>43</v>
      </c>
      <c r="Q1012">
        <v>11</v>
      </c>
      <c r="R1012">
        <v>3</v>
      </c>
      <c r="S1012">
        <v>9</v>
      </c>
      <c r="T1012">
        <v>1</v>
      </c>
      <c r="U1012">
        <v>0</v>
      </c>
      <c r="V1012">
        <v>8</v>
      </c>
      <c r="W1012">
        <v>93</v>
      </c>
      <c r="X1012">
        <v>182</v>
      </c>
      <c r="Y1012">
        <v>8847</v>
      </c>
      <c r="Z1012">
        <v>16422</v>
      </c>
      <c r="AA1012">
        <v>3</v>
      </c>
      <c r="AB1012">
        <v>33755</v>
      </c>
      <c r="AC1012" s="10">
        <v>43785</v>
      </c>
      <c r="AD1012" s="10" t="s">
        <v>72</v>
      </c>
      <c r="AE1012" t="s">
        <v>72</v>
      </c>
      <c r="AF1012" t="s">
        <v>55</v>
      </c>
    </row>
    <row r="1013" spans="1:32" x14ac:dyDescent="0.25">
      <c r="A1013">
        <v>1614</v>
      </c>
      <c r="B1013">
        <v>36</v>
      </c>
      <c r="C1013" t="s">
        <v>43</v>
      </c>
      <c r="D1013" t="s">
        <v>33</v>
      </c>
      <c r="E1013" t="s">
        <v>34</v>
      </c>
      <c r="F1013" t="s">
        <v>35</v>
      </c>
      <c r="G1013" t="s">
        <v>50</v>
      </c>
      <c r="H1013" t="s">
        <v>47</v>
      </c>
      <c r="I1013" t="s">
        <v>50</v>
      </c>
      <c r="J1013" t="s">
        <v>65</v>
      </c>
      <c r="K1013">
        <v>3</v>
      </c>
      <c r="L1013">
        <v>3</v>
      </c>
      <c r="M1013" t="s">
        <v>48</v>
      </c>
      <c r="N1013" t="s">
        <v>61</v>
      </c>
      <c r="O1013" t="s">
        <v>53</v>
      </c>
      <c r="P1013" t="s">
        <v>32</v>
      </c>
      <c r="Q1013">
        <v>12</v>
      </c>
      <c r="R1013">
        <v>9</v>
      </c>
      <c r="S1013">
        <v>7</v>
      </c>
      <c r="T1013">
        <v>1</v>
      </c>
      <c r="U1013">
        <v>1</v>
      </c>
      <c r="V1013">
        <v>12</v>
      </c>
      <c r="W1013">
        <v>76</v>
      </c>
      <c r="X1013">
        <v>559</v>
      </c>
      <c r="Y1013">
        <v>12421</v>
      </c>
      <c r="Z1013">
        <v>4663</v>
      </c>
      <c r="AA1013">
        <v>2</v>
      </c>
      <c r="AB1013">
        <v>31755</v>
      </c>
      <c r="AC1013" s="10">
        <v>43785</v>
      </c>
      <c r="AD1013" s="10" t="s">
        <v>72</v>
      </c>
      <c r="AE1013" t="s">
        <v>72</v>
      </c>
      <c r="AF1013" t="s">
        <v>45</v>
      </c>
    </row>
    <row r="1014" spans="1:32" x14ac:dyDescent="0.25">
      <c r="A1014">
        <v>1465</v>
      </c>
      <c r="B1014">
        <v>45</v>
      </c>
      <c r="C1014" t="s">
        <v>43</v>
      </c>
      <c r="D1014" t="s">
        <v>33</v>
      </c>
      <c r="E1014" t="s">
        <v>34</v>
      </c>
      <c r="F1014" t="s">
        <v>49</v>
      </c>
      <c r="G1014" t="s">
        <v>38</v>
      </c>
      <c r="H1014" t="s">
        <v>37</v>
      </c>
      <c r="I1014" t="s">
        <v>50</v>
      </c>
      <c r="J1014" t="s">
        <v>65</v>
      </c>
      <c r="K1014">
        <v>4</v>
      </c>
      <c r="L1014">
        <v>3</v>
      </c>
      <c r="M1014" t="s">
        <v>58</v>
      </c>
      <c r="N1014" t="s">
        <v>61</v>
      </c>
      <c r="O1014" t="s">
        <v>53</v>
      </c>
      <c r="P1014" t="s">
        <v>32</v>
      </c>
      <c r="Q1014">
        <v>18</v>
      </c>
      <c r="R1014">
        <v>4</v>
      </c>
      <c r="S1014">
        <v>10</v>
      </c>
      <c r="T1014">
        <v>1</v>
      </c>
      <c r="U1014">
        <v>2</v>
      </c>
      <c r="V1014">
        <v>29</v>
      </c>
      <c r="W1014">
        <v>55</v>
      </c>
      <c r="X1014">
        <v>1448</v>
      </c>
      <c r="Y1014">
        <v>14720</v>
      </c>
      <c r="Z1014">
        <v>9380</v>
      </c>
      <c r="AA1014">
        <v>4</v>
      </c>
      <c r="AB1014">
        <v>28583</v>
      </c>
      <c r="AC1014" s="10">
        <v>43794</v>
      </c>
      <c r="AD1014" s="10" t="s">
        <v>72</v>
      </c>
      <c r="AE1014" t="s">
        <v>72</v>
      </c>
      <c r="AF1014" t="s">
        <v>45</v>
      </c>
    </row>
    <row r="1015" spans="1:32" x14ac:dyDescent="0.25">
      <c r="A1015">
        <v>1099</v>
      </c>
      <c r="B1015">
        <v>33</v>
      </c>
      <c r="C1015" t="s">
        <v>43</v>
      </c>
      <c r="D1015" t="s">
        <v>33</v>
      </c>
      <c r="E1015" t="s">
        <v>34</v>
      </c>
      <c r="F1015" t="s">
        <v>49</v>
      </c>
      <c r="G1015" t="s">
        <v>59</v>
      </c>
      <c r="H1015" t="s">
        <v>37</v>
      </c>
      <c r="I1015" t="s">
        <v>38</v>
      </c>
      <c r="J1015" t="s">
        <v>62</v>
      </c>
      <c r="K1015">
        <v>4</v>
      </c>
      <c r="L1015">
        <v>3</v>
      </c>
      <c r="M1015" t="s">
        <v>48</v>
      </c>
      <c r="N1015" t="s">
        <v>52</v>
      </c>
      <c r="O1015" t="s">
        <v>36</v>
      </c>
      <c r="P1015" t="s">
        <v>43</v>
      </c>
      <c r="Q1015">
        <v>15</v>
      </c>
      <c r="R1015">
        <v>4</v>
      </c>
      <c r="S1015">
        <v>9</v>
      </c>
      <c r="T1015">
        <v>1</v>
      </c>
      <c r="U1015">
        <v>2</v>
      </c>
      <c r="V1015">
        <v>5</v>
      </c>
      <c r="W1015">
        <v>34</v>
      </c>
      <c r="X1015">
        <v>654</v>
      </c>
      <c r="Y1015">
        <v>21214</v>
      </c>
      <c r="Z1015">
        <v>7119</v>
      </c>
      <c r="AA1015">
        <v>2</v>
      </c>
      <c r="AB1015">
        <v>32755</v>
      </c>
      <c r="AC1015" s="10">
        <v>43803</v>
      </c>
      <c r="AD1015" s="10" t="s">
        <v>72</v>
      </c>
      <c r="AE1015" t="s">
        <v>72</v>
      </c>
      <c r="AF1015" t="s">
        <v>45</v>
      </c>
    </row>
    <row r="1016" spans="1:32" x14ac:dyDescent="0.25">
      <c r="A1016">
        <v>447</v>
      </c>
      <c r="B1016">
        <v>47</v>
      </c>
      <c r="C1016" t="s">
        <v>43</v>
      </c>
      <c r="D1016" t="s">
        <v>33</v>
      </c>
      <c r="E1016" t="s">
        <v>34</v>
      </c>
      <c r="F1016" t="s">
        <v>70</v>
      </c>
      <c r="G1016" t="s">
        <v>59</v>
      </c>
      <c r="H1016" t="s">
        <v>37</v>
      </c>
      <c r="I1016" t="s">
        <v>50</v>
      </c>
      <c r="J1016" t="s">
        <v>71</v>
      </c>
      <c r="K1016">
        <v>3</v>
      </c>
      <c r="L1016">
        <v>3</v>
      </c>
      <c r="M1016" t="s">
        <v>48</v>
      </c>
      <c r="N1016" t="s">
        <v>61</v>
      </c>
      <c r="O1016" t="s">
        <v>36</v>
      </c>
      <c r="P1016" t="s">
        <v>43</v>
      </c>
      <c r="Q1016">
        <v>11</v>
      </c>
      <c r="R1016">
        <v>4</v>
      </c>
      <c r="S1016">
        <v>21</v>
      </c>
      <c r="T1016">
        <v>1</v>
      </c>
      <c r="U1016">
        <v>1</v>
      </c>
      <c r="V1016">
        <v>5</v>
      </c>
      <c r="W1016">
        <v>42</v>
      </c>
      <c r="X1016">
        <v>1482</v>
      </c>
      <c r="Y1016">
        <v>16375</v>
      </c>
      <c r="Z1016">
        <v>18300</v>
      </c>
      <c r="AA1016">
        <v>2</v>
      </c>
      <c r="AB1016">
        <v>27647</v>
      </c>
      <c r="AC1016" s="10">
        <v>43817</v>
      </c>
      <c r="AD1016" s="10" t="s">
        <v>72</v>
      </c>
      <c r="AE1016" t="s">
        <v>72</v>
      </c>
      <c r="AF1016" t="s">
        <v>45</v>
      </c>
    </row>
    <row r="1017" spans="1:32" x14ac:dyDescent="0.25">
      <c r="A1017">
        <v>495</v>
      </c>
      <c r="B1017">
        <v>29</v>
      </c>
      <c r="C1017" t="s">
        <v>43</v>
      </c>
      <c r="D1017" t="s">
        <v>33</v>
      </c>
      <c r="E1017" t="s">
        <v>34</v>
      </c>
      <c r="F1017" t="s">
        <v>49</v>
      </c>
      <c r="G1017" t="s">
        <v>59</v>
      </c>
      <c r="H1017" t="s">
        <v>37</v>
      </c>
      <c r="I1017" t="s">
        <v>50</v>
      </c>
      <c r="J1017" t="s">
        <v>39</v>
      </c>
      <c r="K1017">
        <v>4</v>
      </c>
      <c r="L1017">
        <v>3</v>
      </c>
      <c r="M1017" t="s">
        <v>48</v>
      </c>
      <c r="N1017" t="s">
        <v>41</v>
      </c>
      <c r="O1017" t="s">
        <v>42</v>
      </c>
      <c r="P1017" t="s">
        <v>43</v>
      </c>
      <c r="Q1017">
        <v>16</v>
      </c>
      <c r="R1017">
        <v>9</v>
      </c>
      <c r="S1017">
        <v>6</v>
      </c>
      <c r="T1017">
        <v>1</v>
      </c>
      <c r="U1017">
        <v>2</v>
      </c>
      <c r="V1017">
        <v>23</v>
      </c>
      <c r="W1017">
        <v>54</v>
      </c>
      <c r="X1017">
        <v>1283</v>
      </c>
      <c r="Y1017">
        <v>18168</v>
      </c>
      <c r="Z1017">
        <v>2201</v>
      </c>
      <c r="AA1017">
        <v>4</v>
      </c>
      <c r="AB1017">
        <v>34517</v>
      </c>
      <c r="AC1017" s="10">
        <v>43836</v>
      </c>
      <c r="AD1017" s="10" t="s">
        <v>72</v>
      </c>
      <c r="AE1017" t="s">
        <v>72</v>
      </c>
      <c r="AF1017" t="s">
        <v>55</v>
      </c>
    </row>
    <row r="1018" spans="1:32" x14ac:dyDescent="0.25">
      <c r="A1018">
        <v>1501</v>
      </c>
      <c r="B1018">
        <v>55</v>
      </c>
      <c r="C1018" t="s">
        <v>43</v>
      </c>
      <c r="D1018" t="s">
        <v>33</v>
      </c>
      <c r="E1018" t="s">
        <v>34</v>
      </c>
      <c r="F1018" t="s">
        <v>35</v>
      </c>
      <c r="G1018" t="s">
        <v>59</v>
      </c>
      <c r="H1018" t="s">
        <v>37</v>
      </c>
      <c r="I1018" t="s">
        <v>50</v>
      </c>
      <c r="J1018" t="s">
        <v>62</v>
      </c>
      <c r="K1018">
        <v>3</v>
      </c>
      <c r="L1018">
        <v>3</v>
      </c>
      <c r="M1018" t="s">
        <v>48</v>
      </c>
      <c r="N1018" t="s">
        <v>61</v>
      </c>
      <c r="O1018" t="s">
        <v>42</v>
      </c>
      <c r="P1018" t="s">
        <v>32</v>
      </c>
      <c r="Q1018">
        <v>16</v>
      </c>
      <c r="R1018">
        <v>0</v>
      </c>
      <c r="S1018">
        <v>4</v>
      </c>
      <c r="T1018">
        <v>1</v>
      </c>
      <c r="U1018">
        <v>2</v>
      </c>
      <c r="V1018">
        <v>4</v>
      </c>
      <c r="W1018">
        <v>30</v>
      </c>
      <c r="X1018">
        <v>1229</v>
      </c>
      <c r="Y1018">
        <v>16143</v>
      </c>
      <c r="Z1018">
        <v>4035</v>
      </c>
      <c r="AA1018">
        <v>2</v>
      </c>
      <c r="AB1018">
        <v>24746</v>
      </c>
      <c r="AC1018" s="10">
        <v>43838</v>
      </c>
      <c r="AD1018" s="10" t="s">
        <v>72</v>
      </c>
      <c r="AE1018" t="s">
        <v>72</v>
      </c>
      <c r="AF1018" t="s">
        <v>45</v>
      </c>
    </row>
    <row r="1019" spans="1:32" x14ac:dyDescent="0.25">
      <c r="A1019">
        <v>1317</v>
      </c>
      <c r="B1019">
        <v>50</v>
      </c>
      <c r="C1019" t="s">
        <v>43</v>
      </c>
      <c r="D1019" t="s">
        <v>33</v>
      </c>
      <c r="E1019" t="s">
        <v>34</v>
      </c>
      <c r="F1019" t="s">
        <v>49</v>
      </c>
      <c r="G1019" t="s">
        <v>59</v>
      </c>
      <c r="H1019" t="s">
        <v>47</v>
      </c>
      <c r="I1019" t="s">
        <v>50</v>
      </c>
      <c r="J1019" t="s">
        <v>71</v>
      </c>
      <c r="K1019">
        <v>1</v>
      </c>
      <c r="L1019">
        <v>3</v>
      </c>
      <c r="M1019" t="s">
        <v>48</v>
      </c>
      <c r="N1019" t="s">
        <v>61</v>
      </c>
      <c r="O1019" t="s">
        <v>42</v>
      </c>
      <c r="P1019" t="s">
        <v>32</v>
      </c>
      <c r="Q1019">
        <v>11</v>
      </c>
      <c r="R1019">
        <v>4</v>
      </c>
      <c r="S1019">
        <v>25</v>
      </c>
      <c r="T1019">
        <v>1</v>
      </c>
      <c r="U1019">
        <v>2</v>
      </c>
      <c r="V1019">
        <v>28</v>
      </c>
      <c r="W1019">
        <v>43</v>
      </c>
      <c r="X1019">
        <v>1322</v>
      </c>
      <c r="Y1019">
        <v>22422</v>
      </c>
      <c r="Z1019">
        <v>16880</v>
      </c>
      <c r="AA1019">
        <v>2</v>
      </c>
      <c r="AB1019">
        <v>26583</v>
      </c>
      <c r="AC1019" s="10">
        <v>43875</v>
      </c>
      <c r="AD1019" s="10" t="s">
        <v>72</v>
      </c>
      <c r="AE1019" t="s">
        <v>72</v>
      </c>
      <c r="AF1019" t="s">
        <v>45</v>
      </c>
    </row>
    <row r="1020" spans="1:32" x14ac:dyDescent="0.25">
      <c r="A1020">
        <v>1301</v>
      </c>
      <c r="B1020">
        <v>28</v>
      </c>
      <c r="C1020" t="s">
        <v>43</v>
      </c>
      <c r="D1020" t="s">
        <v>33</v>
      </c>
      <c r="E1020" t="s">
        <v>34</v>
      </c>
      <c r="F1020" t="s">
        <v>49</v>
      </c>
      <c r="G1020" t="s">
        <v>59</v>
      </c>
      <c r="H1020" t="s">
        <v>37</v>
      </c>
      <c r="I1020" t="s">
        <v>50</v>
      </c>
      <c r="J1020" t="s">
        <v>39</v>
      </c>
      <c r="K1020">
        <v>1</v>
      </c>
      <c r="L1020">
        <v>3</v>
      </c>
      <c r="M1020" t="s">
        <v>60</v>
      </c>
      <c r="N1020" t="s">
        <v>41</v>
      </c>
      <c r="O1020" t="s">
        <v>42</v>
      </c>
      <c r="P1020" t="s">
        <v>43</v>
      </c>
      <c r="Q1020">
        <v>11</v>
      </c>
      <c r="R1020">
        <v>2</v>
      </c>
      <c r="S1020">
        <v>5</v>
      </c>
      <c r="T1020">
        <v>1</v>
      </c>
      <c r="U1020">
        <v>2</v>
      </c>
      <c r="V1020">
        <v>1</v>
      </c>
      <c r="W1020">
        <v>84</v>
      </c>
      <c r="X1020">
        <v>640</v>
      </c>
      <c r="Y1020">
        <v>4732</v>
      </c>
      <c r="Z1020">
        <v>2080</v>
      </c>
      <c r="AA1020">
        <v>2</v>
      </c>
      <c r="AB1020">
        <v>34552</v>
      </c>
      <c r="AC1020" s="10">
        <v>43891</v>
      </c>
      <c r="AD1020" s="10" t="s">
        <v>72</v>
      </c>
      <c r="AE1020" t="s">
        <v>72</v>
      </c>
      <c r="AF1020" t="s">
        <v>55</v>
      </c>
    </row>
    <row r="1021" spans="1:32" x14ac:dyDescent="0.25">
      <c r="A1021">
        <v>24</v>
      </c>
      <c r="B1021">
        <v>38</v>
      </c>
      <c r="C1021" t="s">
        <v>43</v>
      </c>
      <c r="D1021" t="s">
        <v>33</v>
      </c>
      <c r="E1021" t="s">
        <v>34</v>
      </c>
      <c r="F1021" t="s">
        <v>49</v>
      </c>
      <c r="G1021" t="s">
        <v>59</v>
      </c>
      <c r="H1021" t="s">
        <v>37</v>
      </c>
      <c r="I1021" t="s">
        <v>50</v>
      </c>
      <c r="J1021" t="s">
        <v>39</v>
      </c>
      <c r="K1021">
        <v>4</v>
      </c>
      <c r="L1021">
        <v>3</v>
      </c>
      <c r="M1021" t="s">
        <v>48</v>
      </c>
      <c r="N1021" t="s">
        <v>41</v>
      </c>
      <c r="O1021" t="s">
        <v>42</v>
      </c>
      <c r="P1021" t="s">
        <v>32</v>
      </c>
      <c r="Q1021">
        <v>11</v>
      </c>
      <c r="R1021">
        <v>5</v>
      </c>
      <c r="S1021">
        <v>6</v>
      </c>
      <c r="T1021">
        <v>1</v>
      </c>
      <c r="U1021">
        <v>2</v>
      </c>
      <c r="V1021">
        <v>2</v>
      </c>
      <c r="W1021">
        <v>45</v>
      </c>
      <c r="X1021">
        <v>371</v>
      </c>
      <c r="Y1021">
        <v>4306</v>
      </c>
      <c r="Z1021">
        <v>3944</v>
      </c>
      <c r="AA1021">
        <v>3</v>
      </c>
      <c r="AB1021">
        <v>31201</v>
      </c>
      <c r="AC1021" s="10">
        <v>43892</v>
      </c>
      <c r="AD1021" s="10" t="s">
        <v>72</v>
      </c>
      <c r="AE1021" t="s">
        <v>72</v>
      </c>
      <c r="AF1021" t="s">
        <v>45</v>
      </c>
    </row>
    <row r="1022" spans="1:32" x14ac:dyDescent="0.25">
      <c r="A1022">
        <v>247</v>
      </c>
      <c r="B1022">
        <v>34</v>
      </c>
      <c r="C1022" t="s">
        <v>43</v>
      </c>
      <c r="D1022" t="s">
        <v>33</v>
      </c>
      <c r="E1022" t="s">
        <v>34</v>
      </c>
      <c r="F1022" t="s">
        <v>67</v>
      </c>
      <c r="G1022" t="s">
        <v>59</v>
      </c>
      <c r="H1022" t="s">
        <v>47</v>
      </c>
      <c r="I1022" t="s">
        <v>50</v>
      </c>
      <c r="J1022" t="s">
        <v>39</v>
      </c>
      <c r="K1022">
        <v>2</v>
      </c>
      <c r="L1022">
        <v>3</v>
      </c>
      <c r="M1022" t="s">
        <v>48</v>
      </c>
      <c r="N1022" t="s">
        <v>41</v>
      </c>
      <c r="O1022" t="s">
        <v>42</v>
      </c>
      <c r="P1022" t="s">
        <v>43</v>
      </c>
      <c r="Q1022">
        <v>15</v>
      </c>
      <c r="R1022">
        <v>2</v>
      </c>
      <c r="S1022">
        <v>9</v>
      </c>
      <c r="T1022">
        <v>1</v>
      </c>
      <c r="U1022">
        <v>2</v>
      </c>
      <c r="V1022">
        <v>27</v>
      </c>
      <c r="W1022">
        <v>95</v>
      </c>
      <c r="X1022">
        <v>629</v>
      </c>
      <c r="Y1022">
        <v>5711</v>
      </c>
      <c r="Z1022">
        <v>2311</v>
      </c>
      <c r="AA1022">
        <v>3</v>
      </c>
      <c r="AB1022">
        <v>32498</v>
      </c>
      <c r="AC1022" s="10">
        <v>43895</v>
      </c>
      <c r="AD1022" s="10" t="s">
        <v>72</v>
      </c>
      <c r="AE1022" t="s">
        <v>72</v>
      </c>
      <c r="AF1022" t="s">
        <v>45</v>
      </c>
    </row>
    <row r="1023" spans="1:32" x14ac:dyDescent="0.25">
      <c r="A1023">
        <v>1249</v>
      </c>
      <c r="B1023">
        <v>29</v>
      </c>
      <c r="C1023" t="s">
        <v>43</v>
      </c>
      <c r="D1023" t="s">
        <v>33</v>
      </c>
      <c r="E1023" t="s">
        <v>34</v>
      </c>
      <c r="F1023" t="s">
        <v>49</v>
      </c>
      <c r="G1023" t="s">
        <v>36</v>
      </c>
      <c r="H1023" t="s">
        <v>47</v>
      </c>
      <c r="I1023" t="s">
        <v>50</v>
      </c>
      <c r="J1023" t="s">
        <v>39</v>
      </c>
      <c r="K1023">
        <v>4</v>
      </c>
      <c r="L1023">
        <v>3</v>
      </c>
      <c r="M1023" t="s">
        <v>48</v>
      </c>
      <c r="N1023" t="s">
        <v>52</v>
      </c>
      <c r="O1023" t="s">
        <v>50</v>
      </c>
      <c r="P1023" t="s">
        <v>43</v>
      </c>
      <c r="Q1023">
        <v>15</v>
      </c>
      <c r="R1023">
        <v>1</v>
      </c>
      <c r="S1023">
        <v>3</v>
      </c>
      <c r="T1023">
        <v>1</v>
      </c>
      <c r="U1023">
        <v>2</v>
      </c>
      <c r="V1023">
        <v>1</v>
      </c>
      <c r="W1023">
        <v>97</v>
      </c>
      <c r="X1023">
        <v>1010</v>
      </c>
      <c r="Y1023">
        <v>5598</v>
      </c>
      <c r="Z1023">
        <v>3760</v>
      </c>
      <c r="AA1023">
        <v>5</v>
      </c>
      <c r="AB1023">
        <v>34271</v>
      </c>
      <c r="AC1023" s="10">
        <v>43902</v>
      </c>
      <c r="AD1023" s="10" t="s">
        <v>72</v>
      </c>
      <c r="AE1023" t="s">
        <v>72</v>
      </c>
      <c r="AF1023" t="s">
        <v>45</v>
      </c>
    </row>
    <row r="1024" spans="1:32" x14ac:dyDescent="0.25">
      <c r="A1024">
        <v>1564</v>
      </c>
      <c r="B1024">
        <v>35</v>
      </c>
      <c r="C1024" t="s">
        <v>43</v>
      </c>
      <c r="D1024" t="s">
        <v>33</v>
      </c>
      <c r="E1024" t="s">
        <v>34</v>
      </c>
      <c r="F1024" t="s">
        <v>49</v>
      </c>
      <c r="G1024" t="s">
        <v>59</v>
      </c>
      <c r="H1024" t="s">
        <v>37</v>
      </c>
      <c r="I1024" t="s">
        <v>38</v>
      </c>
      <c r="J1024" t="s">
        <v>51</v>
      </c>
      <c r="K1024">
        <v>1</v>
      </c>
      <c r="L1024">
        <v>3</v>
      </c>
      <c r="M1024" t="s">
        <v>48</v>
      </c>
      <c r="N1024" t="s">
        <v>41</v>
      </c>
      <c r="O1024" t="s">
        <v>42</v>
      </c>
      <c r="P1024" t="s">
        <v>43</v>
      </c>
      <c r="Q1024">
        <v>19</v>
      </c>
      <c r="R1024">
        <v>1</v>
      </c>
      <c r="S1024">
        <v>3</v>
      </c>
      <c r="T1024">
        <v>1</v>
      </c>
      <c r="U1024">
        <v>2</v>
      </c>
      <c r="V1024">
        <v>1</v>
      </c>
      <c r="W1024">
        <v>68</v>
      </c>
      <c r="X1024">
        <v>992</v>
      </c>
      <c r="Y1024">
        <v>21731</v>
      </c>
      <c r="Z1024">
        <v>2450</v>
      </c>
      <c r="AA1024">
        <v>3</v>
      </c>
      <c r="AB1024">
        <v>32135</v>
      </c>
      <c r="AC1024" s="10">
        <v>43907</v>
      </c>
      <c r="AD1024" s="10" t="s">
        <v>72</v>
      </c>
      <c r="AE1024" t="s">
        <v>72</v>
      </c>
      <c r="AF1024" t="s">
        <v>45</v>
      </c>
    </row>
    <row r="1025" spans="1:32" x14ac:dyDescent="0.25">
      <c r="A1025">
        <v>611</v>
      </c>
      <c r="B1025">
        <v>29</v>
      </c>
      <c r="C1025" t="s">
        <v>43</v>
      </c>
      <c r="D1025" t="s">
        <v>33</v>
      </c>
      <c r="E1025" t="s">
        <v>34</v>
      </c>
      <c r="F1025" t="s">
        <v>49</v>
      </c>
      <c r="G1025" t="s">
        <v>59</v>
      </c>
      <c r="H1025" t="s">
        <v>37</v>
      </c>
      <c r="I1025" t="s">
        <v>50</v>
      </c>
      <c r="J1025" t="s">
        <v>65</v>
      </c>
      <c r="K1025">
        <v>4</v>
      </c>
      <c r="L1025">
        <v>3</v>
      </c>
      <c r="M1025" t="s">
        <v>58</v>
      </c>
      <c r="N1025" t="s">
        <v>52</v>
      </c>
      <c r="O1025" t="s">
        <v>53</v>
      </c>
      <c r="P1025" t="s">
        <v>43</v>
      </c>
      <c r="Q1025">
        <v>12</v>
      </c>
      <c r="R1025">
        <v>4</v>
      </c>
      <c r="S1025">
        <v>8</v>
      </c>
      <c r="T1025">
        <v>1</v>
      </c>
      <c r="U1025">
        <v>2</v>
      </c>
      <c r="V1025">
        <v>19</v>
      </c>
      <c r="W1025">
        <v>34</v>
      </c>
      <c r="X1025">
        <v>232</v>
      </c>
      <c r="Y1025">
        <v>22645</v>
      </c>
      <c r="Z1025">
        <v>4262</v>
      </c>
      <c r="AA1025">
        <v>2</v>
      </c>
      <c r="AB1025">
        <v>34505</v>
      </c>
      <c r="AC1025" s="10">
        <v>43942</v>
      </c>
      <c r="AD1025" s="10" t="s">
        <v>72</v>
      </c>
      <c r="AE1025" t="s">
        <v>72</v>
      </c>
      <c r="AF1025" t="s">
        <v>55</v>
      </c>
    </row>
    <row r="1026" spans="1:32" x14ac:dyDescent="0.25">
      <c r="A1026">
        <v>2007</v>
      </c>
      <c r="B1026">
        <v>22</v>
      </c>
      <c r="C1026" t="s">
        <v>43</v>
      </c>
      <c r="D1026" t="s">
        <v>33</v>
      </c>
      <c r="E1026" t="s">
        <v>34</v>
      </c>
      <c r="F1026" t="s">
        <v>67</v>
      </c>
      <c r="G1026" t="s">
        <v>59</v>
      </c>
      <c r="H1026" t="s">
        <v>37</v>
      </c>
      <c r="I1026" t="s">
        <v>50</v>
      </c>
      <c r="J1026" t="s">
        <v>39</v>
      </c>
      <c r="K1026">
        <v>3</v>
      </c>
      <c r="L1026">
        <v>3</v>
      </c>
      <c r="M1026" t="s">
        <v>58</v>
      </c>
      <c r="N1026" t="s">
        <v>41</v>
      </c>
      <c r="O1026" t="s">
        <v>42</v>
      </c>
      <c r="P1026" t="s">
        <v>43</v>
      </c>
      <c r="Q1026">
        <v>12</v>
      </c>
      <c r="R1026">
        <v>0</v>
      </c>
      <c r="S1026">
        <v>4</v>
      </c>
      <c r="T1026">
        <v>1</v>
      </c>
      <c r="U1026">
        <v>2</v>
      </c>
      <c r="V1026">
        <v>1</v>
      </c>
      <c r="W1026">
        <v>63</v>
      </c>
      <c r="X1026">
        <v>581</v>
      </c>
      <c r="Y1026">
        <v>17624</v>
      </c>
      <c r="Z1026">
        <v>3375</v>
      </c>
      <c r="AA1026">
        <v>2</v>
      </c>
      <c r="AB1026">
        <v>36801</v>
      </c>
      <c r="AC1026" s="10">
        <v>43992</v>
      </c>
      <c r="AD1026" s="10" t="s">
        <v>72</v>
      </c>
      <c r="AE1026" t="s">
        <v>72</v>
      </c>
      <c r="AF1026" t="s">
        <v>45</v>
      </c>
    </row>
    <row r="1027" spans="1:32" x14ac:dyDescent="0.25">
      <c r="A1027">
        <v>511</v>
      </c>
      <c r="B1027">
        <v>22</v>
      </c>
      <c r="C1027" t="s">
        <v>43</v>
      </c>
      <c r="D1027" t="s">
        <v>33</v>
      </c>
      <c r="E1027" t="s">
        <v>34</v>
      </c>
      <c r="F1027" t="s">
        <v>49</v>
      </c>
      <c r="G1027" t="s">
        <v>36</v>
      </c>
      <c r="H1027" t="s">
        <v>47</v>
      </c>
      <c r="I1027" t="s">
        <v>50</v>
      </c>
      <c r="J1027" t="s">
        <v>39</v>
      </c>
      <c r="K1027">
        <v>2</v>
      </c>
      <c r="L1027">
        <v>3</v>
      </c>
      <c r="M1027" t="s">
        <v>48</v>
      </c>
      <c r="N1027" t="s">
        <v>61</v>
      </c>
      <c r="O1027" t="s">
        <v>36</v>
      </c>
      <c r="P1027" t="s">
        <v>43</v>
      </c>
      <c r="Q1027">
        <v>13</v>
      </c>
      <c r="R1027">
        <v>1</v>
      </c>
      <c r="S1027">
        <v>2</v>
      </c>
      <c r="T1027">
        <v>1</v>
      </c>
      <c r="U1027">
        <v>2</v>
      </c>
      <c r="V1027">
        <v>11</v>
      </c>
      <c r="W1027">
        <v>43</v>
      </c>
      <c r="X1027">
        <v>253</v>
      </c>
      <c r="Y1027">
        <v>24440</v>
      </c>
      <c r="Z1027">
        <v>2244</v>
      </c>
      <c r="AA1027">
        <v>1</v>
      </c>
      <c r="AB1027">
        <v>36931</v>
      </c>
      <c r="AC1027" s="10">
        <v>44111</v>
      </c>
      <c r="AD1027" s="10" t="s">
        <v>72</v>
      </c>
      <c r="AE1027" t="s">
        <v>72</v>
      </c>
      <c r="AF1027" t="s">
        <v>45</v>
      </c>
    </row>
    <row r="1028" spans="1:32" x14ac:dyDescent="0.25">
      <c r="A1028">
        <v>1198</v>
      </c>
      <c r="B1028">
        <v>20</v>
      </c>
      <c r="C1028" t="s">
        <v>43</v>
      </c>
      <c r="D1028" t="s">
        <v>33</v>
      </c>
      <c r="E1028" t="s">
        <v>34</v>
      </c>
      <c r="F1028" t="s">
        <v>49</v>
      </c>
      <c r="G1028" t="s">
        <v>36</v>
      </c>
      <c r="H1028" t="s">
        <v>37</v>
      </c>
      <c r="I1028" t="s">
        <v>38</v>
      </c>
      <c r="J1028" t="s">
        <v>51</v>
      </c>
      <c r="K1028">
        <v>3</v>
      </c>
      <c r="L1028">
        <v>3</v>
      </c>
      <c r="M1028" t="s">
        <v>60</v>
      </c>
      <c r="N1028" t="s">
        <v>41</v>
      </c>
      <c r="O1028" t="s">
        <v>42</v>
      </c>
      <c r="P1028" t="s">
        <v>43</v>
      </c>
      <c r="Q1028">
        <v>12</v>
      </c>
      <c r="R1028">
        <v>1</v>
      </c>
      <c r="S1028">
        <v>2</v>
      </c>
      <c r="T1028">
        <v>1</v>
      </c>
      <c r="U1028">
        <v>2</v>
      </c>
      <c r="V1028">
        <v>3</v>
      </c>
      <c r="W1028">
        <v>87</v>
      </c>
      <c r="X1028">
        <v>805</v>
      </c>
      <c r="Y1028">
        <v>12828</v>
      </c>
      <c r="Z1028">
        <v>3033</v>
      </c>
      <c r="AA1028">
        <v>2</v>
      </c>
      <c r="AB1028">
        <v>37574</v>
      </c>
      <c r="AC1028" s="10">
        <v>44128</v>
      </c>
      <c r="AD1028" s="10" t="s">
        <v>72</v>
      </c>
      <c r="AE1028" t="s">
        <v>72</v>
      </c>
      <c r="AF1028" t="s">
        <v>45</v>
      </c>
    </row>
    <row r="1029" spans="1:32" x14ac:dyDescent="0.25">
      <c r="A1029">
        <v>393</v>
      </c>
      <c r="B1029">
        <v>38</v>
      </c>
      <c r="C1029" t="s">
        <v>43</v>
      </c>
      <c r="D1029" t="s">
        <v>33</v>
      </c>
      <c r="E1029" t="s">
        <v>34</v>
      </c>
      <c r="F1029" t="s">
        <v>35</v>
      </c>
      <c r="G1029" t="s">
        <v>59</v>
      </c>
      <c r="H1029" t="s">
        <v>37</v>
      </c>
      <c r="I1029" t="s">
        <v>50</v>
      </c>
      <c r="J1029" t="s">
        <v>62</v>
      </c>
      <c r="K1029">
        <v>4</v>
      </c>
      <c r="L1029">
        <v>3</v>
      </c>
      <c r="M1029" t="s">
        <v>48</v>
      </c>
      <c r="N1029" t="s">
        <v>52</v>
      </c>
      <c r="O1029" t="s">
        <v>36</v>
      </c>
      <c r="P1029" t="s">
        <v>43</v>
      </c>
      <c r="Q1029">
        <v>14</v>
      </c>
      <c r="R1029">
        <v>9</v>
      </c>
      <c r="S1029">
        <v>10</v>
      </c>
      <c r="T1029">
        <v>1</v>
      </c>
      <c r="U1029">
        <v>2</v>
      </c>
      <c r="V1029">
        <v>23</v>
      </c>
      <c r="W1029">
        <v>82</v>
      </c>
      <c r="X1029">
        <v>688</v>
      </c>
      <c r="Y1029">
        <v>18899</v>
      </c>
      <c r="Z1029">
        <v>5745</v>
      </c>
      <c r="AA1029">
        <v>2</v>
      </c>
      <c r="AB1029">
        <v>30959</v>
      </c>
      <c r="AC1029" s="10">
        <v>44132</v>
      </c>
      <c r="AD1029" s="10" t="s">
        <v>72</v>
      </c>
      <c r="AE1029" t="s">
        <v>72</v>
      </c>
      <c r="AF1029" t="s">
        <v>45</v>
      </c>
    </row>
    <row r="1030" spans="1:32" x14ac:dyDescent="0.25">
      <c r="A1030">
        <v>426</v>
      </c>
      <c r="B1030">
        <v>31</v>
      </c>
      <c r="C1030" t="s">
        <v>43</v>
      </c>
      <c r="D1030" t="s">
        <v>33</v>
      </c>
      <c r="E1030" t="s">
        <v>34</v>
      </c>
      <c r="F1030" t="s">
        <v>35</v>
      </c>
      <c r="G1030" t="s">
        <v>50</v>
      </c>
      <c r="H1030" t="s">
        <v>37</v>
      </c>
      <c r="I1030" t="s">
        <v>50</v>
      </c>
      <c r="J1030" t="s">
        <v>39</v>
      </c>
      <c r="K1030">
        <v>4</v>
      </c>
      <c r="L1030">
        <v>3</v>
      </c>
      <c r="M1030" t="s">
        <v>40</v>
      </c>
      <c r="N1030" t="s">
        <v>52</v>
      </c>
      <c r="O1030" t="s">
        <v>36</v>
      </c>
      <c r="P1030" t="s">
        <v>32</v>
      </c>
      <c r="Q1030">
        <v>18</v>
      </c>
      <c r="R1030">
        <v>0</v>
      </c>
      <c r="S1030">
        <v>3</v>
      </c>
      <c r="T1030">
        <v>1</v>
      </c>
      <c r="U1030">
        <v>1</v>
      </c>
      <c r="V1030">
        <v>2</v>
      </c>
      <c r="W1030">
        <v>32</v>
      </c>
      <c r="X1030">
        <v>192</v>
      </c>
      <c r="Y1030">
        <v>7747</v>
      </c>
      <c r="Z1030">
        <v>2695</v>
      </c>
      <c r="AA1030">
        <v>2</v>
      </c>
      <c r="AB1030">
        <v>33538</v>
      </c>
      <c r="AC1030" s="10">
        <v>44239</v>
      </c>
      <c r="AD1030" s="10" t="s">
        <v>72</v>
      </c>
      <c r="AE1030" t="s">
        <v>72</v>
      </c>
      <c r="AF1030" t="s">
        <v>45</v>
      </c>
    </row>
    <row r="1031" spans="1:32" x14ac:dyDescent="0.25">
      <c r="A1031">
        <v>18</v>
      </c>
      <c r="B1031">
        <v>34</v>
      </c>
      <c r="C1031" t="s">
        <v>43</v>
      </c>
      <c r="D1031" t="s">
        <v>33</v>
      </c>
      <c r="E1031" t="s">
        <v>34</v>
      </c>
      <c r="F1031" t="s">
        <v>67</v>
      </c>
      <c r="G1031" t="s">
        <v>38</v>
      </c>
      <c r="H1031" t="s">
        <v>37</v>
      </c>
      <c r="I1031" t="s">
        <v>50</v>
      </c>
      <c r="J1031" t="s">
        <v>51</v>
      </c>
      <c r="K1031">
        <v>4</v>
      </c>
      <c r="L1031">
        <v>3</v>
      </c>
      <c r="M1031" t="s">
        <v>48</v>
      </c>
      <c r="N1031" t="s">
        <v>52</v>
      </c>
      <c r="O1031" t="s">
        <v>36</v>
      </c>
      <c r="P1031" t="s">
        <v>43</v>
      </c>
      <c r="Q1031">
        <v>11</v>
      </c>
      <c r="R1031">
        <v>0</v>
      </c>
      <c r="S1031">
        <v>3</v>
      </c>
      <c r="T1031">
        <v>1</v>
      </c>
      <c r="U1031">
        <v>1</v>
      </c>
      <c r="V1031">
        <v>19</v>
      </c>
      <c r="W1031">
        <v>93</v>
      </c>
      <c r="X1031">
        <v>1346</v>
      </c>
      <c r="Y1031">
        <v>8758</v>
      </c>
      <c r="Z1031">
        <v>2661</v>
      </c>
      <c r="AA1031">
        <v>2</v>
      </c>
      <c r="AB1031">
        <v>32712</v>
      </c>
      <c r="AC1031" s="10">
        <v>44266</v>
      </c>
      <c r="AD1031" s="10" t="s">
        <v>72</v>
      </c>
      <c r="AE1031" t="s">
        <v>72</v>
      </c>
      <c r="AF1031" t="s">
        <v>45</v>
      </c>
    </row>
    <row r="1032" spans="1:32" x14ac:dyDescent="0.25">
      <c r="A1032">
        <v>241</v>
      </c>
      <c r="B1032">
        <v>56</v>
      </c>
      <c r="C1032" t="s">
        <v>43</v>
      </c>
      <c r="D1032" t="s">
        <v>33</v>
      </c>
      <c r="E1032" t="s">
        <v>34</v>
      </c>
      <c r="F1032" t="s">
        <v>49</v>
      </c>
      <c r="G1032" t="s">
        <v>50</v>
      </c>
      <c r="H1032" t="s">
        <v>47</v>
      </c>
      <c r="I1032" t="s">
        <v>50</v>
      </c>
      <c r="J1032" t="s">
        <v>39</v>
      </c>
      <c r="K1032">
        <v>1</v>
      </c>
      <c r="L1032">
        <v>3</v>
      </c>
      <c r="M1032" t="s">
        <v>48</v>
      </c>
      <c r="N1032" t="s">
        <v>52</v>
      </c>
      <c r="O1032" t="s">
        <v>36</v>
      </c>
      <c r="P1032" t="s">
        <v>32</v>
      </c>
      <c r="Q1032">
        <v>18</v>
      </c>
      <c r="R1032">
        <v>4</v>
      </c>
      <c r="S1032">
        <v>19</v>
      </c>
      <c r="T1032">
        <v>1</v>
      </c>
      <c r="U1032">
        <v>1</v>
      </c>
      <c r="V1032">
        <v>8</v>
      </c>
      <c r="W1032">
        <v>67</v>
      </c>
      <c r="X1032">
        <v>713</v>
      </c>
      <c r="Y1032">
        <v>13939</v>
      </c>
      <c r="Z1032">
        <v>4257</v>
      </c>
      <c r="AA1032">
        <v>3</v>
      </c>
      <c r="AB1032">
        <v>24556</v>
      </c>
      <c r="AC1032" s="10">
        <v>44305</v>
      </c>
      <c r="AD1032" s="10" t="s">
        <v>72</v>
      </c>
      <c r="AE1032" t="s">
        <v>72</v>
      </c>
      <c r="AF1032" t="s">
        <v>55</v>
      </c>
    </row>
    <row r="1033" spans="1:32" x14ac:dyDescent="0.25">
      <c r="A1033">
        <v>7</v>
      </c>
      <c r="B1033">
        <v>27</v>
      </c>
      <c r="C1033" t="s">
        <v>43</v>
      </c>
      <c r="D1033" t="s">
        <v>33</v>
      </c>
      <c r="E1033" t="s">
        <v>34</v>
      </c>
      <c r="F1033" t="s">
        <v>64</v>
      </c>
      <c r="G1033" t="s">
        <v>36</v>
      </c>
      <c r="H1033" t="s">
        <v>37</v>
      </c>
      <c r="I1033" t="s">
        <v>50</v>
      </c>
      <c r="J1033" t="s">
        <v>51</v>
      </c>
      <c r="K1033">
        <v>2</v>
      </c>
      <c r="L1033">
        <v>3</v>
      </c>
      <c r="M1033" t="s">
        <v>48</v>
      </c>
      <c r="N1033" t="s">
        <v>61</v>
      </c>
      <c r="O1033" t="s">
        <v>36</v>
      </c>
      <c r="P1033" t="s">
        <v>43</v>
      </c>
      <c r="Q1033">
        <v>12</v>
      </c>
      <c r="R1033">
        <v>9</v>
      </c>
      <c r="S1033">
        <v>6</v>
      </c>
      <c r="T1033">
        <v>1</v>
      </c>
      <c r="U1033">
        <v>1</v>
      </c>
      <c r="V1033">
        <v>2</v>
      </c>
      <c r="W1033">
        <v>40</v>
      </c>
      <c r="X1033">
        <v>591</v>
      </c>
      <c r="Y1033">
        <v>16632</v>
      </c>
      <c r="Z1033">
        <v>3468</v>
      </c>
      <c r="AA1033">
        <v>3</v>
      </c>
      <c r="AB1033">
        <v>35156</v>
      </c>
      <c r="AC1033" s="10">
        <v>44317</v>
      </c>
      <c r="AD1033" s="10" t="s">
        <v>72</v>
      </c>
      <c r="AE1033" t="s">
        <v>72</v>
      </c>
      <c r="AF1033" t="s">
        <v>55</v>
      </c>
    </row>
    <row r="1034" spans="1:32" x14ac:dyDescent="0.25">
      <c r="A1034">
        <v>1308</v>
      </c>
      <c r="B1034">
        <v>58</v>
      </c>
      <c r="C1034" t="s">
        <v>43</v>
      </c>
      <c r="D1034" t="s">
        <v>33</v>
      </c>
      <c r="E1034" t="s">
        <v>34</v>
      </c>
      <c r="F1034" t="s">
        <v>35</v>
      </c>
      <c r="G1034" t="s">
        <v>36</v>
      </c>
      <c r="H1034" t="s">
        <v>37</v>
      </c>
      <c r="I1034" t="s">
        <v>50</v>
      </c>
      <c r="J1034" t="s">
        <v>39</v>
      </c>
      <c r="K1034">
        <v>3</v>
      </c>
      <c r="L1034">
        <v>3</v>
      </c>
      <c r="M1034" t="s">
        <v>48</v>
      </c>
      <c r="N1034" t="s">
        <v>52</v>
      </c>
      <c r="O1034" t="s">
        <v>53</v>
      </c>
      <c r="P1034" t="s">
        <v>43</v>
      </c>
      <c r="Q1034">
        <v>12</v>
      </c>
      <c r="R1034">
        <v>1</v>
      </c>
      <c r="S1034">
        <v>2</v>
      </c>
      <c r="T1034">
        <v>1</v>
      </c>
      <c r="U1034">
        <v>1</v>
      </c>
      <c r="V1034">
        <v>23</v>
      </c>
      <c r="W1034">
        <v>88</v>
      </c>
      <c r="X1034">
        <v>848</v>
      </c>
      <c r="Y1034">
        <v>26076</v>
      </c>
      <c r="Z1034">
        <v>2372</v>
      </c>
      <c r="AA1034">
        <v>3</v>
      </c>
      <c r="AB1034">
        <v>23922</v>
      </c>
      <c r="AC1034" s="10">
        <v>44340</v>
      </c>
      <c r="AD1034" s="10" t="s">
        <v>72</v>
      </c>
      <c r="AE1034" t="s">
        <v>72</v>
      </c>
      <c r="AF1034" t="s">
        <v>45</v>
      </c>
    </row>
    <row r="1035" spans="1:32" x14ac:dyDescent="0.25">
      <c r="A1035">
        <v>769</v>
      </c>
      <c r="B1035">
        <v>53</v>
      </c>
      <c r="C1035" t="s">
        <v>43</v>
      </c>
      <c r="D1035" t="s">
        <v>33</v>
      </c>
      <c r="E1035" t="s">
        <v>34</v>
      </c>
      <c r="F1035" t="s">
        <v>49</v>
      </c>
      <c r="G1035" t="s">
        <v>59</v>
      </c>
      <c r="H1035" t="s">
        <v>37</v>
      </c>
      <c r="I1035" t="s">
        <v>50</v>
      </c>
      <c r="J1035" t="s">
        <v>51</v>
      </c>
      <c r="K1035">
        <v>4</v>
      </c>
      <c r="L1035">
        <v>3</v>
      </c>
      <c r="M1035" t="s">
        <v>48</v>
      </c>
      <c r="N1035" t="s">
        <v>41</v>
      </c>
      <c r="O1035" t="s">
        <v>42</v>
      </c>
      <c r="P1035" t="s">
        <v>43</v>
      </c>
      <c r="Q1035">
        <v>17</v>
      </c>
      <c r="R1035">
        <v>2</v>
      </c>
      <c r="S1035">
        <v>19</v>
      </c>
      <c r="T1035">
        <v>1</v>
      </c>
      <c r="U1035">
        <v>1</v>
      </c>
      <c r="V1035">
        <v>6</v>
      </c>
      <c r="W1035">
        <v>86</v>
      </c>
      <c r="X1035">
        <v>346</v>
      </c>
      <c r="Y1035">
        <v>10919</v>
      </c>
      <c r="Z1035">
        <v>2450</v>
      </c>
      <c r="AA1035">
        <v>4</v>
      </c>
      <c r="AB1035">
        <v>25571</v>
      </c>
      <c r="AC1035" s="10">
        <v>44350</v>
      </c>
      <c r="AD1035" s="10" t="s">
        <v>72</v>
      </c>
      <c r="AE1035" t="s">
        <v>72</v>
      </c>
      <c r="AF1035" t="s">
        <v>45</v>
      </c>
    </row>
    <row r="1036" spans="1:32" x14ac:dyDescent="0.25">
      <c r="A1036">
        <v>1623</v>
      </c>
      <c r="B1036">
        <v>21</v>
      </c>
      <c r="C1036" t="s">
        <v>43</v>
      </c>
      <c r="D1036" t="s">
        <v>33</v>
      </c>
      <c r="E1036" t="s">
        <v>34</v>
      </c>
      <c r="F1036" t="s">
        <v>64</v>
      </c>
      <c r="G1036" t="s">
        <v>50</v>
      </c>
      <c r="H1036" t="s">
        <v>37</v>
      </c>
      <c r="I1036" t="s">
        <v>50</v>
      </c>
      <c r="J1036" t="s">
        <v>39</v>
      </c>
      <c r="K1036">
        <v>4</v>
      </c>
      <c r="L1036">
        <v>3</v>
      </c>
      <c r="M1036" t="s">
        <v>48</v>
      </c>
      <c r="N1036" t="s">
        <v>41</v>
      </c>
      <c r="O1036" t="s">
        <v>42</v>
      </c>
      <c r="P1036" t="s">
        <v>43</v>
      </c>
      <c r="Q1036">
        <v>18</v>
      </c>
      <c r="R1036">
        <v>1</v>
      </c>
      <c r="S1036">
        <v>3</v>
      </c>
      <c r="T1036">
        <v>1</v>
      </c>
      <c r="U1036">
        <v>1</v>
      </c>
      <c r="V1036">
        <v>5</v>
      </c>
      <c r="W1036">
        <v>97</v>
      </c>
      <c r="X1036">
        <v>546</v>
      </c>
      <c r="Y1036">
        <v>26009</v>
      </c>
      <c r="Z1036">
        <v>3117</v>
      </c>
      <c r="AA1036">
        <v>2</v>
      </c>
      <c r="AB1036">
        <v>37163</v>
      </c>
      <c r="AC1036" s="10">
        <v>44351</v>
      </c>
      <c r="AD1036" s="10" t="s">
        <v>72</v>
      </c>
      <c r="AE1036" t="s">
        <v>72</v>
      </c>
      <c r="AF1036" t="s">
        <v>45</v>
      </c>
    </row>
    <row r="1037" spans="1:32" x14ac:dyDescent="0.25">
      <c r="A1037">
        <v>1022</v>
      </c>
      <c r="B1037">
        <v>48</v>
      </c>
      <c r="C1037" t="s">
        <v>43</v>
      </c>
      <c r="D1037" t="s">
        <v>33</v>
      </c>
      <c r="E1037" t="s">
        <v>34</v>
      </c>
      <c r="F1037" t="s">
        <v>49</v>
      </c>
      <c r="G1037" t="s">
        <v>36</v>
      </c>
      <c r="H1037" t="s">
        <v>37</v>
      </c>
      <c r="I1037" t="s">
        <v>38</v>
      </c>
      <c r="J1037" t="s">
        <v>62</v>
      </c>
      <c r="K1037">
        <v>3</v>
      </c>
      <c r="L1037">
        <v>3</v>
      </c>
      <c r="M1037" t="s">
        <v>48</v>
      </c>
      <c r="N1037" t="s">
        <v>41</v>
      </c>
      <c r="O1037" t="s">
        <v>42</v>
      </c>
      <c r="P1037" t="s">
        <v>43</v>
      </c>
      <c r="Q1037">
        <v>13</v>
      </c>
      <c r="R1037">
        <v>2</v>
      </c>
      <c r="S1037">
        <v>19</v>
      </c>
      <c r="T1037">
        <v>1</v>
      </c>
      <c r="U1037">
        <v>1</v>
      </c>
      <c r="V1037">
        <v>6</v>
      </c>
      <c r="W1037">
        <v>97</v>
      </c>
      <c r="X1037">
        <v>277</v>
      </c>
      <c r="Y1037">
        <v>13119</v>
      </c>
      <c r="Z1037">
        <v>4240</v>
      </c>
      <c r="AA1037">
        <v>0</v>
      </c>
      <c r="AB1037">
        <v>27264</v>
      </c>
      <c r="AC1037" s="10">
        <v>44353</v>
      </c>
      <c r="AD1037" s="10" t="s">
        <v>72</v>
      </c>
      <c r="AE1037" t="s">
        <v>72</v>
      </c>
      <c r="AF1037" t="s">
        <v>45</v>
      </c>
    </row>
    <row r="1038" spans="1:32" x14ac:dyDescent="0.25">
      <c r="A1038">
        <v>1674</v>
      </c>
      <c r="B1038">
        <v>49</v>
      </c>
      <c r="C1038" t="s">
        <v>43</v>
      </c>
      <c r="D1038" t="s">
        <v>33</v>
      </c>
      <c r="E1038" t="s">
        <v>34</v>
      </c>
      <c r="F1038" t="s">
        <v>49</v>
      </c>
      <c r="G1038" t="s">
        <v>59</v>
      </c>
      <c r="H1038" t="s">
        <v>47</v>
      </c>
      <c r="I1038" t="s">
        <v>50</v>
      </c>
      <c r="J1038" t="s">
        <v>51</v>
      </c>
      <c r="K1038">
        <v>1</v>
      </c>
      <c r="L1038">
        <v>3</v>
      </c>
      <c r="M1038" t="s">
        <v>60</v>
      </c>
      <c r="N1038" t="s">
        <v>52</v>
      </c>
      <c r="O1038" t="s">
        <v>36</v>
      </c>
      <c r="P1038" t="s">
        <v>32</v>
      </c>
      <c r="Q1038">
        <v>16</v>
      </c>
      <c r="R1038">
        <v>4</v>
      </c>
      <c r="S1038">
        <v>17</v>
      </c>
      <c r="T1038">
        <v>1</v>
      </c>
      <c r="U1038">
        <v>1</v>
      </c>
      <c r="V1038">
        <v>16</v>
      </c>
      <c r="W1038">
        <v>74</v>
      </c>
      <c r="X1038">
        <v>464</v>
      </c>
      <c r="Y1038">
        <v>24941</v>
      </c>
      <c r="Z1038">
        <v>2587</v>
      </c>
      <c r="AA1038">
        <v>2</v>
      </c>
      <c r="AB1038">
        <v>27110</v>
      </c>
      <c r="AC1038" s="10">
        <v>44360</v>
      </c>
      <c r="AD1038" s="10" t="s">
        <v>72</v>
      </c>
      <c r="AE1038" t="s">
        <v>72</v>
      </c>
      <c r="AF1038" t="s">
        <v>45</v>
      </c>
    </row>
    <row r="1039" spans="1:32" x14ac:dyDescent="0.25">
      <c r="A1039">
        <v>1903</v>
      </c>
      <c r="B1039">
        <v>44</v>
      </c>
      <c r="C1039" t="s">
        <v>43</v>
      </c>
      <c r="D1039" t="s">
        <v>33</v>
      </c>
      <c r="E1039" t="s">
        <v>34</v>
      </c>
      <c r="F1039" t="s">
        <v>35</v>
      </c>
      <c r="G1039" t="s">
        <v>38</v>
      </c>
      <c r="H1039" t="s">
        <v>37</v>
      </c>
      <c r="I1039" t="s">
        <v>59</v>
      </c>
      <c r="J1039" t="s">
        <v>62</v>
      </c>
      <c r="K1039">
        <v>1</v>
      </c>
      <c r="L1039">
        <v>3</v>
      </c>
      <c r="M1039" t="s">
        <v>48</v>
      </c>
      <c r="N1039" t="s">
        <v>61</v>
      </c>
      <c r="O1039" t="s">
        <v>36</v>
      </c>
      <c r="P1039" t="s">
        <v>43</v>
      </c>
      <c r="Q1039">
        <v>15</v>
      </c>
      <c r="R1039">
        <v>2</v>
      </c>
      <c r="S1039">
        <v>10</v>
      </c>
      <c r="T1039">
        <v>1</v>
      </c>
      <c r="U1039">
        <v>1</v>
      </c>
      <c r="V1039">
        <v>1</v>
      </c>
      <c r="W1039">
        <v>78</v>
      </c>
      <c r="X1039">
        <v>170</v>
      </c>
      <c r="Y1039">
        <v>9364</v>
      </c>
      <c r="Z1039">
        <v>5033</v>
      </c>
      <c r="AA1039">
        <v>5</v>
      </c>
      <c r="AB1039">
        <v>28929</v>
      </c>
      <c r="AC1039" s="10">
        <v>44363</v>
      </c>
      <c r="AD1039" s="10" t="s">
        <v>72</v>
      </c>
      <c r="AE1039" t="s">
        <v>72</v>
      </c>
      <c r="AF1039" t="s">
        <v>55</v>
      </c>
    </row>
    <row r="1040" spans="1:32" x14ac:dyDescent="0.25">
      <c r="A1040">
        <v>1580</v>
      </c>
      <c r="B1040">
        <v>34</v>
      </c>
      <c r="C1040" t="s">
        <v>43</v>
      </c>
      <c r="D1040" t="s">
        <v>33</v>
      </c>
      <c r="E1040" t="s">
        <v>34</v>
      </c>
      <c r="F1040" t="s">
        <v>35</v>
      </c>
      <c r="G1040" t="s">
        <v>38</v>
      </c>
      <c r="H1040" t="s">
        <v>37</v>
      </c>
      <c r="I1040" t="s">
        <v>50</v>
      </c>
      <c r="J1040" t="s">
        <v>39</v>
      </c>
      <c r="K1040">
        <v>4</v>
      </c>
      <c r="L1040">
        <v>3</v>
      </c>
      <c r="M1040" t="s">
        <v>60</v>
      </c>
      <c r="N1040" t="s">
        <v>61</v>
      </c>
      <c r="O1040" t="s">
        <v>36</v>
      </c>
      <c r="P1040" t="s">
        <v>43</v>
      </c>
      <c r="Q1040">
        <v>17</v>
      </c>
      <c r="R1040">
        <v>9</v>
      </c>
      <c r="S1040">
        <v>9</v>
      </c>
      <c r="T1040">
        <v>1</v>
      </c>
      <c r="U1040">
        <v>1</v>
      </c>
      <c r="V1040">
        <v>1</v>
      </c>
      <c r="W1040">
        <v>45</v>
      </c>
      <c r="X1040">
        <v>1351</v>
      </c>
      <c r="Y1040">
        <v>13008</v>
      </c>
      <c r="Z1040">
        <v>5484</v>
      </c>
      <c r="AA1040">
        <v>3</v>
      </c>
      <c r="AB1040">
        <v>32615</v>
      </c>
      <c r="AC1040" s="10">
        <v>44368</v>
      </c>
      <c r="AD1040" s="10" t="s">
        <v>72</v>
      </c>
      <c r="AE1040" t="s">
        <v>72</v>
      </c>
      <c r="AF1040" t="s">
        <v>55</v>
      </c>
    </row>
    <row r="1041" spans="1:32" x14ac:dyDescent="0.25">
      <c r="A1041">
        <v>1025</v>
      </c>
      <c r="B1041">
        <v>41</v>
      </c>
      <c r="C1041" t="s">
        <v>43</v>
      </c>
      <c r="D1041" t="s">
        <v>33</v>
      </c>
      <c r="E1041" t="s">
        <v>34</v>
      </c>
      <c r="F1041" t="s">
        <v>67</v>
      </c>
      <c r="G1041" t="s">
        <v>59</v>
      </c>
      <c r="H1041" t="s">
        <v>47</v>
      </c>
      <c r="I1041" t="s">
        <v>50</v>
      </c>
      <c r="J1041" t="s">
        <v>65</v>
      </c>
      <c r="K1041">
        <v>3</v>
      </c>
      <c r="L1041">
        <v>3</v>
      </c>
      <c r="M1041" t="s">
        <v>48</v>
      </c>
      <c r="N1041" t="s">
        <v>41</v>
      </c>
      <c r="O1041" t="s">
        <v>42</v>
      </c>
      <c r="P1041" t="s">
        <v>43</v>
      </c>
      <c r="Q1041">
        <v>14</v>
      </c>
      <c r="R1041">
        <v>6</v>
      </c>
      <c r="S1041">
        <v>8</v>
      </c>
      <c r="T1041">
        <v>1</v>
      </c>
      <c r="U1041">
        <v>1</v>
      </c>
      <c r="V1041">
        <v>7</v>
      </c>
      <c r="W1041">
        <v>42</v>
      </c>
      <c r="X1041">
        <v>549</v>
      </c>
      <c r="Y1041">
        <v>23371</v>
      </c>
      <c r="Z1041">
        <v>5003</v>
      </c>
      <c r="AA1041">
        <v>6</v>
      </c>
      <c r="AB1041">
        <v>30049</v>
      </c>
      <c r="AC1041" s="10">
        <v>44378</v>
      </c>
      <c r="AD1041" s="10" t="s">
        <v>72</v>
      </c>
      <c r="AE1041" t="s">
        <v>72</v>
      </c>
      <c r="AF1041" t="s">
        <v>45</v>
      </c>
    </row>
    <row r="1042" spans="1:32" x14ac:dyDescent="0.25">
      <c r="A1042">
        <v>1856</v>
      </c>
      <c r="B1042">
        <v>47</v>
      </c>
      <c r="C1042" t="s">
        <v>43</v>
      </c>
      <c r="D1042" t="s">
        <v>33</v>
      </c>
      <c r="E1042" t="s">
        <v>34</v>
      </c>
      <c r="F1042" t="s">
        <v>35</v>
      </c>
      <c r="G1042" t="s">
        <v>38</v>
      </c>
      <c r="H1042" t="s">
        <v>47</v>
      </c>
      <c r="I1042" t="s">
        <v>50</v>
      </c>
      <c r="J1042" t="s">
        <v>51</v>
      </c>
      <c r="K1042">
        <v>3</v>
      </c>
      <c r="L1042">
        <v>3</v>
      </c>
      <c r="M1042" t="s">
        <v>48</v>
      </c>
      <c r="N1042" t="s">
        <v>41</v>
      </c>
      <c r="O1042" t="s">
        <v>42</v>
      </c>
      <c r="P1042" t="s">
        <v>43</v>
      </c>
      <c r="Q1042">
        <v>12</v>
      </c>
      <c r="R1042">
        <v>4</v>
      </c>
      <c r="S1042">
        <v>7</v>
      </c>
      <c r="T1042">
        <v>1</v>
      </c>
      <c r="U1042">
        <v>0</v>
      </c>
      <c r="V1042">
        <v>9</v>
      </c>
      <c r="W1042">
        <v>64</v>
      </c>
      <c r="X1042">
        <v>207</v>
      </c>
      <c r="Y1042">
        <v>5411</v>
      </c>
      <c r="Z1042">
        <v>2105</v>
      </c>
      <c r="AA1042">
        <v>2</v>
      </c>
      <c r="AB1042">
        <v>27935</v>
      </c>
      <c r="AC1042" s="10">
        <v>44388</v>
      </c>
      <c r="AD1042" s="10" t="s">
        <v>72</v>
      </c>
      <c r="AE1042" t="s">
        <v>72</v>
      </c>
      <c r="AF1042" t="s">
        <v>45</v>
      </c>
    </row>
    <row r="1043" spans="1:32" x14ac:dyDescent="0.25">
      <c r="A1043">
        <v>1766</v>
      </c>
      <c r="B1043">
        <v>38</v>
      </c>
      <c r="C1043" t="s">
        <v>43</v>
      </c>
      <c r="D1043" t="s">
        <v>33</v>
      </c>
      <c r="E1043" t="s">
        <v>34</v>
      </c>
      <c r="F1043" t="s">
        <v>49</v>
      </c>
      <c r="G1043" t="s">
        <v>38</v>
      </c>
      <c r="H1043" t="s">
        <v>37</v>
      </c>
      <c r="I1043" t="s">
        <v>36</v>
      </c>
      <c r="J1043" t="s">
        <v>62</v>
      </c>
      <c r="K1043">
        <v>4</v>
      </c>
      <c r="L1043">
        <v>3</v>
      </c>
      <c r="M1043" t="s">
        <v>48</v>
      </c>
      <c r="N1043" t="s">
        <v>61</v>
      </c>
      <c r="O1043" t="s">
        <v>36</v>
      </c>
      <c r="P1043" t="s">
        <v>32</v>
      </c>
      <c r="Q1043">
        <v>16</v>
      </c>
      <c r="R1043">
        <v>3</v>
      </c>
      <c r="S1043">
        <v>15</v>
      </c>
      <c r="T1043">
        <v>1</v>
      </c>
      <c r="U1043">
        <v>0</v>
      </c>
      <c r="V1043">
        <v>18</v>
      </c>
      <c r="W1043">
        <v>60</v>
      </c>
      <c r="X1043">
        <v>833</v>
      </c>
      <c r="Y1043">
        <v>24539</v>
      </c>
      <c r="Z1043">
        <v>5811</v>
      </c>
      <c r="AA1043">
        <v>2</v>
      </c>
      <c r="AB1043">
        <v>31210</v>
      </c>
      <c r="AC1043" s="10">
        <v>44500</v>
      </c>
      <c r="AD1043" s="10" t="s">
        <v>72</v>
      </c>
      <c r="AE1043" t="s">
        <v>72</v>
      </c>
      <c r="AF1043" t="s">
        <v>45</v>
      </c>
    </row>
    <row r="1044" spans="1:32" x14ac:dyDescent="0.25">
      <c r="A1044">
        <v>1578</v>
      </c>
      <c r="B1044">
        <v>55</v>
      </c>
      <c r="C1044" t="s">
        <v>43</v>
      </c>
      <c r="D1044" t="s">
        <v>33</v>
      </c>
      <c r="E1044" t="s">
        <v>56</v>
      </c>
      <c r="F1044" t="s">
        <v>70</v>
      </c>
      <c r="G1044" t="s">
        <v>50</v>
      </c>
      <c r="H1044" t="s">
        <v>37</v>
      </c>
      <c r="I1044" t="s">
        <v>38</v>
      </c>
      <c r="J1044" t="s">
        <v>69</v>
      </c>
      <c r="K1044">
        <v>4</v>
      </c>
      <c r="L1044">
        <v>4</v>
      </c>
      <c r="M1044" t="s">
        <v>48</v>
      </c>
      <c r="N1044" t="s">
        <v>61</v>
      </c>
      <c r="O1044" t="s">
        <v>36</v>
      </c>
      <c r="P1044" t="s">
        <v>43</v>
      </c>
      <c r="Q1044">
        <v>21</v>
      </c>
      <c r="R1044">
        <v>1</v>
      </c>
      <c r="S1044">
        <v>36</v>
      </c>
      <c r="T1044">
        <v>3</v>
      </c>
      <c r="U1044">
        <v>3</v>
      </c>
      <c r="V1044">
        <v>26</v>
      </c>
      <c r="W1044">
        <v>60</v>
      </c>
      <c r="X1044">
        <v>685</v>
      </c>
      <c r="Y1044">
        <v>23037</v>
      </c>
      <c r="Z1044">
        <v>19586</v>
      </c>
      <c r="AA1044">
        <v>3</v>
      </c>
      <c r="AB1044">
        <v>24724</v>
      </c>
      <c r="AC1044" s="10">
        <v>43586</v>
      </c>
      <c r="AD1044" s="10" t="s">
        <v>72</v>
      </c>
      <c r="AE1044" t="s">
        <v>72</v>
      </c>
      <c r="AF1044" t="s">
        <v>45</v>
      </c>
    </row>
    <row r="1045" spans="1:32" x14ac:dyDescent="0.25">
      <c r="A1045">
        <v>1282</v>
      </c>
      <c r="B1045">
        <v>51</v>
      </c>
      <c r="C1045" t="s">
        <v>43</v>
      </c>
      <c r="D1045" t="s">
        <v>46</v>
      </c>
      <c r="E1045" t="s">
        <v>56</v>
      </c>
      <c r="F1045" t="s">
        <v>49</v>
      </c>
      <c r="G1045" t="s">
        <v>59</v>
      </c>
      <c r="H1045" t="s">
        <v>37</v>
      </c>
      <c r="I1045" t="s">
        <v>50</v>
      </c>
      <c r="J1045" t="s">
        <v>69</v>
      </c>
      <c r="K1045">
        <v>2</v>
      </c>
      <c r="L1045">
        <v>4</v>
      </c>
      <c r="M1045" t="s">
        <v>60</v>
      </c>
      <c r="N1045" t="s">
        <v>52</v>
      </c>
      <c r="O1045" t="s">
        <v>36</v>
      </c>
      <c r="P1045" t="s">
        <v>32</v>
      </c>
      <c r="Q1045">
        <v>24</v>
      </c>
      <c r="R1045">
        <v>4</v>
      </c>
      <c r="S1045">
        <v>31</v>
      </c>
      <c r="T1045">
        <v>11</v>
      </c>
      <c r="U1045">
        <v>10</v>
      </c>
      <c r="V1045">
        <v>9</v>
      </c>
      <c r="W1045">
        <v>83</v>
      </c>
      <c r="X1045">
        <v>237</v>
      </c>
      <c r="Y1045">
        <v>19196</v>
      </c>
      <c r="Z1045">
        <v>19847</v>
      </c>
      <c r="AA1045">
        <v>5</v>
      </c>
      <c r="AB1045">
        <v>26189</v>
      </c>
      <c r="AC1045" s="10">
        <v>34499</v>
      </c>
      <c r="AD1045" s="10" t="s">
        <v>72</v>
      </c>
      <c r="AE1045" t="s">
        <v>72</v>
      </c>
      <c r="AF1045" t="s">
        <v>45</v>
      </c>
    </row>
    <row r="1046" spans="1:32" x14ac:dyDescent="0.25">
      <c r="A1046">
        <v>1204</v>
      </c>
      <c r="B1046">
        <v>46</v>
      </c>
      <c r="C1046" t="s">
        <v>43</v>
      </c>
      <c r="D1046" t="s">
        <v>33</v>
      </c>
      <c r="E1046" t="s">
        <v>56</v>
      </c>
      <c r="F1046" t="s">
        <v>49</v>
      </c>
      <c r="G1046" t="s">
        <v>50</v>
      </c>
      <c r="H1046" t="s">
        <v>47</v>
      </c>
      <c r="I1046" t="s">
        <v>50</v>
      </c>
      <c r="J1046" t="s">
        <v>69</v>
      </c>
      <c r="K1046">
        <v>1</v>
      </c>
      <c r="L1046">
        <v>4</v>
      </c>
      <c r="M1046" t="s">
        <v>48</v>
      </c>
      <c r="N1046" t="s">
        <v>61</v>
      </c>
      <c r="O1046" t="s">
        <v>42</v>
      </c>
      <c r="P1046" t="s">
        <v>43</v>
      </c>
      <c r="Q1046">
        <v>23</v>
      </c>
      <c r="R1046">
        <v>8</v>
      </c>
      <c r="S1046">
        <v>28</v>
      </c>
      <c r="T1046">
        <v>15</v>
      </c>
      <c r="U1046">
        <v>9</v>
      </c>
      <c r="V1046">
        <v>2</v>
      </c>
      <c r="W1046">
        <v>69</v>
      </c>
      <c r="X1046">
        <v>1402</v>
      </c>
      <c r="Y1046">
        <v>24097</v>
      </c>
      <c r="Z1046">
        <v>17048</v>
      </c>
      <c r="AA1046">
        <v>2</v>
      </c>
      <c r="AB1046">
        <v>28025</v>
      </c>
      <c r="AC1046" s="10">
        <v>35612</v>
      </c>
      <c r="AD1046" s="10" t="s">
        <v>72</v>
      </c>
      <c r="AE1046" t="s">
        <v>72</v>
      </c>
      <c r="AF1046" t="s">
        <v>45</v>
      </c>
    </row>
    <row r="1047" spans="1:32" x14ac:dyDescent="0.25">
      <c r="A1047">
        <v>244</v>
      </c>
      <c r="B1047">
        <v>46</v>
      </c>
      <c r="C1047" t="s">
        <v>43</v>
      </c>
      <c r="D1047" t="s">
        <v>33</v>
      </c>
      <c r="E1047" t="s">
        <v>56</v>
      </c>
      <c r="F1047" t="s">
        <v>67</v>
      </c>
      <c r="G1047" t="s">
        <v>38</v>
      </c>
      <c r="H1047" t="s">
        <v>47</v>
      </c>
      <c r="I1047" t="s">
        <v>50</v>
      </c>
      <c r="J1047" t="s">
        <v>57</v>
      </c>
      <c r="K1047">
        <v>1</v>
      </c>
      <c r="L1047">
        <v>4</v>
      </c>
      <c r="M1047" t="s">
        <v>48</v>
      </c>
      <c r="N1047" t="s">
        <v>52</v>
      </c>
      <c r="O1047" t="s">
        <v>50</v>
      </c>
      <c r="P1047" t="s">
        <v>43</v>
      </c>
      <c r="Q1047">
        <v>25</v>
      </c>
      <c r="R1047">
        <v>1</v>
      </c>
      <c r="S1047">
        <v>24</v>
      </c>
      <c r="T1047">
        <v>15</v>
      </c>
      <c r="U1047">
        <v>7</v>
      </c>
      <c r="V1047">
        <v>1</v>
      </c>
      <c r="W1047">
        <v>92</v>
      </c>
      <c r="X1047">
        <v>526</v>
      </c>
      <c r="Y1047">
        <v>2137</v>
      </c>
      <c r="Z1047">
        <v>10453</v>
      </c>
      <c r="AA1047">
        <v>2</v>
      </c>
      <c r="AB1047">
        <v>28020</v>
      </c>
      <c r="AC1047" s="10">
        <v>36345</v>
      </c>
      <c r="AD1047" s="10" t="s">
        <v>72</v>
      </c>
      <c r="AE1047" t="s">
        <v>72</v>
      </c>
      <c r="AF1047" t="s">
        <v>45</v>
      </c>
    </row>
    <row r="1048" spans="1:32" x14ac:dyDescent="0.25">
      <c r="A1048">
        <v>1712</v>
      </c>
      <c r="B1048">
        <v>45</v>
      </c>
      <c r="C1048" t="s">
        <v>43</v>
      </c>
      <c r="D1048" t="s">
        <v>63</v>
      </c>
      <c r="E1048" t="s">
        <v>34</v>
      </c>
      <c r="F1048" t="s">
        <v>64</v>
      </c>
      <c r="G1048" t="s">
        <v>50</v>
      </c>
      <c r="H1048" t="s">
        <v>37</v>
      </c>
      <c r="I1048" t="s">
        <v>38</v>
      </c>
      <c r="J1048" t="s">
        <v>62</v>
      </c>
      <c r="K1048">
        <v>3</v>
      </c>
      <c r="L1048">
        <v>4</v>
      </c>
      <c r="M1048" t="s">
        <v>60</v>
      </c>
      <c r="N1048" t="s">
        <v>61</v>
      </c>
      <c r="O1048" t="s">
        <v>36</v>
      </c>
      <c r="P1048" t="s">
        <v>43</v>
      </c>
      <c r="Q1048">
        <v>23</v>
      </c>
      <c r="R1048">
        <v>3</v>
      </c>
      <c r="S1048">
        <v>25</v>
      </c>
      <c r="T1048">
        <v>14</v>
      </c>
      <c r="U1048">
        <v>4</v>
      </c>
      <c r="V1048">
        <v>1</v>
      </c>
      <c r="W1048">
        <v>74</v>
      </c>
      <c r="X1048">
        <v>1238</v>
      </c>
      <c r="Y1048">
        <v>3395</v>
      </c>
      <c r="Z1048">
        <v>10748</v>
      </c>
      <c r="AA1048">
        <v>3</v>
      </c>
      <c r="AB1048">
        <v>28626</v>
      </c>
      <c r="AC1048" s="10">
        <v>36676</v>
      </c>
      <c r="AD1048" s="10" t="s">
        <v>72</v>
      </c>
      <c r="AE1048" t="s">
        <v>72</v>
      </c>
      <c r="AF1048" t="s">
        <v>45</v>
      </c>
    </row>
    <row r="1049" spans="1:32" x14ac:dyDescent="0.25">
      <c r="A1049">
        <v>119</v>
      </c>
      <c r="B1049">
        <v>40</v>
      </c>
      <c r="C1049" t="s">
        <v>43</v>
      </c>
      <c r="D1049" t="s">
        <v>46</v>
      </c>
      <c r="E1049" t="s">
        <v>34</v>
      </c>
      <c r="F1049" t="s">
        <v>35</v>
      </c>
      <c r="G1049" t="s">
        <v>50</v>
      </c>
      <c r="H1049" t="s">
        <v>37</v>
      </c>
      <c r="I1049" t="s">
        <v>38</v>
      </c>
      <c r="J1049" t="s">
        <v>62</v>
      </c>
      <c r="K1049">
        <v>2</v>
      </c>
      <c r="L1049">
        <v>4</v>
      </c>
      <c r="M1049" t="s">
        <v>60</v>
      </c>
      <c r="N1049" t="s">
        <v>61</v>
      </c>
      <c r="O1049" t="s">
        <v>36</v>
      </c>
      <c r="P1049" t="s">
        <v>43</v>
      </c>
      <c r="Q1049">
        <v>22</v>
      </c>
      <c r="R1049">
        <v>1</v>
      </c>
      <c r="S1049">
        <v>22</v>
      </c>
      <c r="T1049">
        <v>11</v>
      </c>
      <c r="U1049">
        <v>11</v>
      </c>
      <c r="V1049">
        <v>1</v>
      </c>
      <c r="W1049">
        <v>78</v>
      </c>
      <c r="X1049">
        <v>530</v>
      </c>
      <c r="Y1049">
        <v>14115</v>
      </c>
      <c r="Z1049">
        <v>13503</v>
      </c>
      <c r="AA1049">
        <v>3</v>
      </c>
      <c r="AB1049">
        <v>30445</v>
      </c>
      <c r="AC1049" s="10">
        <v>36801</v>
      </c>
      <c r="AD1049" s="10" t="s">
        <v>72</v>
      </c>
      <c r="AE1049" t="s">
        <v>72</v>
      </c>
      <c r="AF1049" t="s">
        <v>45</v>
      </c>
    </row>
    <row r="1050" spans="1:32" x14ac:dyDescent="0.25">
      <c r="A1050">
        <v>1035</v>
      </c>
      <c r="B1050">
        <v>41</v>
      </c>
      <c r="C1050" t="s">
        <v>43</v>
      </c>
      <c r="D1050" t="s">
        <v>63</v>
      </c>
      <c r="E1050" t="s">
        <v>34</v>
      </c>
      <c r="F1050" t="s">
        <v>64</v>
      </c>
      <c r="G1050" t="s">
        <v>38</v>
      </c>
      <c r="H1050" t="s">
        <v>47</v>
      </c>
      <c r="I1050" t="s">
        <v>36</v>
      </c>
      <c r="J1050" t="s">
        <v>71</v>
      </c>
      <c r="K1050">
        <v>3</v>
      </c>
      <c r="L1050">
        <v>4</v>
      </c>
      <c r="M1050" t="s">
        <v>48</v>
      </c>
      <c r="N1050" t="s">
        <v>52</v>
      </c>
      <c r="O1050" t="s">
        <v>53</v>
      </c>
      <c r="P1050" t="s">
        <v>43</v>
      </c>
      <c r="Q1050">
        <v>22</v>
      </c>
      <c r="R1050">
        <v>1</v>
      </c>
      <c r="S1050">
        <v>21</v>
      </c>
      <c r="T1050">
        <v>5</v>
      </c>
      <c r="U1050">
        <v>10</v>
      </c>
      <c r="V1050">
        <v>7</v>
      </c>
      <c r="W1050">
        <v>55</v>
      </c>
      <c r="X1050">
        <v>247</v>
      </c>
      <c r="Y1050">
        <v>20284</v>
      </c>
      <c r="Z1050">
        <v>19973</v>
      </c>
      <c r="AA1050">
        <v>3</v>
      </c>
      <c r="AB1050">
        <v>29985</v>
      </c>
      <c r="AC1050" s="10">
        <v>37248</v>
      </c>
      <c r="AD1050" s="10" t="s">
        <v>72</v>
      </c>
      <c r="AE1050" t="s">
        <v>72</v>
      </c>
      <c r="AF1050" t="s">
        <v>45</v>
      </c>
    </row>
    <row r="1051" spans="1:32" x14ac:dyDescent="0.25">
      <c r="A1051">
        <v>1550</v>
      </c>
      <c r="B1051">
        <v>40</v>
      </c>
      <c r="C1051" t="s">
        <v>43</v>
      </c>
      <c r="D1051" t="s">
        <v>33</v>
      </c>
      <c r="E1051" t="s">
        <v>68</v>
      </c>
      <c r="F1051" t="s">
        <v>67</v>
      </c>
      <c r="G1051" t="s">
        <v>50</v>
      </c>
      <c r="H1051" t="s">
        <v>37</v>
      </c>
      <c r="I1051" t="s">
        <v>50</v>
      </c>
      <c r="J1051" t="s">
        <v>69</v>
      </c>
      <c r="K1051">
        <v>4</v>
      </c>
      <c r="L1051">
        <v>4</v>
      </c>
      <c r="M1051" t="s">
        <v>48</v>
      </c>
      <c r="N1051" t="s">
        <v>41</v>
      </c>
      <c r="O1051" t="s">
        <v>42</v>
      </c>
      <c r="P1051" t="s">
        <v>32</v>
      </c>
      <c r="Q1051">
        <v>21</v>
      </c>
      <c r="R1051">
        <v>1</v>
      </c>
      <c r="S1051">
        <v>21</v>
      </c>
      <c r="T1051">
        <v>7</v>
      </c>
      <c r="U1051">
        <v>7</v>
      </c>
      <c r="V1051">
        <v>6</v>
      </c>
      <c r="W1051">
        <v>38</v>
      </c>
      <c r="X1051">
        <v>898</v>
      </c>
      <c r="Y1051">
        <v>17381</v>
      </c>
      <c r="Z1051">
        <v>16437</v>
      </c>
      <c r="AA1051">
        <v>2</v>
      </c>
      <c r="AB1051">
        <v>30171</v>
      </c>
      <c r="AC1051" s="10">
        <v>37300</v>
      </c>
      <c r="AD1051" s="10" t="s">
        <v>72</v>
      </c>
      <c r="AE1051" t="s">
        <v>72</v>
      </c>
      <c r="AF1051" t="s">
        <v>45</v>
      </c>
    </row>
    <row r="1052" spans="1:32" x14ac:dyDescent="0.25">
      <c r="A1052">
        <v>264</v>
      </c>
      <c r="B1052">
        <v>45</v>
      </c>
      <c r="C1052" t="s">
        <v>43</v>
      </c>
      <c r="D1052" t="s">
        <v>63</v>
      </c>
      <c r="E1052" t="s">
        <v>34</v>
      </c>
      <c r="F1052" t="s">
        <v>67</v>
      </c>
      <c r="G1052" t="s">
        <v>36</v>
      </c>
      <c r="H1052" t="s">
        <v>37</v>
      </c>
      <c r="I1052" t="s">
        <v>38</v>
      </c>
      <c r="J1052" t="s">
        <v>69</v>
      </c>
      <c r="K1052">
        <v>4</v>
      </c>
      <c r="L1052">
        <v>4</v>
      </c>
      <c r="M1052" t="s">
        <v>48</v>
      </c>
      <c r="N1052" t="s">
        <v>61</v>
      </c>
      <c r="O1052" t="s">
        <v>36</v>
      </c>
      <c r="P1052" t="s">
        <v>43</v>
      </c>
      <c r="Q1052">
        <v>23</v>
      </c>
      <c r="R1052">
        <v>9</v>
      </c>
      <c r="S1052">
        <v>22</v>
      </c>
      <c r="T1052">
        <v>11</v>
      </c>
      <c r="U1052">
        <v>8</v>
      </c>
      <c r="V1052">
        <v>2</v>
      </c>
      <c r="W1052">
        <v>65</v>
      </c>
      <c r="X1052">
        <v>1195</v>
      </c>
      <c r="Y1052">
        <v>20462</v>
      </c>
      <c r="Z1052">
        <v>16792</v>
      </c>
      <c r="AA1052">
        <v>1</v>
      </c>
      <c r="AB1052">
        <v>28529</v>
      </c>
      <c r="AC1052" s="10">
        <v>37617</v>
      </c>
      <c r="AD1052" s="10" t="s">
        <v>72</v>
      </c>
      <c r="AE1052" t="s">
        <v>72</v>
      </c>
      <c r="AF1052" t="s">
        <v>45</v>
      </c>
    </row>
    <row r="1053" spans="1:32" x14ac:dyDescent="0.25">
      <c r="A1053">
        <v>1225</v>
      </c>
      <c r="B1053">
        <v>44</v>
      </c>
      <c r="C1053" t="s">
        <v>43</v>
      </c>
      <c r="D1053" t="s">
        <v>33</v>
      </c>
      <c r="E1053" t="s">
        <v>34</v>
      </c>
      <c r="F1053" t="s">
        <v>35</v>
      </c>
      <c r="G1053" t="s">
        <v>59</v>
      </c>
      <c r="H1053" t="s">
        <v>37</v>
      </c>
      <c r="I1053" t="s">
        <v>50</v>
      </c>
      <c r="J1053" t="s">
        <v>39</v>
      </c>
      <c r="K1053">
        <v>4</v>
      </c>
      <c r="L1053">
        <v>4</v>
      </c>
      <c r="M1053" t="s">
        <v>48</v>
      </c>
      <c r="N1053" t="s">
        <v>41</v>
      </c>
      <c r="O1053" t="s">
        <v>42</v>
      </c>
      <c r="P1053" t="s">
        <v>43</v>
      </c>
      <c r="Q1053">
        <v>25</v>
      </c>
      <c r="R1053">
        <v>1</v>
      </c>
      <c r="S1053">
        <v>20</v>
      </c>
      <c r="T1053">
        <v>13</v>
      </c>
      <c r="U1053">
        <v>17</v>
      </c>
      <c r="V1053">
        <v>29</v>
      </c>
      <c r="W1053">
        <v>32</v>
      </c>
      <c r="X1053">
        <v>200</v>
      </c>
      <c r="Y1053">
        <v>7744</v>
      </c>
      <c r="Z1053">
        <v>4541</v>
      </c>
      <c r="AA1053">
        <v>3</v>
      </c>
      <c r="AB1053">
        <v>29037</v>
      </c>
      <c r="AC1053" s="10">
        <v>37628</v>
      </c>
      <c r="AD1053" s="10" t="s">
        <v>72</v>
      </c>
      <c r="AE1053" t="s">
        <v>72</v>
      </c>
      <c r="AF1053" t="s">
        <v>45</v>
      </c>
    </row>
    <row r="1054" spans="1:32" x14ac:dyDescent="0.25">
      <c r="A1054">
        <v>387</v>
      </c>
      <c r="B1054">
        <v>42</v>
      </c>
      <c r="C1054" t="s">
        <v>43</v>
      </c>
      <c r="D1054" t="s">
        <v>33</v>
      </c>
      <c r="E1054" t="s">
        <v>56</v>
      </c>
      <c r="F1054" t="s">
        <v>64</v>
      </c>
      <c r="G1054" t="s">
        <v>38</v>
      </c>
      <c r="H1054" t="s">
        <v>37</v>
      </c>
      <c r="I1054" t="s">
        <v>50</v>
      </c>
      <c r="J1054" t="s">
        <v>57</v>
      </c>
      <c r="K1054">
        <v>3</v>
      </c>
      <c r="L1054">
        <v>4</v>
      </c>
      <c r="M1054" t="s">
        <v>48</v>
      </c>
      <c r="N1054" t="s">
        <v>61</v>
      </c>
      <c r="O1054" t="s">
        <v>42</v>
      </c>
      <c r="P1054" t="s">
        <v>43</v>
      </c>
      <c r="Q1054">
        <v>25</v>
      </c>
      <c r="R1054">
        <v>1</v>
      </c>
      <c r="S1054">
        <v>20</v>
      </c>
      <c r="T1054">
        <v>11</v>
      </c>
      <c r="U1054">
        <v>6</v>
      </c>
      <c r="V1054">
        <v>1</v>
      </c>
      <c r="W1054">
        <v>99</v>
      </c>
      <c r="X1054">
        <v>635</v>
      </c>
      <c r="Y1054">
        <v>24532</v>
      </c>
      <c r="Z1054">
        <v>4907</v>
      </c>
      <c r="AA1054">
        <v>3</v>
      </c>
      <c r="AB1054">
        <v>29630</v>
      </c>
      <c r="AC1054" s="10">
        <v>37646</v>
      </c>
      <c r="AD1054" s="10" t="s">
        <v>72</v>
      </c>
      <c r="AE1054" t="s">
        <v>72</v>
      </c>
      <c r="AF1054" t="s">
        <v>45</v>
      </c>
    </row>
    <row r="1055" spans="1:32" x14ac:dyDescent="0.25">
      <c r="A1055">
        <v>343</v>
      </c>
      <c r="B1055">
        <v>39</v>
      </c>
      <c r="C1055" t="s">
        <v>43</v>
      </c>
      <c r="D1055" t="s">
        <v>46</v>
      </c>
      <c r="E1055" t="s">
        <v>34</v>
      </c>
      <c r="F1055" t="s">
        <v>35</v>
      </c>
      <c r="G1055" t="s">
        <v>50</v>
      </c>
      <c r="H1055" t="s">
        <v>47</v>
      </c>
      <c r="I1055" t="s">
        <v>50</v>
      </c>
      <c r="J1055" t="s">
        <v>62</v>
      </c>
      <c r="K1055">
        <v>3</v>
      </c>
      <c r="L1055">
        <v>4</v>
      </c>
      <c r="M1055" t="s">
        <v>48</v>
      </c>
      <c r="N1055" t="s">
        <v>41</v>
      </c>
      <c r="O1055" t="s">
        <v>42</v>
      </c>
      <c r="P1055" t="s">
        <v>43</v>
      </c>
      <c r="Q1055">
        <v>25</v>
      </c>
      <c r="R1055">
        <v>0</v>
      </c>
      <c r="S1055">
        <v>20</v>
      </c>
      <c r="T1055">
        <v>11</v>
      </c>
      <c r="U1055">
        <v>8</v>
      </c>
      <c r="V1055">
        <v>2</v>
      </c>
      <c r="W1055">
        <v>64</v>
      </c>
      <c r="X1055">
        <v>505</v>
      </c>
      <c r="Y1055">
        <v>6420</v>
      </c>
      <c r="Z1055">
        <v>10938</v>
      </c>
      <c r="AA1055">
        <v>1</v>
      </c>
      <c r="AB1055">
        <v>30812</v>
      </c>
      <c r="AC1055" s="10">
        <v>37908</v>
      </c>
      <c r="AD1055" s="10" t="s">
        <v>72</v>
      </c>
      <c r="AE1055" t="s">
        <v>72</v>
      </c>
      <c r="AF1055" t="s">
        <v>55</v>
      </c>
    </row>
    <row r="1056" spans="1:32" x14ac:dyDescent="0.25">
      <c r="A1056">
        <v>880</v>
      </c>
      <c r="B1056">
        <v>35</v>
      </c>
      <c r="C1056" t="s">
        <v>43</v>
      </c>
      <c r="D1056" t="s">
        <v>33</v>
      </c>
      <c r="E1056" t="s">
        <v>34</v>
      </c>
      <c r="F1056" t="s">
        <v>49</v>
      </c>
      <c r="G1056" t="s">
        <v>59</v>
      </c>
      <c r="H1056" t="s">
        <v>47</v>
      </c>
      <c r="I1056" t="s">
        <v>38</v>
      </c>
      <c r="J1056" t="s">
        <v>65</v>
      </c>
      <c r="K1056">
        <v>3</v>
      </c>
      <c r="L1056">
        <v>4</v>
      </c>
      <c r="M1056" t="s">
        <v>48</v>
      </c>
      <c r="N1056" t="s">
        <v>61</v>
      </c>
      <c r="O1056" t="s">
        <v>36</v>
      </c>
      <c r="P1056" t="s">
        <v>32</v>
      </c>
      <c r="Q1056">
        <v>20</v>
      </c>
      <c r="R1056">
        <v>1</v>
      </c>
      <c r="S1056">
        <v>17</v>
      </c>
      <c r="T1056">
        <v>5</v>
      </c>
      <c r="U1056">
        <v>15</v>
      </c>
      <c r="V1056">
        <v>9</v>
      </c>
      <c r="W1056">
        <v>66</v>
      </c>
      <c r="X1056">
        <v>607</v>
      </c>
      <c r="Y1056">
        <v>23457</v>
      </c>
      <c r="Z1056">
        <v>10685</v>
      </c>
      <c r="AA1056">
        <v>2</v>
      </c>
      <c r="AB1056">
        <v>32081</v>
      </c>
      <c r="AC1056" s="10">
        <v>38682</v>
      </c>
      <c r="AD1056" s="10" t="s">
        <v>72</v>
      </c>
      <c r="AE1056" t="s">
        <v>72</v>
      </c>
      <c r="AF1056" t="s">
        <v>45</v>
      </c>
    </row>
    <row r="1057" spans="1:32" x14ac:dyDescent="0.25">
      <c r="A1057">
        <v>1993</v>
      </c>
      <c r="B1057">
        <v>47</v>
      </c>
      <c r="C1057" t="s">
        <v>43</v>
      </c>
      <c r="D1057" t="s">
        <v>33</v>
      </c>
      <c r="E1057" t="s">
        <v>34</v>
      </c>
      <c r="F1057" t="s">
        <v>49</v>
      </c>
      <c r="G1057" t="s">
        <v>36</v>
      </c>
      <c r="H1057" t="s">
        <v>37</v>
      </c>
      <c r="I1057" t="s">
        <v>50</v>
      </c>
      <c r="J1057" t="s">
        <v>62</v>
      </c>
      <c r="K1057">
        <v>3</v>
      </c>
      <c r="L1057">
        <v>4</v>
      </c>
      <c r="M1057" t="s">
        <v>48</v>
      </c>
      <c r="N1057" t="s">
        <v>41</v>
      </c>
      <c r="O1057" t="s">
        <v>42</v>
      </c>
      <c r="P1057" t="s">
        <v>43</v>
      </c>
      <c r="Q1057">
        <v>23</v>
      </c>
      <c r="R1057">
        <v>2</v>
      </c>
      <c r="S1057">
        <v>25</v>
      </c>
      <c r="T1057">
        <v>12</v>
      </c>
      <c r="U1057">
        <v>11</v>
      </c>
      <c r="V1057">
        <v>25</v>
      </c>
      <c r="W1057">
        <v>84</v>
      </c>
      <c r="X1057">
        <v>1180</v>
      </c>
      <c r="Y1057">
        <v>13084</v>
      </c>
      <c r="Z1057">
        <v>8633</v>
      </c>
      <c r="AA1057">
        <v>3</v>
      </c>
      <c r="AB1057">
        <v>27961</v>
      </c>
      <c r="AC1057" s="10">
        <v>38708</v>
      </c>
      <c r="AD1057" s="10" t="s">
        <v>72</v>
      </c>
      <c r="AE1057" t="s">
        <v>72</v>
      </c>
      <c r="AF1057" t="s">
        <v>45</v>
      </c>
    </row>
    <row r="1058" spans="1:32" x14ac:dyDescent="0.25">
      <c r="A1058">
        <v>1824</v>
      </c>
      <c r="B1058">
        <v>58</v>
      </c>
      <c r="C1058" t="s">
        <v>43</v>
      </c>
      <c r="D1058" t="s">
        <v>63</v>
      </c>
      <c r="E1058" t="s">
        <v>56</v>
      </c>
      <c r="F1058" t="s">
        <v>49</v>
      </c>
      <c r="G1058" t="s">
        <v>38</v>
      </c>
      <c r="H1058" t="s">
        <v>37</v>
      </c>
      <c r="I1058" t="s">
        <v>50</v>
      </c>
      <c r="J1058" t="s">
        <v>69</v>
      </c>
      <c r="K1058">
        <v>2</v>
      </c>
      <c r="L1058">
        <v>4</v>
      </c>
      <c r="M1058" t="s">
        <v>60</v>
      </c>
      <c r="N1058" t="s">
        <v>52</v>
      </c>
      <c r="O1058" t="s">
        <v>36</v>
      </c>
      <c r="P1058" t="s">
        <v>43</v>
      </c>
      <c r="Q1058">
        <v>22</v>
      </c>
      <c r="R1058">
        <v>4</v>
      </c>
      <c r="S1058">
        <v>37</v>
      </c>
      <c r="T1058">
        <v>14</v>
      </c>
      <c r="U1058">
        <v>14</v>
      </c>
      <c r="V1058">
        <v>2</v>
      </c>
      <c r="W1058">
        <v>52</v>
      </c>
      <c r="X1058">
        <v>350</v>
      </c>
      <c r="Y1058">
        <v>22577</v>
      </c>
      <c r="Z1058">
        <v>16291</v>
      </c>
      <c r="AA1058">
        <v>0</v>
      </c>
      <c r="AB1058">
        <v>23685</v>
      </c>
      <c r="AC1058" s="10">
        <v>39177</v>
      </c>
      <c r="AD1058" s="10" t="s">
        <v>72</v>
      </c>
      <c r="AE1058" t="s">
        <v>72</v>
      </c>
      <c r="AF1058" t="s">
        <v>45</v>
      </c>
    </row>
    <row r="1059" spans="1:32" x14ac:dyDescent="0.25">
      <c r="A1059">
        <v>2017</v>
      </c>
      <c r="B1059">
        <v>37</v>
      </c>
      <c r="C1059" t="s">
        <v>43</v>
      </c>
      <c r="D1059" t="s">
        <v>33</v>
      </c>
      <c r="E1059" t="s">
        <v>34</v>
      </c>
      <c r="F1059" t="s">
        <v>49</v>
      </c>
      <c r="G1059" t="s">
        <v>50</v>
      </c>
      <c r="H1059" t="s">
        <v>47</v>
      </c>
      <c r="I1059" t="s">
        <v>59</v>
      </c>
      <c r="J1059" t="s">
        <v>71</v>
      </c>
      <c r="K1059">
        <v>4</v>
      </c>
      <c r="L1059">
        <v>4</v>
      </c>
      <c r="M1059" t="s">
        <v>48</v>
      </c>
      <c r="N1059" t="s">
        <v>61</v>
      </c>
      <c r="O1059" t="s">
        <v>36</v>
      </c>
      <c r="P1059" t="s">
        <v>32</v>
      </c>
      <c r="Q1059">
        <v>25</v>
      </c>
      <c r="R1059">
        <v>1</v>
      </c>
      <c r="S1059">
        <v>16</v>
      </c>
      <c r="T1059">
        <v>6</v>
      </c>
      <c r="U1059">
        <v>8</v>
      </c>
      <c r="V1059">
        <v>10</v>
      </c>
      <c r="W1059">
        <v>42</v>
      </c>
      <c r="X1059">
        <v>161</v>
      </c>
      <c r="Y1059">
        <v>15471</v>
      </c>
      <c r="Z1059">
        <v>13744</v>
      </c>
      <c r="AA1059">
        <v>2</v>
      </c>
      <c r="AB1059">
        <v>31612</v>
      </c>
      <c r="AC1059" s="10">
        <v>39238</v>
      </c>
      <c r="AD1059" s="10" t="s">
        <v>72</v>
      </c>
      <c r="AE1059" t="s">
        <v>72</v>
      </c>
      <c r="AF1059" t="s">
        <v>45</v>
      </c>
    </row>
    <row r="1060" spans="1:32" x14ac:dyDescent="0.25">
      <c r="A1060">
        <v>2036</v>
      </c>
      <c r="B1060">
        <v>36</v>
      </c>
      <c r="C1060" t="s">
        <v>43</v>
      </c>
      <c r="D1060" t="s">
        <v>63</v>
      </c>
      <c r="E1060" t="s">
        <v>56</v>
      </c>
      <c r="F1060" t="s">
        <v>35</v>
      </c>
      <c r="G1060" t="s">
        <v>59</v>
      </c>
      <c r="H1060" t="s">
        <v>37</v>
      </c>
      <c r="I1060" t="s">
        <v>36</v>
      </c>
      <c r="J1060" t="s">
        <v>57</v>
      </c>
      <c r="K1060">
        <v>4</v>
      </c>
      <c r="L1060">
        <v>4</v>
      </c>
      <c r="M1060" t="s">
        <v>60</v>
      </c>
      <c r="N1060" t="s">
        <v>52</v>
      </c>
      <c r="O1060" t="s">
        <v>36</v>
      </c>
      <c r="P1060" t="s">
        <v>43</v>
      </c>
      <c r="Q1060">
        <v>24</v>
      </c>
      <c r="R1060">
        <v>1</v>
      </c>
      <c r="S1060">
        <v>15</v>
      </c>
      <c r="T1060">
        <v>11</v>
      </c>
      <c r="U1060">
        <v>11</v>
      </c>
      <c r="V1060">
        <v>15</v>
      </c>
      <c r="W1060">
        <v>88</v>
      </c>
      <c r="X1060">
        <v>301</v>
      </c>
      <c r="Y1060">
        <v>10436</v>
      </c>
      <c r="Z1060">
        <v>5406</v>
      </c>
      <c r="AA1060">
        <v>4</v>
      </c>
      <c r="AB1060">
        <v>31956</v>
      </c>
      <c r="AC1060" s="10">
        <v>39620</v>
      </c>
      <c r="AD1060" s="10" t="s">
        <v>72</v>
      </c>
      <c r="AE1060" t="s">
        <v>72</v>
      </c>
      <c r="AF1060" t="s">
        <v>45</v>
      </c>
    </row>
    <row r="1061" spans="1:32" x14ac:dyDescent="0.25">
      <c r="A1061">
        <v>1666</v>
      </c>
      <c r="B1061">
        <v>43</v>
      </c>
      <c r="C1061" t="s">
        <v>43</v>
      </c>
      <c r="D1061" t="s">
        <v>33</v>
      </c>
      <c r="E1061" t="s">
        <v>34</v>
      </c>
      <c r="F1061" t="s">
        <v>67</v>
      </c>
      <c r="G1061" t="s">
        <v>50</v>
      </c>
      <c r="H1061" t="s">
        <v>37</v>
      </c>
      <c r="I1061" t="s">
        <v>38</v>
      </c>
      <c r="J1061" t="s">
        <v>71</v>
      </c>
      <c r="K1061">
        <v>3</v>
      </c>
      <c r="L1061">
        <v>4</v>
      </c>
      <c r="M1061" t="s">
        <v>48</v>
      </c>
      <c r="N1061" t="s">
        <v>61</v>
      </c>
      <c r="O1061" t="s">
        <v>36</v>
      </c>
      <c r="P1061" t="s">
        <v>43</v>
      </c>
      <c r="Q1061">
        <v>24</v>
      </c>
      <c r="R1061">
        <v>1</v>
      </c>
      <c r="S1061">
        <v>14</v>
      </c>
      <c r="T1061">
        <v>6</v>
      </c>
      <c r="U1061">
        <v>11</v>
      </c>
      <c r="V1061">
        <v>15</v>
      </c>
      <c r="W1061">
        <v>65</v>
      </c>
      <c r="X1061">
        <v>1291</v>
      </c>
      <c r="Y1061">
        <v>3525</v>
      </c>
      <c r="Z1061">
        <v>17603</v>
      </c>
      <c r="AA1061">
        <v>3</v>
      </c>
      <c r="AB1061">
        <v>29118</v>
      </c>
      <c r="AC1061" s="10">
        <v>39819</v>
      </c>
      <c r="AD1061" s="10" t="s">
        <v>72</v>
      </c>
      <c r="AE1061" t="s">
        <v>72</v>
      </c>
      <c r="AF1061" t="s">
        <v>45</v>
      </c>
    </row>
    <row r="1062" spans="1:32" x14ac:dyDescent="0.25">
      <c r="A1062">
        <v>1950</v>
      </c>
      <c r="B1062">
        <v>34</v>
      </c>
      <c r="C1062" t="s">
        <v>43</v>
      </c>
      <c r="D1062" t="s">
        <v>33</v>
      </c>
      <c r="E1062" t="s">
        <v>56</v>
      </c>
      <c r="F1062" t="s">
        <v>49</v>
      </c>
      <c r="G1062" t="s">
        <v>36</v>
      </c>
      <c r="H1062" t="s">
        <v>37</v>
      </c>
      <c r="I1062" t="s">
        <v>50</v>
      </c>
      <c r="J1062" t="s">
        <v>57</v>
      </c>
      <c r="K1062">
        <v>4</v>
      </c>
      <c r="L1062">
        <v>4</v>
      </c>
      <c r="M1062" t="s">
        <v>60</v>
      </c>
      <c r="N1062" t="s">
        <v>41</v>
      </c>
      <c r="O1062" t="s">
        <v>42</v>
      </c>
      <c r="P1062" t="s">
        <v>43</v>
      </c>
      <c r="Q1062">
        <v>21</v>
      </c>
      <c r="R1062">
        <v>1</v>
      </c>
      <c r="S1062">
        <v>14</v>
      </c>
      <c r="T1062">
        <v>2</v>
      </c>
      <c r="U1062">
        <v>1</v>
      </c>
      <c r="V1062">
        <v>1</v>
      </c>
      <c r="W1062">
        <v>32</v>
      </c>
      <c r="X1062">
        <v>937</v>
      </c>
      <c r="Y1062">
        <v>6770</v>
      </c>
      <c r="Z1062">
        <v>9888</v>
      </c>
      <c r="AA1062">
        <v>3</v>
      </c>
      <c r="AB1062">
        <v>32625</v>
      </c>
      <c r="AC1062" s="10">
        <v>39892</v>
      </c>
      <c r="AD1062" s="10" t="s">
        <v>72</v>
      </c>
      <c r="AE1062" t="s">
        <v>72</v>
      </c>
      <c r="AF1062" t="s">
        <v>45</v>
      </c>
    </row>
    <row r="1063" spans="1:32" x14ac:dyDescent="0.25">
      <c r="A1063">
        <v>682</v>
      </c>
      <c r="B1063">
        <v>53</v>
      </c>
      <c r="C1063" t="s">
        <v>43</v>
      </c>
      <c r="D1063" t="s">
        <v>33</v>
      </c>
      <c r="E1063" t="s">
        <v>56</v>
      </c>
      <c r="F1063" t="s">
        <v>64</v>
      </c>
      <c r="G1063" t="s">
        <v>59</v>
      </c>
      <c r="H1063" t="s">
        <v>47</v>
      </c>
      <c r="I1063" t="s">
        <v>50</v>
      </c>
      <c r="J1063" t="s">
        <v>57</v>
      </c>
      <c r="K1063">
        <v>1</v>
      </c>
      <c r="L1063">
        <v>4</v>
      </c>
      <c r="M1063" t="s">
        <v>58</v>
      </c>
      <c r="N1063" t="s">
        <v>41</v>
      </c>
      <c r="O1063" t="s">
        <v>42</v>
      </c>
      <c r="P1063" t="s">
        <v>43</v>
      </c>
      <c r="Q1063">
        <v>20</v>
      </c>
      <c r="R1063">
        <v>7</v>
      </c>
      <c r="S1063">
        <v>18</v>
      </c>
      <c r="T1063">
        <v>8</v>
      </c>
      <c r="U1063">
        <v>10</v>
      </c>
      <c r="V1063">
        <v>1</v>
      </c>
      <c r="W1063">
        <v>34</v>
      </c>
      <c r="X1063">
        <v>238</v>
      </c>
      <c r="Y1063">
        <v>7507</v>
      </c>
      <c r="Z1063">
        <v>8381</v>
      </c>
      <c r="AA1063">
        <v>2</v>
      </c>
      <c r="AB1063">
        <v>25428</v>
      </c>
      <c r="AC1063" s="10">
        <v>39893</v>
      </c>
      <c r="AD1063" s="10" t="s">
        <v>72</v>
      </c>
      <c r="AE1063" t="s">
        <v>72</v>
      </c>
      <c r="AF1063" t="s">
        <v>45</v>
      </c>
    </row>
    <row r="1064" spans="1:32" x14ac:dyDescent="0.25">
      <c r="A1064">
        <v>145</v>
      </c>
      <c r="B1064">
        <v>51</v>
      </c>
      <c r="C1064" t="s">
        <v>43</v>
      </c>
      <c r="D1064" t="s">
        <v>46</v>
      </c>
      <c r="E1064" t="s">
        <v>34</v>
      </c>
      <c r="F1064" t="s">
        <v>35</v>
      </c>
      <c r="G1064" t="s">
        <v>36</v>
      </c>
      <c r="H1064" t="s">
        <v>47</v>
      </c>
      <c r="I1064" t="s">
        <v>38</v>
      </c>
      <c r="J1064" t="s">
        <v>62</v>
      </c>
      <c r="K1064">
        <v>1</v>
      </c>
      <c r="L1064">
        <v>4</v>
      </c>
      <c r="M1064" t="s">
        <v>60</v>
      </c>
      <c r="N1064" t="s">
        <v>41</v>
      </c>
      <c r="O1064" t="s">
        <v>42</v>
      </c>
      <c r="P1064" t="s">
        <v>43</v>
      </c>
      <c r="Q1064">
        <v>20</v>
      </c>
      <c r="R1064">
        <v>3</v>
      </c>
      <c r="S1064">
        <v>23</v>
      </c>
      <c r="T1064">
        <v>12</v>
      </c>
      <c r="U1064">
        <v>8</v>
      </c>
      <c r="V1064">
        <v>1</v>
      </c>
      <c r="W1064">
        <v>30</v>
      </c>
      <c r="X1064">
        <v>1456</v>
      </c>
      <c r="Y1064">
        <v>25796</v>
      </c>
      <c r="Z1064">
        <v>7484</v>
      </c>
      <c r="AA1064">
        <v>1</v>
      </c>
      <c r="AB1064">
        <v>26376</v>
      </c>
      <c r="AC1064" s="10">
        <v>40134</v>
      </c>
      <c r="AD1064" s="10" t="s">
        <v>72</v>
      </c>
      <c r="AE1064" t="s">
        <v>72</v>
      </c>
      <c r="AF1064" t="s">
        <v>45</v>
      </c>
    </row>
    <row r="1065" spans="1:32" x14ac:dyDescent="0.25">
      <c r="A1065">
        <v>1184</v>
      </c>
      <c r="B1065">
        <v>34</v>
      </c>
      <c r="C1065" t="s">
        <v>43</v>
      </c>
      <c r="D1065" t="s">
        <v>46</v>
      </c>
      <c r="E1065" t="s">
        <v>34</v>
      </c>
      <c r="F1065" t="s">
        <v>49</v>
      </c>
      <c r="G1065" t="s">
        <v>59</v>
      </c>
      <c r="H1065" t="s">
        <v>37</v>
      </c>
      <c r="I1065" t="s">
        <v>38</v>
      </c>
      <c r="J1065" t="s">
        <v>62</v>
      </c>
      <c r="K1065">
        <v>1</v>
      </c>
      <c r="L1065">
        <v>4</v>
      </c>
      <c r="M1065" t="s">
        <v>48</v>
      </c>
      <c r="N1065" t="s">
        <v>41</v>
      </c>
      <c r="O1065" t="s">
        <v>42</v>
      </c>
      <c r="P1065" t="s">
        <v>43</v>
      </c>
      <c r="Q1065">
        <v>20</v>
      </c>
      <c r="R1065">
        <v>0</v>
      </c>
      <c r="S1065">
        <v>14</v>
      </c>
      <c r="T1065">
        <v>4</v>
      </c>
      <c r="U1065">
        <v>9</v>
      </c>
      <c r="V1065">
        <v>1</v>
      </c>
      <c r="W1065">
        <v>97</v>
      </c>
      <c r="X1065">
        <v>669</v>
      </c>
      <c r="Y1065">
        <v>25755</v>
      </c>
      <c r="Z1065">
        <v>5343</v>
      </c>
      <c r="AA1065">
        <v>3</v>
      </c>
      <c r="AB1065">
        <v>32431</v>
      </c>
      <c r="AC1065" s="10">
        <v>40226</v>
      </c>
      <c r="AD1065" s="10" t="s">
        <v>72</v>
      </c>
      <c r="AE1065" t="s">
        <v>72</v>
      </c>
      <c r="AF1065" t="s">
        <v>45</v>
      </c>
    </row>
    <row r="1066" spans="1:32" x14ac:dyDescent="0.25">
      <c r="A1066">
        <v>692</v>
      </c>
      <c r="B1066">
        <v>33</v>
      </c>
      <c r="C1066" t="s">
        <v>43</v>
      </c>
      <c r="D1066" t="s">
        <v>46</v>
      </c>
      <c r="E1066" t="s">
        <v>34</v>
      </c>
      <c r="F1066" t="s">
        <v>49</v>
      </c>
      <c r="G1066" t="s">
        <v>50</v>
      </c>
      <c r="H1066" t="s">
        <v>37</v>
      </c>
      <c r="I1066" t="s">
        <v>50</v>
      </c>
      <c r="J1066" t="s">
        <v>62</v>
      </c>
      <c r="K1066">
        <v>4</v>
      </c>
      <c r="L1066">
        <v>4</v>
      </c>
      <c r="M1066" t="s">
        <v>40</v>
      </c>
      <c r="N1066" t="s">
        <v>52</v>
      </c>
      <c r="O1066" t="s">
        <v>36</v>
      </c>
      <c r="P1066" t="s">
        <v>43</v>
      </c>
      <c r="Q1066">
        <v>23</v>
      </c>
      <c r="R1066">
        <v>3</v>
      </c>
      <c r="S1066">
        <v>15</v>
      </c>
      <c r="T1066">
        <v>4</v>
      </c>
      <c r="U1066">
        <v>7</v>
      </c>
      <c r="V1066">
        <v>6</v>
      </c>
      <c r="W1066">
        <v>30</v>
      </c>
      <c r="X1066">
        <v>1296</v>
      </c>
      <c r="Y1066">
        <v>5335</v>
      </c>
      <c r="Z1066">
        <v>7725</v>
      </c>
      <c r="AA1066">
        <v>2</v>
      </c>
      <c r="AB1066">
        <v>32750</v>
      </c>
      <c r="AC1066" s="10">
        <v>40233</v>
      </c>
      <c r="AD1066" s="10" t="s">
        <v>72</v>
      </c>
      <c r="AE1066" t="s">
        <v>72</v>
      </c>
      <c r="AF1066" t="s">
        <v>45</v>
      </c>
    </row>
    <row r="1067" spans="1:32" x14ac:dyDescent="0.25">
      <c r="A1067">
        <v>57</v>
      </c>
      <c r="B1067">
        <v>30</v>
      </c>
      <c r="C1067" t="s">
        <v>43</v>
      </c>
      <c r="D1067" t="s">
        <v>46</v>
      </c>
      <c r="E1067" t="s">
        <v>34</v>
      </c>
      <c r="F1067" t="s">
        <v>67</v>
      </c>
      <c r="G1067" t="s">
        <v>50</v>
      </c>
      <c r="H1067" t="s">
        <v>47</v>
      </c>
      <c r="I1067" t="s">
        <v>50</v>
      </c>
      <c r="J1067" t="s">
        <v>51</v>
      </c>
      <c r="K1067">
        <v>4</v>
      </c>
      <c r="L1067">
        <v>4</v>
      </c>
      <c r="M1067" t="s">
        <v>48</v>
      </c>
      <c r="N1067" t="s">
        <v>41</v>
      </c>
      <c r="O1067" t="s">
        <v>42</v>
      </c>
      <c r="P1067" t="s">
        <v>43</v>
      </c>
      <c r="Q1067">
        <v>23</v>
      </c>
      <c r="R1067">
        <v>1</v>
      </c>
      <c r="S1067">
        <v>12</v>
      </c>
      <c r="T1067">
        <v>3</v>
      </c>
      <c r="U1067">
        <v>7</v>
      </c>
      <c r="V1067">
        <v>1</v>
      </c>
      <c r="W1067">
        <v>58</v>
      </c>
      <c r="X1067">
        <v>721</v>
      </c>
      <c r="Y1067">
        <v>10781</v>
      </c>
      <c r="Z1067">
        <v>4011</v>
      </c>
      <c r="AA1067">
        <v>2</v>
      </c>
      <c r="AB1067">
        <v>34093</v>
      </c>
      <c r="AC1067" s="10">
        <v>40640</v>
      </c>
      <c r="AD1067" s="10" t="s">
        <v>72</v>
      </c>
      <c r="AE1067" t="s">
        <v>72</v>
      </c>
      <c r="AF1067" t="s">
        <v>45</v>
      </c>
    </row>
    <row r="1068" spans="1:32" x14ac:dyDescent="0.25">
      <c r="A1068">
        <v>1375</v>
      </c>
      <c r="B1068">
        <v>40</v>
      </c>
      <c r="C1068" t="s">
        <v>43</v>
      </c>
      <c r="D1068" t="s">
        <v>33</v>
      </c>
      <c r="E1068" t="s">
        <v>34</v>
      </c>
      <c r="F1068" t="s">
        <v>64</v>
      </c>
      <c r="G1068" t="s">
        <v>38</v>
      </c>
      <c r="H1068" t="s">
        <v>47</v>
      </c>
      <c r="I1068" t="s">
        <v>59</v>
      </c>
      <c r="J1068" t="s">
        <v>62</v>
      </c>
      <c r="K1068">
        <v>3</v>
      </c>
      <c r="L1068">
        <v>4</v>
      </c>
      <c r="M1068" t="s">
        <v>48</v>
      </c>
      <c r="N1068" t="s">
        <v>52</v>
      </c>
      <c r="O1068" t="s">
        <v>50</v>
      </c>
      <c r="P1068" t="s">
        <v>43</v>
      </c>
      <c r="Q1068">
        <v>20</v>
      </c>
      <c r="R1068">
        <v>5</v>
      </c>
      <c r="S1068">
        <v>15</v>
      </c>
      <c r="T1068">
        <v>11</v>
      </c>
      <c r="U1068">
        <v>8</v>
      </c>
      <c r="V1068">
        <v>2</v>
      </c>
      <c r="W1068">
        <v>89</v>
      </c>
      <c r="X1068">
        <v>1202</v>
      </c>
      <c r="Y1068">
        <v>13888</v>
      </c>
      <c r="Z1068">
        <v>6377</v>
      </c>
      <c r="AA1068">
        <v>0</v>
      </c>
      <c r="AB1068">
        <v>30237</v>
      </c>
      <c r="AC1068" s="10">
        <v>40712</v>
      </c>
      <c r="AD1068" s="10" t="s">
        <v>72</v>
      </c>
      <c r="AE1068" t="s">
        <v>72</v>
      </c>
      <c r="AF1068" t="s">
        <v>45</v>
      </c>
    </row>
    <row r="1069" spans="1:32" x14ac:dyDescent="0.25">
      <c r="A1069">
        <v>1483</v>
      </c>
      <c r="B1069">
        <v>57</v>
      </c>
      <c r="C1069" t="s">
        <v>43</v>
      </c>
      <c r="D1069" t="s">
        <v>33</v>
      </c>
      <c r="E1069" t="s">
        <v>34</v>
      </c>
      <c r="F1069" t="s">
        <v>67</v>
      </c>
      <c r="G1069" t="s">
        <v>38</v>
      </c>
      <c r="H1069" t="s">
        <v>37</v>
      </c>
      <c r="I1069" t="s">
        <v>59</v>
      </c>
      <c r="J1069" t="s">
        <v>39</v>
      </c>
      <c r="K1069">
        <v>3</v>
      </c>
      <c r="L1069">
        <v>4</v>
      </c>
      <c r="M1069" t="s">
        <v>60</v>
      </c>
      <c r="N1069" t="s">
        <v>61</v>
      </c>
      <c r="O1069" t="s">
        <v>36</v>
      </c>
      <c r="P1069" t="s">
        <v>43</v>
      </c>
      <c r="Q1069">
        <v>24</v>
      </c>
      <c r="R1069">
        <v>0</v>
      </c>
      <c r="S1069">
        <v>13</v>
      </c>
      <c r="T1069">
        <v>2</v>
      </c>
      <c r="U1069">
        <v>8</v>
      </c>
      <c r="V1069">
        <v>1</v>
      </c>
      <c r="W1069">
        <v>93</v>
      </c>
      <c r="X1069">
        <v>405</v>
      </c>
      <c r="Y1069">
        <v>2721</v>
      </c>
      <c r="Z1069">
        <v>4900</v>
      </c>
      <c r="AA1069">
        <v>2</v>
      </c>
      <c r="AB1069">
        <v>24313</v>
      </c>
      <c r="AC1069" s="10">
        <v>40738</v>
      </c>
      <c r="AD1069" s="10" t="s">
        <v>72</v>
      </c>
      <c r="AE1069" t="s">
        <v>72</v>
      </c>
      <c r="AF1069" t="s">
        <v>45</v>
      </c>
    </row>
    <row r="1070" spans="1:32" x14ac:dyDescent="0.25">
      <c r="A1070">
        <v>292</v>
      </c>
      <c r="B1070">
        <v>30</v>
      </c>
      <c r="C1070" t="s">
        <v>43</v>
      </c>
      <c r="D1070" t="s">
        <v>63</v>
      </c>
      <c r="E1070" t="s">
        <v>34</v>
      </c>
      <c r="F1070" t="s">
        <v>64</v>
      </c>
      <c r="G1070" t="s">
        <v>50</v>
      </c>
      <c r="H1070" t="s">
        <v>37</v>
      </c>
      <c r="I1070" t="s">
        <v>38</v>
      </c>
      <c r="J1070" t="s">
        <v>65</v>
      </c>
      <c r="K1070">
        <v>3</v>
      </c>
      <c r="L1070">
        <v>4</v>
      </c>
      <c r="M1070" t="s">
        <v>48</v>
      </c>
      <c r="N1070" t="s">
        <v>41</v>
      </c>
      <c r="O1070" t="s">
        <v>42</v>
      </c>
      <c r="P1070" t="s">
        <v>43</v>
      </c>
      <c r="Q1070">
        <v>22</v>
      </c>
      <c r="R1070">
        <v>1</v>
      </c>
      <c r="S1070">
        <v>12</v>
      </c>
      <c r="T1070">
        <v>5</v>
      </c>
      <c r="U1070">
        <v>8</v>
      </c>
      <c r="V1070">
        <v>1</v>
      </c>
      <c r="W1070">
        <v>88</v>
      </c>
      <c r="X1070">
        <v>829</v>
      </c>
      <c r="Y1070">
        <v>20925</v>
      </c>
      <c r="Z1070">
        <v>8474</v>
      </c>
      <c r="AA1070">
        <v>2</v>
      </c>
      <c r="AB1070">
        <v>33837</v>
      </c>
      <c r="AC1070" s="10">
        <v>40828</v>
      </c>
      <c r="AD1070" s="10" t="s">
        <v>72</v>
      </c>
      <c r="AE1070" t="s">
        <v>72</v>
      </c>
      <c r="AF1070" t="s">
        <v>45</v>
      </c>
    </row>
    <row r="1071" spans="1:32" x14ac:dyDescent="0.25">
      <c r="A1071">
        <v>1541</v>
      </c>
      <c r="B1071">
        <v>34</v>
      </c>
      <c r="C1071" t="s">
        <v>43</v>
      </c>
      <c r="D1071" t="s">
        <v>33</v>
      </c>
      <c r="E1071" t="s">
        <v>56</v>
      </c>
      <c r="F1071" t="s">
        <v>67</v>
      </c>
      <c r="G1071" t="s">
        <v>38</v>
      </c>
      <c r="H1071" t="s">
        <v>37</v>
      </c>
      <c r="I1071" t="s">
        <v>50</v>
      </c>
      <c r="J1071" t="s">
        <v>66</v>
      </c>
      <c r="K1071">
        <v>3</v>
      </c>
      <c r="L1071">
        <v>4</v>
      </c>
      <c r="M1071" t="s">
        <v>48</v>
      </c>
      <c r="N1071" t="s">
        <v>61</v>
      </c>
      <c r="O1071" t="s">
        <v>36</v>
      </c>
      <c r="P1071" t="s">
        <v>32</v>
      </c>
      <c r="Q1071">
        <v>25</v>
      </c>
      <c r="R1071">
        <v>0</v>
      </c>
      <c r="S1071">
        <v>12</v>
      </c>
      <c r="T1071">
        <v>5</v>
      </c>
      <c r="U1071">
        <v>7</v>
      </c>
      <c r="V1071">
        <v>7</v>
      </c>
      <c r="W1071">
        <v>55</v>
      </c>
      <c r="X1071">
        <v>1440</v>
      </c>
      <c r="Y1071">
        <v>4944</v>
      </c>
      <c r="Z1071">
        <v>2308</v>
      </c>
      <c r="AA1071">
        <v>4</v>
      </c>
      <c r="AB1071">
        <v>32609</v>
      </c>
      <c r="AC1071" s="10">
        <v>40890</v>
      </c>
      <c r="AD1071" s="10" t="s">
        <v>72</v>
      </c>
      <c r="AE1071" t="s">
        <v>72</v>
      </c>
      <c r="AF1071" t="s">
        <v>45</v>
      </c>
    </row>
    <row r="1072" spans="1:32" x14ac:dyDescent="0.25">
      <c r="A1072">
        <v>1092</v>
      </c>
      <c r="B1072">
        <v>40</v>
      </c>
      <c r="C1072" t="s">
        <v>43</v>
      </c>
      <c r="D1072" t="s">
        <v>33</v>
      </c>
      <c r="E1072" t="s">
        <v>34</v>
      </c>
      <c r="F1072" t="s">
        <v>35</v>
      </c>
      <c r="G1072" t="s">
        <v>36</v>
      </c>
      <c r="H1072" t="s">
        <v>37</v>
      </c>
      <c r="I1072" t="s">
        <v>50</v>
      </c>
      <c r="J1072" t="s">
        <v>62</v>
      </c>
      <c r="K1072">
        <v>4</v>
      </c>
      <c r="L1072">
        <v>4</v>
      </c>
      <c r="M1072" t="s">
        <v>48</v>
      </c>
      <c r="N1072" t="s">
        <v>61</v>
      </c>
      <c r="O1072" t="s">
        <v>36</v>
      </c>
      <c r="P1072" t="s">
        <v>43</v>
      </c>
      <c r="Q1072">
        <v>20</v>
      </c>
      <c r="R1072">
        <v>4</v>
      </c>
      <c r="S1072">
        <v>14</v>
      </c>
      <c r="T1072">
        <v>6</v>
      </c>
      <c r="U1072">
        <v>1</v>
      </c>
      <c r="V1072">
        <v>20</v>
      </c>
      <c r="W1072">
        <v>61</v>
      </c>
      <c r="X1072">
        <v>1492</v>
      </c>
      <c r="Y1072">
        <v>26542</v>
      </c>
      <c r="Z1072">
        <v>10322</v>
      </c>
      <c r="AA1072">
        <v>6</v>
      </c>
      <c r="AB1072">
        <v>30292</v>
      </c>
      <c r="AC1072" s="10">
        <v>40923</v>
      </c>
      <c r="AD1072" s="10" t="s">
        <v>72</v>
      </c>
      <c r="AE1072" t="s">
        <v>72</v>
      </c>
      <c r="AF1072" t="s">
        <v>45</v>
      </c>
    </row>
    <row r="1073" spans="1:32" x14ac:dyDescent="0.25">
      <c r="A1073">
        <v>1979</v>
      </c>
      <c r="B1073">
        <v>31</v>
      </c>
      <c r="C1073" t="s">
        <v>43</v>
      </c>
      <c r="D1073" t="s">
        <v>63</v>
      </c>
      <c r="E1073" t="s">
        <v>34</v>
      </c>
      <c r="F1073" t="s">
        <v>49</v>
      </c>
      <c r="G1073" t="s">
        <v>50</v>
      </c>
      <c r="H1073" t="s">
        <v>47</v>
      </c>
      <c r="I1073" t="s">
        <v>50</v>
      </c>
      <c r="J1073" t="s">
        <v>71</v>
      </c>
      <c r="K1073">
        <v>3</v>
      </c>
      <c r="L1073">
        <v>4</v>
      </c>
      <c r="M1073" t="s">
        <v>58</v>
      </c>
      <c r="N1073" t="s">
        <v>61</v>
      </c>
      <c r="O1073" t="s">
        <v>36</v>
      </c>
      <c r="P1073" t="s">
        <v>43</v>
      </c>
      <c r="Q1073">
        <v>20</v>
      </c>
      <c r="R1073">
        <v>4</v>
      </c>
      <c r="S1073">
        <v>13</v>
      </c>
      <c r="T1073">
        <v>4</v>
      </c>
      <c r="U1073">
        <v>8</v>
      </c>
      <c r="V1073">
        <v>10</v>
      </c>
      <c r="W1073">
        <v>40</v>
      </c>
      <c r="X1073">
        <v>697</v>
      </c>
      <c r="Y1073">
        <v>26862</v>
      </c>
      <c r="Z1073">
        <v>11031</v>
      </c>
      <c r="AA1073">
        <v>2</v>
      </c>
      <c r="AB1073">
        <v>33796</v>
      </c>
      <c r="AC1073" s="10">
        <v>40945</v>
      </c>
      <c r="AD1073" s="10" t="s">
        <v>72</v>
      </c>
      <c r="AE1073" t="s">
        <v>72</v>
      </c>
      <c r="AF1073" t="s">
        <v>45</v>
      </c>
    </row>
    <row r="1074" spans="1:32" x14ac:dyDescent="0.25">
      <c r="A1074">
        <v>958</v>
      </c>
      <c r="B1074">
        <v>36</v>
      </c>
      <c r="C1074" t="s">
        <v>43</v>
      </c>
      <c r="D1074" t="s">
        <v>33</v>
      </c>
      <c r="E1074" t="s">
        <v>34</v>
      </c>
      <c r="F1074" t="s">
        <v>35</v>
      </c>
      <c r="G1074" t="s">
        <v>50</v>
      </c>
      <c r="H1074" t="s">
        <v>37</v>
      </c>
      <c r="I1074" t="s">
        <v>50</v>
      </c>
      <c r="J1074" t="s">
        <v>51</v>
      </c>
      <c r="K1074">
        <v>3</v>
      </c>
      <c r="L1074">
        <v>4</v>
      </c>
      <c r="M1074" t="s">
        <v>48</v>
      </c>
      <c r="N1074" t="s">
        <v>41</v>
      </c>
      <c r="O1074" t="s">
        <v>42</v>
      </c>
      <c r="P1074" t="s">
        <v>43</v>
      </c>
      <c r="Q1074">
        <v>21</v>
      </c>
      <c r="R1074">
        <v>4</v>
      </c>
      <c r="S1074">
        <v>16</v>
      </c>
      <c r="T1074">
        <v>3</v>
      </c>
      <c r="U1074">
        <v>9</v>
      </c>
      <c r="V1074">
        <v>2</v>
      </c>
      <c r="W1074">
        <v>79</v>
      </c>
      <c r="X1074">
        <v>938</v>
      </c>
      <c r="Y1074">
        <v>12287</v>
      </c>
      <c r="Z1074">
        <v>2519</v>
      </c>
      <c r="AA1074">
        <v>6</v>
      </c>
      <c r="AB1074">
        <v>31978</v>
      </c>
      <c r="AC1074" s="10">
        <v>41035</v>
      </c>
      <c r="AD1074" s="10" t="s">
        <v>72</v>
      </c>
      <c r="AE1074" t="s">
        <v>72</v>
      </c>
      <c r="AF1074" t="s">
        <v>45</v>
      </c>
    </row>
    <row r="1075" spans="1:32" x14ac:dyDescent="0.25">
      <c r="A1075">
        <v>1241</v>
      </c>
      <c r="B1075">
        <v>30</v>
      </c>
      <c r="C1075" t="s">
        <v>43</v>
      </c>
      <c r="D1075" t="s">
        <v>33</v>
      </c>
      <c r="E1075" t="s">
        <v>34</v>
      </c>
      <c r="F1075" t="s">
        <v>49</v>
      </c>
      <c r="G1075" t="s">
        <v>59</v>
      </c>
      <c r="H1075" t="s">
        <v>37</v>
      </c>
      <c r="I1075" t="s">
        <v>50</v>
      </c>
      <c r="J1075" t="s">
        <v>39</v>
      </c>
      <c r="K1075">
        <v>2</v>
      </c>
      <c r="L1075">
        <v>4</v>
      </c>
      <c r="M1075" t="s">
        <v>48</v>
      </c>
      <c r="N1075" t="s">
        <v>61</v>
      </c>
      <c r="O1075" t="s">
        <v>36</v>
      </c>
      <c r="P1075" t="s">
        <v>32</v>
      </c>
      <c r="Q1075">
        <v>21</v>
      </c>
      <c r="R1075">
        <v>0</v>
      </c>
      <c r="S1075">
        <v>12</v>
      </c>
      <c r="T1075">
        <v>5</v>
      </c>
      <c r="U1075">
        <v>7</v>
      </c>
      <c r="V1075">
        <v>1</v>
      </c>
      <c r="W1075">
        <v>63</v>
      </c>
      <c r="X1075">
        <v>1465</v>
      </c>
      <c r="Y1075">
        <v>9369</v>
      </c>
      <c r="Z1075">
        <v>3579</v>
      </c>
      <c r="AA1075">
        <v>2</v>
      </c>
      <c r="AB1075">
        <v>33944</v>
      </c>
      <c r="AC1075" s="10">
        <v>41069</v>
      </c>
      <c r="AD1075" s="10" t="s">
        <v>72</v>
      </c>
      <c r="AE1075" t="s">
        <v>72</v>
      </c>
      <c r="AF1075" t="s">
        <v>45</v>
      </c>
    </row>
    <row r="1076" spans="1:32" x14ac:dyDescent="0.25">
      <c r="A1076">
        <v>442</v>
      </c>
      <c r="B1076">
        <v>31</v>
      </c>
      <c r="C1076" t="s">
        <v>43</v>
      </c>
      <c r="D1076" t="s">
        <v>46</v>
      </c>
      <c r="E1076" t="s">
        <v>34</v>
      </c>
      <c r="F1076" t="s">
        <v>67</v>
      </c>
      <c r="G1076" t="s">
        <v>50</v>
      </c>
      <c r="H1076" t="s">
        <v>47</v>
      </c>
      <c r="I1076" t="s">
        <v>38</v>
      </c>
      <c r="J1076" t="s">
        <v>65</v>
      </c>
      <c r="K1076">
        <v>3</v>
      </c>
      <c r="L1076">
        <v>4</v>
      </c>
      <c r="M1076" t="s">
        <v>48</v>
      </c>
      <c r="N1076" t="s">
        <v>61</v>
      </c>
      <c r="O1076" t="s">
        <v>36</v>
      </c>
      <c r="P1076" t="s">
        <v>43</v>
      </c>
      <c r="Q1076">
        <v>24</v>
      </c>
      <c r="R1076">
        <v>1</v>
      </c>
      <c r="S1076">
        <v>10</v>
      </c>
      <c r="T1076">
        <v>8</v>
      </c>
      <c r="U1076">
        <v>9</v>
      </c>
      <c r="V1076">
        <v>7</v>
      </c>
      <c r="W1076">
        <v>48</v>
      </c>
      <c r="X1076">
        <v>798</v>
      </c>
      <c r="Y1076">
        <v>14034</v>
      </c>
      <c r="Z1076">
        <v>8943</v>
      </c>
      <c r="AA1076">
        <v>2</v>
      </c>
      <c r="AB1076">
        <v>33652</v>
      </c>
      <c r="AC1076" s="10">
        <v>41154</v>
      </c>
      <c r="AD1076" s="10" t="s">
        <v>72</v>
      </c>
      <c r="AE1076" t="s">
        <v>72</v>
      </c>
      <c r="AF1076" t="s">
        <v>45</v>
      </c>
    </row>
    <row r="1077" spans="1:32" x14ac:dyDescent="0.25">
      <c r="A1077">
        <v>605</v>
      </c>
      <c r="B1077">
        <v>42</v>
      </c>
      <c r="C1077" t="s">
        <v>43</v>
      </c>
      <c r="D1077" t="s">
        <v>33</v>
      </c>
      <c r="E1077" t="s">
        <v>34</v>
      </c>
      <c r="F1077" t="s">
        <v>49</v>
      </c>
      <c r="G1077" t="s">
        <v>59</v>
      </c>
      <c r="H1077" t="s">
        <v>37</v>
      </c>
      <c r="I1077" t="s">
        <v>50</v>
      </c>
      <c r="J1077" t="s">
        <v>65</v>
      </c>
      <c r="K1077">
        <v>1</v>
      </c>
      <c r="L1077">
        <v>4</v>
      </c>
      <c r="M1077" t="s">
        <v>60</v>
      </c>
      <c r="N1077" t="s">
        <v>61</v>
      </c>
      <c r="O1077" t="s">
        <v>36</v>
      </c>
      <c r="P1077" t="s">
        <v>32</v>
      </c>
      <c r="Q1077">
        <v>21</v>
      </c>
      <c r="R1077">
        <v>1</v>
      </c>
      <c r="S1077">
        <v>10</v>
      </c>
      <c r="T1077">
        <v>5</v>
      </c>
      <c r="U1077">
        <v>8</v>
      </c>
      <c r="V1077">
        <v>24</v>
      </c>
      <c r="W1077">
        <v>56</v>
      </c>
      <c r="X1077">
        <v>319</v>
      </c>
      <c r="Y1077">
        <v>6950</v>
      </c>
      <c r="Z1077">
        <v>7406</v>
      </c>
      <c r="AA1077">
        <v>5</v>
      </c>
      <c r="AB1077">
        <v>29504</v>
      </c>
      <c r="AC1077" s="10">
        <v>41241</v>
      </c>
      <c r="AD1077" s="10" t="s">
        <v>72</v>
      </c>
      <c r="AE1077" t="s">
        <v>72</v>
      </c>
      <c r="AF1077" t="s">
        <v>45</v>
      </c>
    </row>
    <row r="1078" spans="1:32" x14ac:dyDescent="0.25">
      <c r="A1078">
        <v>1956</v>
      </c>
      <c r="B1078">
        <v>31</v>
      </c>
      <c r="C1078" t="s">
        <v>43</v>
      </c>
      <c r="D1078" t="s">
        <v>46</v>
      </c>
      <c r="E1078" t="s">
        <v>34</v>
      </c>
      <c r="F1078" t="s">
        <v>49</v>
      </c>
      <c r="G1078" t="s">
        <v>59</v>
      </c>
      <c r="H1078" t="s">
        <v>37</v>
      </c>
      <c r="I1078" t="s">
        <v>36</v>
      </c>
      <c r="J1078" t="s">
        <v>39</v>
      </c>
      <c r="K1078">
        <v>1</v>
      </c>
      <c r="L1078">
        <v>4</v>
      </c>
      <c r="M1078" t="s">
        <v>48</v>
      </c>
      <c r="N1078" t="s">
        <v>61</v>
      </c>
      <c r="O1078" t="s">
        <v>42</v>
      </c>
      <c r="P1078" t="s">
        <v>43</v>
      </c>
      <c r="Q1078">
        <v>21</v>
      </c>
      <c r="R1078">
        <v>1</v>
      </c>
      <c r="S1078">
        <v>10</v>
      </c>
      <c r="T1078">
        <v>8</v>
      </c>
      <c r="U1078">
        <v>7</v>
      </c>
      <c r="V1078">
        <v>1</v>
      </c>
      <c r="W1078">
        <v>48</v>
      </c>
      <c r="X1078">
        <v>1125</v>
      </c>
      <c r="Y1078">
        <v>5771</v>
      </c>
      <c r="Z1078">
        <v>5003</v>
      </c>
      <c r="AA1078">
        <v>6</v>
      </c>
      <c r="AB1078">
        <v>33649</v>
      </c>
      <c r="AC1078" s="10">
        <v>41265</v>
      </c>
      <c r="AD1078" s="10" t="s">
        <v>72</v>
      </c>
      <c r="AE1078" t="s">
        <v>72</v>
      </c>
      <c r="AF1078" t="s">
        <v>55</v>
      </c>
    </row>
    <row r="1079" spans="1:32" x14ac:dyDescent="0.25">
      <c r="A1079">
        <v>597</v>
      </c>
      <c r="B1079">
        <v>55</v>
      </c>
      <c r="C1079" t="s">
        <v>43</v>
      </c>
      <c r="D1079" t="s">
        <v>33</v>
      </c>
      <c r="E1079" t="s">
        <v>56</v>
      </c>
      <c r="F1079" t="s">
        <v>70</v>
      </c>
      <c r="G1079" t="s">
        <v>36</v>
      </c>
      <c r="H1079" t="s">
        <v>47</v>
      </c>
      <c r="I1079" t="s">
        <v>50</v>
      </c>
      <c r="J1079" t="s">
        <v>69</v>
      </c>
      <c r="K1079">
        <v>2</v>
      </c>
      <c r="L1079">
        <v>4</v>
      </c>
      <c r="M1079" t="s">
        <v>48</v>
      </c>
      <c r="N1079" t="s">
        <v>41</v>
      </c>
      <c r="O1079" t="s">
        <v>42</v>
      </c>
      <c r="P1079" t="s">
        <v>43</v>
      </c>
      <c r="Q1079">
        <v>23</v>
      </c>
      <c r="R1079">
        <v>3</v>
      </c>
      <c r="S1079">
        <v>37</v>
      </c>
      <c r="T1079">
        <v>7</v>
      </c>
      <c r="U1079">
        <v>7</v>
      </c>
      <c r="V1079">
        <v>18</v>
      </c>
      <c r="W1079">
        <v>83</v>
      </c>
      <c r="X1079">
        <v>1117</v>
      </c>
      <c r="Y1079">
        <v>9873</v>
      </c>
      <c r="Z1079">
        <v>16835</v>
      </c>
      <c r="AA1079">
        <v>2</v>
      </c>
      <c r="AB1079">
        <v>25009</v>
      </c>
      <c r="AC1079" s="10">
        <v>41338</v>
      </c>
      <c r="AD1079" s="10" t="s">
        <v>72</v>
      </c>
      <c r="AE1079" t="s">
        <v>72</v>
      </c>
      <c r="AF1079" t="s">
        <v>45</v>
      </c>
    </row>
    <row r="1080" spans="1:32" x14ac:dyDescent="0.25">
      <c r="A1080">
        <v>1665</v>
      </c>
      <c r="B1080">
        <v>54</v>
      </c>
      <c r="C1080" t="s">
        <v>43</v>
      </c>
      <c r="D1080" t="s">
        <v>33</v>
      </c>
      <c r="E1080" t="s">
        <v>34</v>
      </c>
      <c r="F1080" t="s">
        <v>70</v>
      </c>
      <c r="G1080" t="s">
        <v>38</v>
      </c>
      <c r="H1080" t="s">
        <v>47</v>
      </c>
      <c r="I1080" t="s">
        <v>50</v>
      </c>
      <c r="J1080" t="s">
        <v>69</v>
      </c>
      <c r="K1080">
        <v>3</v>
      </c>
      <c r="L1080">
        <v>4</v>
      </c>
      <c r="M1080" t="s">
        <v>48</v>
      </c>
      <c r="N1080" t="s">
        <v>61</v>
      </c>
      <c r="O1080" t="s">
        <v>36</v>
      </c>
      <c r="P1080" t="s">
        <v>43</v>
      </c>
      <c r="Q1080">
        <v>25</v>
      </c>
      <c r="R1080">
        <v>3</v>
      </c>
      <c r="S1080">
        <v>36</v>
      </c>
      <c r="T1080">
        <v>4</v>
      </c>
      <c r="U1080">
        <v>7</v>
      </c>
      <c r="V1080">
        <v>22</v>
      </c>
      <c r="W1080">
        <v>91</v>
      </c>
      <c r="X1080">
        <v>584</v>
      </c>
      <c r="Y1080">
        <v>18685</v>
      </c>
      <c r="Z1080">
        <v>17426</v>
      </c>
      <c r="AA1080">
        <v>6</v>
      </c>
      <c r="AB1080">
        <v>25351</v>
      </c>
      <c r="AC1080" s="10">
        <v>41401</v>
      </c>
      <c r="AD1080" s="10" t="s">
        <v>72</v>
      </c>
      <c r="AE1080" t="s">
        <v>72</v>
      </c>
      <c r="AF1080" t="s">
        <v>55</v>
      </c>
    </row>
    <row r="1081" spans="1:32" x14ac:dyDescent="0.25">
      <c r="A1081">
        <v>1823</v>
      </c>
      <c r="B1081">
        <v>34</v>
      </c>
      <c r="C1081" t="s">
        <v>43</v>
      </c>
      <c r="D1081" t="s">
        <v>33</v>
      </c>
      <c r="E1081" t="s">
        <v>56</v>
      </c>
      <c r="F1081" t="s">
        <v>67</v>
      </c>
      <c r="G1081" t="s">
        <v>38</v>
      </c>
      <c r="H1081" t="s">
        <v>37</v>
      </c>
      <c r="I1081" t="s">
        <v>59</v>
      </c>
      <c r="J1081" t="s">
        <v>57</v>
      </c>
      <c r="K1081">
        <v>3</v>
      </c>
      <c r="L1081">
        <v>4</v>
      </c>
      <c r="M1081" t="s">
        <v>48</v>
      </c>
      <c r="N1081" t="s">
        <v>61</v>
      </c>
      <c r="O1081" t="s">
        <v>53</v>
      </c>
      <c r="P1081" t="s">
        <v>43</v>
      </c>
      <c r="Q1081">
        <v>21</v>
      </c>
      <c r="R1081">
        <v>1</v>
      </c>
      <c r="S1081">
        <v>10</v>
      </c>
      <c r="T1081">
        <v>4</v>
      </c>
      <c r="U1081">
        <v>8</v>
      </c>
      <c r="V1081">
        <v>8</v>
      </c>
      <c r="W1081">
        <v>92</v>
      </c>
      <c r="X1081">
        <v>810</v>
      </c>
      <c r="Y1081">
        <v>22128</v>
      </c>
      <c r="Z1081">
        <v>6799</v>
      </c>
      <c r="AA1081">
        <v>5</v>
      </c>
      <c r="AB1081">
        <v>32402</v>
      </c>
      <c r="AC1081" s="10">
        <v>41406</v>
      </c>
      <c r="AD1081" s="10" t="s">
        <v>72</v>
      </c>
      <c r="AE1081" t="s">
        <v>72</v>
      </c>
      <c r="AF1081" t="s">
        <v>45</v>
      </c>
    </row>
    <row r="1082" spans="1:32" x14ac:dyDescent="0.25">
      <c r="A1082">
        <v>1936</v>
      </c>
      <c r="B1082">
        <v>39</v>
      </c>
      <c r="C1082" t="s">
        <v>43</v>
      </c>
      <c r="D1082" t="s">
        <v>33</v>
      </c>
      <c r="E1082" t="s">
        <v>34</v>
      </c>
      <c r="F1082" t="s">
        <v>67</v>
      </c>
      <c r="G1082" t="s">
        <v>36</v>
      </c>
      <c r="H1082" t="s">
        <v>37</v>
      </c>
      <c r="I1082" t="s">
        <v>50</v>
      </c>
      <c r="J1082" t="s">
        <v>65</v>
      </c>
      <c r="K1082">
        <v>1</v>
      </c>
      <c r="L1082">
        <v>4</v>
      </c>
      <c r="M1082" t="s">
        <v>48</v>
      </c>
      <c r="N1082" t="s">
        <v>61</v>
      </c>
      <c r="O1082" t="s">
        <v>36</v>
      </c>
      <c r="P1082" t="s">
        <v>43</v>
      </c>
      <c r="Q1082">
        <v>25</v>
      </c>
      <c r="R1082">
        <v>1</v>
      </c>
      <c r="S1082">
        <v>10</v>
      </c>
      <c r="T1082">
        <v>7</v>
      </c>
      <c r="U1082">
        <v>9</v>
      </c>
      <c r="V1082">
        <v>9</v>
      </c>
      <c r="W1082">
        <v>87</v>
      </c>
      <c r="X1082">
        <v>867</v>
      </c>
      <c r="Y1082">
        <v>12315</v>
      </c>
      <c r="Z1082">
        <v>5151</v>
      </c>
      <c r="AA1082">
        <v>3</v>
      </c>
      <c r="AB1082">
        <v>30650</v>
      </c>
      <c r="AC1082" s="10">
        <v>41406</v>
      </c>
      <c r="AD1082" s="10" t="s">
        <v>72</v>
      </c>
      <c r="AE1082" t="s">
        <v>72</v>
      </c>
      <c r="AF1082" t="s">
        <v>45</v>
      </c>
    </row>
    <row r="1083" spans="1:32" x14ac:dyDescent="0.25">
      <c r="A1083">
        <v>367</v>
      </c>
      <c r="B1083">
        <v>31</v>
      </c>
      <c r="C1083" t="s">
        <v>43</v>
      </c>
      <c r="D1083" t="s">
        <v>33</v>
      </c>
      <c r="E1083" t="s">
        <v>34</v>
      </c>
      <c r="F1083" t="s">
        <v>49</v>
      </c>
      <c r="G1083" t="s">
        <v>38</v>
      </c>
      <c r="H1083" t="s">
        <v>37</v>
      </c>
      <c r="I1083" t="s">
        <v>38</v>
      </c>
      <c r="J1083" t="s">
        <v>62</v>
      </c>
      <c r="K1083">
        <v>4</v>
      </c>
      <c r="L1083">
        <v>4</v>
      </c>
      <c r="M1083" t="s">
        <v>48</v>
      </c>
      <c r="N1083" t="s">
        <v>61</v>
      </c>
      <c r="O1083" t="s">
        <v>36</v>
      </c>
      <c r="P1083" t="s">
        <v>43</v>
      </c>
      <c r="Q1083">
        <v>21</v>
      </c>
      <c r="R1083">
        <v>0</v>
      </c>
      <c r="S1083">
        <v>10</v>
      </c>
      <c r="T1083">
        <v>7</v>
      </c>
      <c r="U1083">
        <v>8</v>
      </c>
      <c r="V1083">
        <v>23</v>
      </c>
      <c r="W1083">
        <v>64</v>
      </c>
      <c r="X1083">
        <v>1463</v>
      </c>
      <c r="Y1083">
        <v>14408</v>
      </c>
      <c r="Z1083">
        <v>5582</v>
      </c>
      <c r="AA1083">
        <v>2</v>
      </c>
      <c r="AB1083">
        <v>33457</v>
      </c>
      <c r="AC1083" s="10">
        <v>41508</v>
      </c>
      <c r="AD1083" s="10" t="s">
        <v>72</v>
      </c>
      <c r="AE1083" t="s">
        <v>72</v>
      </c>
      <c r="AF1083" t="s">
        <v>45</v>
      </c>
    </row>
    <row r="1084" spans="1:32" x14ac:dyDescent="0.25">
      <c r="A1084">
        <v>1970</v>
      </c>
      <c r="B1084">
        <v>33</v>
      </c>
      <c r="C1084" t="s">
        <v>43</v>
      </c>
      <c r="D1084" t="s">
        <v>46</v>
      </c>
      <c r="E1084" t="s">
        <v>34</v>
      </c>
      <c r="F1084" t="s">
        <v>67</v>
      </c>
      <c r="G1084" t="s">
        <v>59</v>
      </c>
      <c r="H1084" t="s">
        <v>37</v>
      </c>
      <c r="I1084" t="s">
        <v>50</v>
      </c>
      <c r="J1084" t="s">
        <v>62</v>
      </c>
      <c r="K1084">
        <v>3</v>
      </c>
      <c r="L1084">
        <v>4</v>
      </c>
      <c r="M1084" t="s">
        <v>48</v>
      </c>
      <c r="N1084" t="s">
        <v>52</v>
      </c>
      <c r="O1084" t="s">
        <v>50</v>
      </c>
      <c r="P1084" t="s">
        <v>43</v>
      </c>
      <c r="Q1084">
        <v>20</v>
      </c>
      <c r="R1084">
        <v>1</v>
      </c>
      <c r="S1084">
        <v>9</v>
      </c>
      <c r="T1084">
        <v>2</v>
      </c>
      <c r="U1084">
        <v>8</v>
      </c>
      <c r="V1084">
        <v>7</v>
      </c>
      <c r="W1084">
        <v>36</v>
      </c>
      <c r="X1084">
        <v>1303</v>
      </c>
      <c r="Y1084">
        <v>18079</v>
      </c>
      <c r="Z1084">
        <v>5968</v>
      </c>
      <c r="AA1084">
        <v>2</v>
      </c>
      <c r="AB1084">
        <v>32863</v>
      </c>
      <c r="AC1084" s="10">
        <v>41628</v>
      </c>
      <c r="AD1084" s="10" t="s">
        <v>72</v>
      </c>
      <c r="AE1084" t="s">
        <v>72</v>
      </c>
      <c r="AF1084" t="s">
        <v>45</v>
      </c>
    </row>
    <row r="1085" spans="1:32" x14ac:dyDescent="0.25">
      <c r="A1085">
        <v>60</v>
      </c>
      <c r="B1085">
        <v>34</v>
      </c>
      <c r="C1085" t="s">
        <v>43</v>
      </c>
      <c r="D1085" t="s">
        <v>63</v>
      </c>
      <c r="E1085" t="s">
        <v>56</v>
      </c>
      <c r="F1085" t="s">
        <v>35</v>
      </c>
      <c r="G1085" t="s">
        <v>38</v>
      </c>
      <c r="H1085" t="s">
        <v>37</v>
      </c>
      <c r="I1085" t="s">
        <v>50</v>
      </c>
      <c r="J1085" t="s">
        <v>57</v>
      </c>
      <c r="K1085">
        <v>3</v>
      </c>
      <c r="L1085">
        <v>4</v>
      </c>
      <c r="M1085" t="s">
        <v>48</v>
      </c>
      <c r="N1085" t="s">
        <v>41</v>
      </c>
      <c r="O1085" t="s">
        <v>42</v>
      </c>
      <c r="P1085" t="s">
        <v>43</v>
      </c>
      <c r="Q1085">
        <v>20</v>
      </c>
      <c r="R1085">
        <v>0</v>
      </c>
      <c r="S1085">
        <v>10</v>
      </c>
      <c r="T1085">
        <v>8</v>
      </c>
      <c r="U1085">
        <v>7</v>
      </c>
      <c r="V1085">
        <v>23</v>
      </c>
      <c r="W1085">
        <v>72</v>
      </c>
      <c r="X1085">
        <v>1065</v>
      </c>
      <c r="Y1085">
        <v>10034</v>
      </c>
      <c r="Z1085">
        <v>4568</v>
      </c>
      <c r="AA1085">
        <v>2</v>
      </c>
      <c r="AB1085">
        <v>32524</v>
      </c>
      <c r="AC1085" s="10">
        <v>41681</v>
      </c>
      <c r="AD1085" s="10" t="s">
        <v>72</v>
      </c>
      <c r="AE1085" t="s">
        <v>72</v>
      </c>
      <c r="AF1085" t="s">
        <v>45</v>
      </c>
    </row>
    <row r="1086" spans="1:32" x14ac:dyDescent="0.25">
      <c r="A1086">
        <v>1864</v>
      </c>
      <c r="B1086">
        <v>27</v>
      </c>
      <c r="C1086" t="s">
        <v>43</v>
      </c>
      <c r="D1086" t="s">
        <v>33</v>
      </c>
      <c r="E1086" t="s">
        <v>56</v>
      </c>
      <c r="F1086" t="s">
        <v>64</v>
      </c>
      <c r="G1086" t="s">
        <v>38</v>
      </c>
      <c r="H1086" t="s">
        <v>47</v>
      </c>
      <c r="I1086" t="s">
        <v>38</v>
      </c>
      <c r="J1086" t="s">
        <v>66</v>
      </c>
      <c r="K1086">
        <v>3</v>
      </c>
      <c r="L1086">
        <v>4</v>
      </c>
      <c r="M1086" t="s">
        <v>48</v>
      </c>
      <c r="N1086" t="s">
        <v>61</v>
      </c>
      <c r="O1086" t="s">
        <v>36</v>
      </c>
      <c r="P1086" t="s">
        <v>43</v>
      </c>
      <c r="Q1086">
        <v>21</v>
      </c>
      <c r="R1086">
        <v>1</v>
      </c>
      <c r="S1086">
        <v>9</v>
      </c>
      <c r="T1086">
        <v>5</v>
      </c>
      <c r="U1086">
        <v>8</v>
      </c>
      <c r="V1086">
        <v>23</v>
      </c>
      <c r="W1086">
        <v>36</v>
      </c>
      <c r="X1086">
        <v>728</v>
      </c>
      <c r="Y1086">
        <v>7018</v>
      </c>
      <c r="Z1086">
        <v>3540</v>
      </c>
      <c r="AA1086">
        <v>5</v>
      </c>
      <c r="AB1086">
        <v>34939</v>
      </c>
      <c r="AC1086" s="10">
        <v>41691</v>
      </c>
      <c r="AD1086" s="10" t="s">
        <v>72</v>
      </c>
      <c r="AE1086" t="s">
        <v>72</v>
      </c>
      <c r="AF1086" t="s">
        <v>55</v>
      </c>
    </row>
    <row r="1087" spans="1:32" x14ac:dyDescent="0.25">
      <c r="A1087">
        <v>78</v>
      </c>
      <c r="B1087">
        <v>32</v>
      </c>
      <c r="C1087" t="s">
        <v>43</v>
      </c>
      <c r="D1087" t="s">
        <v>33</v>
      </c>
      <c r="E1087" t="s">
        <v>34</v>
      </c>
      <c r="F1087" t="s">
        <v>49</v>
      </c>
      <c r="G1087" t="s">
        <v>36</v>
      </c>
      <c r="H1087" t="s">
        <v>37</v>
      </c>
      <c r="I1087" t="s">
        <v>50</v>
      </c>
      <c r="J1087" t="s">
        <v>65</v>
      </c>
      <c r="K1087">
        <v>4</v>
      </c>
      <c r="L1087">
        <v>4</v>
      </c>
      <c r="M1087" t="s">
        <v>48</v>
      </c>
      <c r="N1087" t="s">
        <v>61</v>
      </c>
      <c r="O1087" t="s">
        <v>36</v>
      </c>
      <c r="P1087" t="s">
        <v>32</v>
      </c>
      <c r="Q1087">
        <v>22</v>
      </c>
      <c r="R1087">
        <v>1</v>
      </c>
      <c r="S1087">
        <v>9</v>
      </c>
      <c r="T1087">
        <v>7</v>
      </c>
      <c r="U1087">
        <v>8</v>
      </c>
      <c r="V1087">
        <v>1</v>
      </c>
      <c r="W1087">
        <v>33</v>
      </c>
      <c r="X1087">
        <v>427</v>
      </c>
      <c r="Y1087">
        <v>10877</v>
      </c>
      <c r="Z1087">
        <v>6162</v>
      </c>
      <c r="AA1087">
        <v>3</v>
      </c>
      <c r="AB1087">
        <v>33292</v>
      </c>
      <c r="AC1087" s="10">
        <v>41824</v>
      </c>
      <c r="AD1087" s="10" t="s">
        <v>72</v>
      </c>
      <c r="AE1087" t="s">
        <v>72</v>
      </c>
      <c r="AF1087" t="s">
        <v>45</v>
      </c>
    </row>
    <row r="1088" spans="1:32" x14ac:dyDescent="0.25">
      <c r="A1088">
        <v>807</v>
      </c>
      <c r="B1088">
        <v>40</v>
      </c>
      <c r="C1088" t="s">
        <v>43</v>
      </c>
      <c r="D1088" t="s">
        <v>46</v>
      </c>
      <c r="E1088" t="s">
        <v>34</v>
      </c>
      <c r="F1088" t="s">
        <v>67</v>
      </c>
      <c r="G1088" t="s">
        <v>50</v>
      </c>
      <c r="H1088" t="s">
        <v>47</v>
      </c>
      <c r="I1088" t="s">
        <v>59</v>
      </c>
      <c r="J1088" t="s">
        <v>62</v>
      </c>
      <c r="K1088">
        <v>2</v>
      </c>
      <c r="L1088">
        <v>4</v>
      </c>
      <c r="M1088" t="s">
        <v>48</v>
      </c>
      <c r="N1088" t="s">
        <v>61</v>
      </c>
      <c r="O1088" t="s">
        <v>36</v>
      </c>
      <c r="P1088" t="s">
        <v>43</v>
      </c>
      <c r="Q1088">
        <v>24</v>
      </c>
      <c r="R1088">
        <v>1</v>
      </c>
      <c r="S1088">
        <v>8</v>
      </c>
      <c r="T1088">
        <v>3</v>
      </c>
      <c r="U1088">
        <v>7</v>
      </c>
      <c r="V1088">
        <v>2</v>
      </c>
      <c r="W1088">
        <v>38</v>
      </c>
      <c r="X1088">
        <v>791</v>
      </c>
      <c r="Y1088">
        <v>9931</v>
      </c>
      <c r="Z1088">
        <v>4244</v>
      </c>
      <c r="AA1088">
        <v>2</v>
      </c>
      <c r="AB1088">
        <v>30467</v>
      </c>
      <c r="AC1088" s="10">
        <v>41897</v>
      </c>
      <c r="AD1088" s="10" t="s">
        <v>72</v>
      </c>
      <c r="AE1088" t="s">
        <v>72</v>
      </c>
      <c r="AF1088" t="s">
        <v>45</v>
      </c>
    </row>
    <row r="1089" spans="1:32" x14ac:dyDescent="0.25">
      <c r="A1089">
        <v>1275</v>
      </c>
      <c r="B1089">
        <v>26</v>
      </c>
      <c r="C1089" t="s">
        <v>43</v>
      </c>
      <c r="D1089" t="s">
        <v>33</v>
      </c>
      <c r="E1089" t="s">
        <v>34</v>
      </c>
      <c r="F1089" t="s">
        <v>67</v>
      </c>
      <c r="G1089" t="s">
        <v>50</v>
      </c>
      <c r="H1089" t="s">
        <v>37</v>
      </c>
      <c r="I1089" t="s">
        <v>50</v>
      </c>
      <c r="J1089" t="s">
        <v>39</v>
      </c>
      <c r="K1089">
        <v>4</v>
      </c>
      <c r="L1089">
        <v>4</v>
      </c>
      <c r="M1089" t="s">
        <v>60</v>
      </c>
      <c r="N1089" t="s">
        <v>41</v>
      </c>
      <c r="O1089" t="s">
        <v>42</v>
      </c>
      <c r="P1089" t="s">
        <v>32</v>
      </c>
      <c r="Q1089">
        <v>20</v>
      </c>
      <c r="R1089">
        <v>1</v>
      </c>
      <c r="S1089">
        <v>8</v>
      </c>
      <c r="T1089">
        <v>2</v>
      </c>
      <c r="U1089">
        <v>2</v>
      </c>
      <c r="V1089">
        <v>4</v>
      </c>
      <c r="W1089">
        <v>53</v>
      </c>
      <c r="X1089">
        <v>583</v>
      </c>
      <c r="Y1089">
        <v>9973</v>
      </c>
      <c r="Z1089">
        <v>2875</v>
      </c>
      <c r="AA1089">
        <v>2</v>
      </c>
      <c r="AB1089">
        <v>35585</v>
      </c>
      <c r="AC1089" s="10">
        <v>41956</v>
      </c>
      <c r="AD1089" s="10" t="s">
        <v>72</v>
      </c>
      <c r="AE1089" t="s">
        <v>72</v>
      </c>
      <c r="AF1089" t="s">
        <v>45</v>
      </c>
    </row>
    <row r="1090" spans="1:32" x14ac:dyDescent="0.25">
      <c r="A1090">
        <v>747</v>
      </c>
      <c r="B1090">
        <v>30</v>
      </c>
      <c r="C1090" t="s">
        <v>43</v>
      </c>
      <c r="D1090" t="s">
        <v>33</v>
      </c>
      <c r="E1090" t="s">
        <v>56</v>
      </c>
      <c r="F1090" t="s">
        <v>70</v>
      </c>
      <c r="G1090" t="s">
        <v>50</v>
      </c>
      <c r="H1090" t="s">
        <v>37</v>
      </c>
      <c r="I1090" t="s">
        <v>50</v>
      </c>
      <c r="J1090" t="s">
        <v>57</v>
      </c>
      <c r="K1090">
        <v>4</v>
      </c>
      <c r="L1090">
        <v>4</v>
      </c>
      <c r="M1090" t="s">
        <v>60</v>
      </c>
      <c r="N1090" t="s">
        <v>52</v>
      </c>
      <c r="O1090" t="s">
        <v>36</v>
      </c>
      <c r="P1090" t="s">
        <v>43</v>
      </c>
      <c r="Q1090">
        <v>23</v>
      </c>
      <c r="R1090">
        <v>7</v>
      </c>
      <c r="S1090">
        <v>10</v>
      </c>
      <c r="T1090">
        <v>7</v>
      </c>
      <c r="U1090">
        <v>7</v>
      </c>
      <c r="V1090">
        <v>27</v>
      </c>
      <c r="W1090">
        <v>99</v>
      </c>
      <c r="X1090">
        <v>501</v>
      </c>
      <c r="Y1090">
        <v>25275</v>
      </c>
      <c r="Z1090">
        <v>5304</v>
      </c>
      <c r="AA1090">
        <v>2</v>
      </c>
      <c r="AB1090">
        <v>33846</v>
      </c>
      <c r="AC1090" s="10">
        <v>42020</v>
      </c>
      <c r="AD1090" s="10" t="s">
        <v>72</v>
      </c>
      <c r="AE1090" t="s">
        <v>72</v>
      </c>
      <c r="AF1090" t="s">
        <v>45</v>
      </c>
    </row>
    <row r="1091" spans="1:32" x14ac:dyDescent="0.25">
      <c r="A1091">
        <v>1845</v>
      </c>
      <c r="B1091">
        <v>45</v>
      </c>
      <c r="C1091" t="s">
        <v>43</v>
      </c>
      <c r="D1091" t="s">
        <v>63</v>
      </c>
      <c r="E1091" t="s">
        <v>56</v>
      </c>
      <c r="F1091" t="s">
        <v>35</v>
      </c>
      <c r="G1091" t="s">
        <v>50</v>
      </c>
      <c r="H1091" t="s">
        <v>47</v>
      </c>
      <c r="I1091" t="s">
        <v>50</v>
      </c>
      <c r="J1091" t="s">
        <v>57</v>
      </c>
      <c r="K1091">
        <v>3</v>
      </c>
      <c r="L1091">
        <v>4</v>
      </c>
      <c r="M1091" t="s">
        <v>58</v>
      </c>
      <c r="N1091" t="s">
        <v>61</v>
      </c>
      <c r="O1091" t="s">
        <v>53</v>
      </c>
      <c r="P1091" t="s">
        <v>43</v>
      </c>
      <c r="Q1091">
        <v>22</v>
      </c>
      <c r="R1091">
        <v>4</v>
      </c>
      <c r="S1091">
        <v>10</v>
      </c>
      <c r="T1091">
        <v>5</v>
      </c>
      <c r="U1091">
        <v>7</v>
      </c>
      <c r="V1091">
        <v>2</v>
      </c>
      <c r="W1091">
        <v>67</v>
      </c>
      <c r="X1091">
        <v>589</v>
      </c>
      <c r="Y1091">
        <v>19665</v>
      </c>
      <c r="Z1091">
        <v>5154</v>
      </c>
      <c r="AA1091">
        <v>3</v>
      </c>
      <c r="AB1091">
        <v>28601</v>
      </c>
      <c r="AC1091" s="10">
        <v>42097</v>
      </c>
      <c r="AD1091" s="10" t="s">
        <v>72</v>
      </c>
      <c r="AE1091" t="s">
        <v>72</v>
      </c>
      <c r="AF1091" t="s">
        <v>45</v>
      </c>
    </row>
    <row r="1092" spans="1:32" x14ac:dyDescent="0.25">
      <c r="A1092">
        <v>382</v>
      </c>
      <c r="B1092">
        <v>38</v>
      </c>
      <c r="C1092" t="s">
        <v>43</v>
      </c>
      <c r="D1092" t="s">
        <v>33</v>
      </c>
      <c r="E1092" t="s">
        <v>56</v>
      </c>
      <c r="F1092" t="s">
        <v>67</v>
      </c>
      <c r="G1092" t="s">
        <v>36</v>
      </c>
      <c r="H1092" t="s">
        <v>47</v>
      </c>
      <c r="I1092" t="s">
        <v>59</v>
      </c>
      <c r="J1092" t="s">
        <v>57</v>
      </c>
      <c r="K1092">
        <v>1</v>
      </c>
      <c r="L1092">
        <v>4</v>
      </c>
      <c r="M1092" t="s">
        <v>48</v>
      </c>
      <c r="N1092" t="s">
        <v>52</v>
      </c>
      <c r="O1092" t="s">
        <v>36</v>
      </c>
      <c r="P1092" t="s">
        <v>32</v>
      </c>
      <c r="Q1092">
        <v>24</v>
      </c>
      <c r="R1092">
        <v>1</v>
      </c>
      <c r="S1092">
        <v>8</v>
      </c>
      <c r="T1092">
        <v>7</v>
      </c>
      <c r="U1092">
        <v>7</v>
      </c>
      <c r="V1092">
        <v>7</v>
      </c>
      <c r="W1092">
        <v>44</v>
      </c>
      <c r="X1092">
        <v>322</v>
      </c>
      <c r="Y1092">
        <v>19191</v>
      </c>
      <c r="Z1092">
        <v>5605</v>
      </c>
      <c r="AA1092">
        <v>3</v>
      </c>
      <c r="AB1092">
        <v>31107</v>
      </c>
      <c r="AC1092" s="10">
        <v>42175</v>
      </c>
      <c r="AD1092" s="10" t="s">
        <v>72</v>
      </c>
      <c r="AE1092" t="s">
        <v>72</v>
      </c>
      <c r="AF1092" t="s">
        <v>55</v>
      </c>
    </row>
    <row r="1093" spans="1:32" x14ac:dyDescent="0.25">
      <c r="A1093">
        <v>177</v>
      </c>
      <c r="B1093">
        <v>26</v>
      </c>
      <c r="C1093" t="s">
        <v>43</v>
      </c>
      <c r="D1093" t="s">
        <v>33</v>
      </c>
      <c r="E1093" t="s">
        <v>68</v>
      </c>
      <c r="F1093" t="s">
        <v>64</v>
      </c>
      <c r="G1093" t="s">
        <v>50</v>
      </c>
      <c r="H1093" t="s">
        <v>47</v>
      </c>
      <c r="I1093" t="s">
        <v>50</v>
      </c>
      <c r="J1093" t="s">
        <v>68</v>
      </c>
      <c r="K1093">
        <v>3</v>
      </c>
      <c r="L1093">
        <v>4</v>
      </c>
      <c r="M1093" t="s">
        <v>48</v>
      </c>
      <c r="N1093" t="s">
        <v>61</v>
      </c>
      <c r="O1093" t="s">
        <v>36</v>
      </c>
      <c r="P1093" t="s">
        <v>43</v>
      </c>
      <c r="Q1093">
        <v>23</v>
      </c>
      <c r="R1093">
        <v>1</v>
      </c>
      <c r="S1093">
        <v>8</v>
      </c>
      <c r="T1093">
        <v>5</v>
      </c>
      <c r="U1093">
        <v>7</v>
      </c>
      <c r="V1093">
        <v>25</v>
      </c>
      <c r="W1093">
        <v>61</v>
      </c>
      <c r="X1093">
        <v>1355</v>
      </c>
      <c r="Y1093">
        <v>8916</v>
      </c>
      <c r="Z1093">
        <v>2942</v>
      </c>
      <c r="AA1093">
        <v>3</v>
      </c>
      <c r="AB1093">
        <v>35331</v>
      </c>
      <c r="AC1093" s="10">
        <v>42184</v>
      </c>
      <c r="AD1093" s="10" t="s">
        <v>72</v>
      </c>
      <c r="AE1093" t="s">
        <v>72</v>
      </c>
      <c r="AF1093" t="s">
        <v>45</v>
      </c>
    </row>
    <row r="1094" spans="1:32" x14ac:dyDescent="0.25">
      <c r="A1094">
        <v>846</v>
      </c>
      <c r="B1094">
        <v>28</v>
      </c>
      <c r="C1094" t="s">
        <v>43</v>
      </c>
      <c r="D1094" t="s">
        <v>33</v>
      </c>
      <c r="E1094" t="s">
        <v>56</v>
      </c>
      <c r="F1094" t="s">
        <v>35</v>
      </c>
      <c r="G1094" t="s">
        <v>38</v>
      </c>
      <c r="H1094" t="s">
        <v>47</v>
      </c>
      <c r="I1094" t="s">
        <v>50</v>
      </c>
      <c r="J1094" t="s">
        <v>57</v>
      </c>
      <c r="K1094">
        <v>2</v>
      </c>
      <c r="L1094">
        <v>4</v>
      </c>
      <c r="M1094" t="s">
        <v>48</v>
      </c>
      <c r="N1094" t="s">
        <v>61</v>
      </c>
      <c r="O1094" t="s">
        <v>42</v>
      </c>
      <c r="P1094" t="s">
        <v>32</v>
      </c>
      <c r="Q1094">
        <v>20</v>
      </c>
      <c r="R1094">
        <v>1</v>
      </c>
      <c r="S1094">
        <v>8</v>
      </c>
      <c r="T1094">
        <v>7</v>
      </c>
      <c r="U1094">
        <v>5</v>
      </c>
      <c r="V1094">
        <v>2</v>
      </c>
      <c r="W1094">
        <v>81</v>
      </c>
      <c r="X1094">
        <v>760</v>
      </c>
      <c r="Y1094">
        <v>3698</v>
      </c>
      <c r="Z1094">
        <v>4779</v>
      </c>
      <c r="AA1094">
        <v>2</v>
      </c>
      <c r="AB1094">
        <v>34751</v>
      </c>
      <c r="AC1094" s="10">
        <v>42190</v>
      </c>
      <c r="AD1094" s="10" t="s">
        <v>72</v>
      </c>
      <c r="AE1094" t="s">
        <v>72</v>
      </c>
      <c r="AF1094" t="s">
        <v>55</v>
      </c>
    </row>
    <row r="1095" spans="1:32" x14ac:dyDescent="0.25">
      <c r="A1095">
        <v>903</v>
      </c>
      <c r="B1095">
        <v>47</v>
      </c>
      <c r="C1095" t="s">
        <v>43</v>
      </c>
      <c r="D1095" t="s">
        <v>33</v>
      </c>
      <c r="E1095" t="s">
        <v>56</v>
      </c>
      <c r="F1095" t="s">
        <v>67</v>
      </c>
      <c r="G1095" t="s">
        <v>50</v>
      </c>
      <c r="H1095" t="s">
        <v>47</v>
      </c>
      <c r="I1095" t="s">
        <v>50</v>
      </c>
      <c r="J1095" t="s">
        <v>57</v>
      </c>
      <c r="K1095">
        <v>4</v>
      </c>
      <c r="L1095">
        <v>4</v>
      </c>
      <c r="M1095" t="s">
        <v>48</v>
      </c>
      <c r="N1095" t="s">
        <v>61</v>
      </c>
      <c r="O1095" t="s">
        <v>36</v>
      </c>
      <c r="P1095" t="s">
        <v>32</v>
      </c>
      <c r="Q1095">
        <v>22</v>
      </c>
      <c r="R1095">
        <v>0</v>
      </c>
      <c r="S1095">
        <v>8</v>
      </c>
      <c r="T1095">
        <v>7</v>
      </c>
      <c r="U1095">
        <v>7</v>
      </c>
      <c r="V1095">
        <v>2</v>
      </c>
      <c r="W1095">
        <v>35</v>
      </c>
      <c r="X1095">
        <v>249</v>
      </c>
      <c r="Y1095">
        <v>17783</v>
      </c>
      <c r="Z1095">
        <v>4537</v>
      </c>
      <c r="AA1095">
        <v>2</v>
      </c>
      <c r="AB1095">
        <v>27621</v>
      </c>
      <c r="AC1095" s="10">
        <v>42245</v>
      </c>
      <c r="AD1095" s="10" t="s">
        <v>72</v>
      </c>
      <c r="AE1095" t="s">
        <v>72</v>
      </c>
      <c r="AF1095" t="s">
        <v>45</v>
      </c>
    </row>
    <row r="1096" spans="1:32" x14ac:dyDescent="0.25">
      <c r="A1096">
        <v>1849</v>
      </c>
      <c r="B1096">
        <v>43</v>
      </c>
      <c r="C1096" t="s">
        <v>43</v>
      </c>
      <c r="D1096" t="s">
        <v>46</v>
      </c>
      <c r="E1096" t="s">
        <v>56</v>
      </c>
      <c r="F1096" t="s">
        <v>35</v>
      </c>
      <c r="G1096" t="s">
        <v>36</v>
      </c>
      <c r="H1096" t="s">
        <v>37</v>
      </c>
      <c r="I1096" t="s">
        <v>50</v>
      </c>
      <c r="J1096" t="s">
        <v>57</v>
      </c>
      <c r="K1096">
        <v>4</v>
      </c>
      <c r="L1096">
        <v>4</v>
      </c>
      <c r="M1096" t="s">
        <v>48</v>
      </c>
      <c r="N1096" t="s">
        <v>61</v>
      </c>
      <c r="O1096" t="s">
        <v>36</v>
      </c>
      <c r="P1096" t="s">
        <v>43</v>
      </c>
      <c r="Q1096">
        <v>20</v>
      </c>
      <c r="R1096">
        <v>1</v>
      </c>
      <c r="S1096">
        <v>7</v>
      </c>
      <c r="T1096">
        <v>7</v>
      </c>
      <c r="U1096">
        <v>7</v>
      </c>
      <c r="V1096">
        <v>2</v>
      </c>
      <c r="W1096">
        <v>92</v>
      </c>
      <c r="X1096">
        <v>1422</v>
      </c>
      <c r="Y1096">
        <v>19246</v>
      </c>
      <c r="Z1096">
        <v>5675</v>
      </c>
      <c r="AA1096">
        <v>5</v>
      </c>
      <c r="AB1096">
        <v>29177</v>
      </c>
      <c r="AC1096" s="10">
        <v>42291</v>
      </c>
      <c r="AD1096" s="10" t="s">
        <v>72</v>
      </c>
      <c r="AE1096" t="s">
        <v>72</v>
      </c>
      <c r="AF1096" t="s">
        <v>45</v>
      </c>
    </row>
    <row r="1097" spans="1:32" x14ac:dyDescent="0.25">
      <c r="A1097">
        <v>1693</v>
      </c>
      <c r="B1097">
        <v>26</v>
      </c>
      <c r="C1097" t="s">
        <v>43</v>
      </c>
      <c r="D1097" t="s">
        <v>63</v>
      </c>
      <c r="E1097" t="s">
        <v>34</v>
      </c>
      <c r="F1097" t="s">
        <v>49</v>
      </c>
      <c r="G1097" t="s">
        <v>59</v>
      </c>
      <c r="H1097" t="s">
        <v>37</v>
      </c>
      <c r="I1097" t="s">
        <v>50</v>
      </c>
      <c r="J1097" t="s">
        <v>51</v>
      </c>
      <c r="K1097">
        <v>4</v>
      </c>
      <c r="L1097">
        <v>4</v>
      </c>
      <c r="M1097" t="s">
        <v>48</v>
      </c>
      <c r="N1097" t="s">
        <v>41</v>
      </c>
      <c r="O1097" t="s">
        <v>42</v>
      </c>
      <c r="P1097" t="s">
        <v>43</v>
      </c>
      <c r="Q1097">
        <v>20</v>
      </c>
      <c r="R1097">
        <v>1</v>
      </c>
      <c r="S1097">
        <v>7</v>
      </c>
      <c r="T1097">
        <v>5</v>
      </c>
      <c r="U1097">
        <v>3</v>
      </c>
      <c r="V1097">
        <v>7</v>
      </c>
      <c r="W1097">
        <v>76</v>
      </c>
      <c r="X1097">
        <v>786</v>
      </c>
      <c r="Y1097">
        <v>11925</v>
      </c>
      <c r="Z1097">
        <v>2570</v>
      </c>
      <c r="AA1097">
        <v>5</v>
      </c>
      <c r="AB1097">
        <v>35558</v>
      </c>
      <c r="AC1097" s="10">
        <v>42478</v>
      </c>
      <c r="AD1097" s="10" t="s">
        <v>72</v>
      </c>
      <c r="AE1097" t="s">
        <v>72</v>
      </c>
      <c r="AF1097" t="s">
        <v>45</v>
      </c>
    </row>
    <row r="1098" spans="1:32" x14ac:dyDescent="0.25">
      <c r="A1098">
        <v>653</v>
      </c>
      <c r="B1098">
        <v>31</v>
      </c>
      <c r="C1098" t="s">
        <v>43</v>
      </c>
      <c r="D1098" t="s">
        <v>33</v>
      </c>
      <c r="E1098" t="s">
        <v>56</v>
      </c>
      <c r="F1098" t="s">
        <v>35</v>
      </c>
      <c r="G1098" t="s">
        <v>36</v>
      </c>
      <c r="H1098" t="s">
        <v>37</v>
      </c>
      <c r="I1098" t="s">
        <v>59</v>
      </c>
      <c r="J1098" t="s">
        <v>57</v>
      </c>
      <c r="K1098">
        <v>4</v>
      </c>
      <c r="L1098">
        <v>4</v>
      </c>
      <c r="M1098" t="s">
        <v>58</v>
      </c>
      <c r="N1098" t="s">
        <v>52</v>
      </c>
      <c r="O1098" t="s">
        <v>53</v>
      </c>
      <c r="P1098" t="s">
        <v>43</v>
      </c>
      <c r="Q1098">
        <v>22</v>
      </c>
      <c r="R1098">
        <v>4</v>
      </c>
      <c r="S1098">
        <v>13</v>
      </c>
      <c r="T1098">
        <v>5</v>
      </c>
      <c r="U1098">
        <v>3</v>
      </c>
      <c r="V1098">
        <v>6</v>
      </c>
      <c r="W1098">
        <v>66</v>
      </c>
      <c r="X1098">
        <v>525</v>
      </c>
      <c r="Y1098">
        <v>6219</v>
      </c>
      <c r="Z1098">
        <v>5460</v>
      </c>
      <c r="AA1098">
        <v>4</v>
      </c>
      <c r="AB1098">
        <v>33771</v>
      </c>
      <c r="AC1098" s="10">
        <v>42483</v>
      </c>
      <c r="AD1098" s="10" t="s">
        <v>72</v>
      </c>
      <c r="AE1098" t="s">
        <v>72</v>
      </c>
      <c r="AF1098" t="s">
        <v>45</v>
      </c>
    </row>
    <row r="1099" spans="1:32" x14ac:dyDescent="0.25">
      <c r="A1099">
        <v>1237</v>
      </c>
      <c r="B1099">
        <v>36</v>
      </c>
      <c r="C1099" t="s">
        <v>43</v>
      </c>
      <c r="D1099" t="s">
        <v>33</v>
      </c>
      <c r="E1099" t="s">
        <v>34</v>
      </c>
      <c r="F1099" t="s">
        <v>49</v>
      </c>
      <c r="G1099" t="s">
        <v>50</v>
      </c>
      <c r="H1099" t="s">
        <v>47</v>
      </c>
      <c r="I1099" t="s">
        <v>36</v>
      </c>
      <c r="J1099" t="s">
        <v>65</v>
      </c>
      <c r="K1099">
        <v>1</v>
      </c>
      <c r="L1099">
        <v>4</v>
      </c>
      <c r="M1099" t="s">
        <v>48</v>
      </c>
      <c r="N1099" t="s">
        <v>52</v>
      </c>
      <c r="O1099" t="s">
        <v>36</v>
      </c>
      <c r="P1099" t="s">
        <v>32</v>
      </c>
      <c r="Q1099">
        <v>21</v>
      </c>
      <c r="R1099">
        <v>2</v>
      </c>
      <c r="S1099">
        <v>17</v>
      </c>
      <c r="T1099">
        <v>4</v>
      </c>
      <c r="U1099">
        <v>4</v>
      </c>
      <c r="V1099">
        <v>1</v>
      </c>
      <c r="W1099">
        <v>77</v>
      </c>
      <c r="X1099">
        <v>363</v>
      </c>
      <c r="Y1099">
        <v>4235</v>
      </c>
      <c r="Z1099">
        <v>10252</v>
      </c>
      <c r="AA1099">
        <v>2</v>
      </c>
      <c r="AB1099">
        <v>31820</v>
      </c>
      <c r="AC1099" s="10">
        <v>42532</v>
      </c>
      <c r="AD1099" s="10" t="s">
        <v>72</v>
      </c>
      <c r="AE1099" t="s">
        <v>72</v>
      </c>
      <c r="AF1099" t="s">
        <v>45</v>
      </c>
    </row>
    <row r="1100" spans="1:32" x14ac:dyDescent="0.25">
      <c r="A1100">
        <v>205</v>
      </c>
      <c r="B1100">
        <v>53</v>
      </c>
      <c r="C1100" t="s">
        <v>43</v>
      </c>
      <c r="D1100" t="s">
        <v>33</v>
      </c>
      <c r="E1100" t="s">
        <v>56</v>
      </c>
      <c r="F1100" t="s">
        <v>67</v>
      </c>
      <c r="G1100" t="s">
        <v>38</v>
      </c>
      <c r="H1100" t="s">
        <v>37</v>
      </c>
      <c r="I1100" t="s">
        <v>50</v>
      </c>
      <c r="J1100" t="s">
        <v>66</v>
      </c>
      <c r="K1100">
        <v>3</v>
      </c>
      <c r="L1100">
        <v>4</v>
      </c>
      <c r="M1100" t="s">
        <v>40</v>
      </c>
      <c r="N1100" t="s">
        <v>61</v>
      </c>
      <c r="O1100" t="s">
        <v>36</v>
      </c>
      <c r="P1100" t="s">
        <v>32</v>
      </c>
      <c r="Q1100">
        <v>20</v>
      </c>
      <c r="R1100">
        <v>2</v>
      </c>
      <c r="S1100">
        <v>13</v>
      </c>
      <c r="T1100">
        <v>4</v>
      </c>
      <c r="U1100">
        <v>5</v>
      </c>
      <c r="V1100">
        <v>6</v>
      </c>
      <c r="W1100">
        <v>34</v>
      </c>
      <c r="X1100">
        <v>1436</v>
      </c>
      <c r="Y1100">
        <v>16047</v>
      </c>
      <c r="Z1100">
        <v>2306</v>
      </c>
      <c r="AA1100">
        <v>3</v>
      </c>
      <c r="AB1100">
        <v>25724</v>
      </c>
      <c r="AC1100" s="10">
        <v>42542</v>
      </c>
      <c r="AD1100" s="10" t="s">
        <v>72</v>
      </c>
      <c r="AE1100" t="s">
        <v>72</v>
      </c>
      <c r="AF1100" t="s">
        <v>45</v>
      </c>
    </row>
    <row r="1101" spans="1:32" x14ac:dyDescent="0.25">
      <c r="A1101">
        <v>1854</v>
      </c>
      <c r="B1101">
        <v>42</v>
      </c>
      <c r="C1101" t="s">
        <v>43</v>
      </c>
      <c r="D1101" t="s">
        <v>63</v>
      </c>
      <c r="E1101" t="s">
        <v>34</v>
      </c>
      <c r="F1101" t="s">
        <v>35</v>
      </c>
      <c r="G1101" t="s">
        <v>50</v>
      </c>
      <c r="H1101" t="s">
        <v>37</v>
      </c>
      <c r="I1101" t="s">
        <v>50</v>
      </c>
      <c r="J1101" t="s">
        <v>39</v>
      </c>
      <c r="K1101">
        <v>3</v>
      </c>
      <c r="L1101">
        <v>4</v>
      </c>
      <c r="M1101" t="s">
        <v>60</v>
      </c>
      <c r="N1101" t="s">
        <v>61</v>
      </c>
      <c r="O1101" t="s">
        <v>53</v>
      </c>
      <c r="P1101" t="s">
        <v>43</v>
      </c>
      <c r="Q1101">
        <v>22</v>
      </c>
      <c r="R1101">
        <v>3</v>
      </c>
      <c r="S1101">
        <v>10</v>
      </c>
      <c r="T1101">
        <v>3</v>
      </c>
      <c r="U1101">
        <v>3</v>
      </c>
      <c r="V1101">
        <v>10</v>
      </c>
      <c r="W1101">
        <v>38</v>
      </c>
      <c r="X1101">
        <v>355</v>
      </c>
      <c r="Y1101">
        <v>6161</v>
      </c>
      <c r="Z1101">
        <v>2936</v>
      </c>
      <c r="AA1101">
        <v>1</v>
      </c>
      <c r="AB1101">
        <v>29655</v>
      </c>
      <c r="AC1101" s="10">
        <v>42643</v>
      </c>
      <c r="AD1101" s="10" t="s">
        <v>72</v>
      </c>
      <c r="AE1101" t="s">
        <v>72</v>
      </c>
      <c r="AF1101" t="s">
        <v>45</v>
      </c>
    </row>
    <row r="1102" spans="1:32" x14ac:dyDescent="0.25">
      <c r="A1102">
        <v>1116</v>
      </c>
      <c r="B1102">
        <v>48</v>
      </c>
      <c r="C1102" t="s">
        <v>43</v>
      </c>
      <c r="D1102" t="s">
        <v>63</v>
      </c>
      <c r="E1102" t="s">
        <v>34</v>
      </c>
      <c r="F1102" t="s">
        <v>35</v>
      </c>
      <c r="G1102" t="s">
        <v>36</v>
      </c>
      <c r="H1102" t="s">
        <v>37</v>
      </c>
      <c r="I1102" t="s">
        <v>59</v>
      </c>
      <c r="J1102" t="s">
        <v>69</v>
      </c>
      <c r="K1102">
        <v>4</v>
      </c>
      <c r="L1102">
        <v>4</v>
      </c>
      <c r="M1102" t="s">
        <v>60</v>
      </c>
      <c r="N1102" t="s">
        <v>41</v>
      </c>
      <c r="O1102" t="s">
        <v>42</v>
      </c>
      <c r="P1102" t="s">
        <v>43</v>
      </c>
      <c r="Q1102">
        <v>22</v>
      </c>
      <c r="R1102">
        <v>2</v>
      </c>
      <c r="S1102">
        <v>27</v>
      </c>
      <c r="T1102">
        <v>2</v>
      </c>
      <c r="U1102">
        <v>1</v>
      </c>
      <c r="V1102">
        <v>1</v>
      </c>
      <c r="W1102">
        <v>35</v>
      </c>
      <c r="X1102">
        <v>1262</v>
      </c>
      <c r="Y1102">
        <v>16154</v>
      </c>
      <c r="Z1102">
        <v>16885</v>
      </c>
      <c r="AA1102">
        <v>3</v>
      </c>
      <c r="AB1102">
        <v>27246</v>
      </c>
      <c r="AC1102" s="10">
        <v>42998</v>
      </c>
      <c r="AD1102" s="10" t="s">
        <v>72</v>
      </c>
      <c r="AE1102" t="s">
        <v>72</v>
      </c>
      <c r="AF1102" t="s">
        <v>45</v>
      </c>
    </row>
    <row r="1103" spans="1:32" x14ac:dyDescent="0.25">
      <c r="A1103">
        <v>1554</v>
      </c>
      <c r="B1103">
        <v>35</v>
      </c>
      <c r="C1103" t="s">
        <v>43</v>
      </c>
      <c r="D1103" t="s">
        <v>33</v>
      </c>
      <c r="E1103" t="s">
        <v>56</v>
      </c>
      <c r="F1103" t="s">
        <v>35</v>
      </c>
      <c r="G1103" t="s">
        <v>38</v>
      </c>
      <c r="H1103" t="s">
        <v>47</v>
      </c>
      <c r="I1103" t="s">
        <v>38</v>
      </c>
      <c r="J1103" t="s">
        <v>66</v>
      </c>
      <c r="K1103">
        <v>3</v>
      </c>
      <c r="L1103">
        <v>4</v>
      </c>
      <c r="M1103" t="s">
        <v>48</v>
      </c>
      <c r="N1103" t="s">
        <v>61</v>
      </c>
      <c r="O1103" t="s">
        <v>53</v>
      </c>
      <c r="P1103" t="s">
        <v>43</v>
      </c>
      <c r="Q1103">
        <v>23</v>
      </c>
      <c r="R1103">
        <v>0</v>
      </c>
      <c r="S1103">
        <v>6</v>
      </c>
      <c r="T1103">
        <v>4</v>
      </c>
      <c r="U1103">
        <v>2</v>
      </c>
      <c r="V1103">
        <v>28</v>
      </c>
      <c r="W1103">
        <v>98</v>
      </c>
      <c r="X1103">
        <v>1402</v>
      </c>
      <c r="Y1103">
        <v>26204</v>
      </c>
      <c r="Z1103">
        <v>2430</v>
      </c>
      <c r="AA1103">
        <v>5</v>
      </c>
      <c r="AB1103">
        <v>32077</v>
      </c>
      <c r="AC1103" s="10">
        <v>43187</v>
      </c>
      <c r="AD1103" s="10" t="s">
        <v>72</v>
      </c>
      <c r="AE1103" t="s">
        <v>72</v>
      </c>
      <c r="AF1103" t="s">
        <v>45</v>
      </c>
    </row>
    <row r="1104" spans="1:32" x14ac:dyDescent="0.25">
      <c r="A1104">
        <v>1675</v>
      </c>
      <c r="B1104">
        <v>38</v>
      </c>
      <c r="C1104" t="s">
        <v>43</v>
      </c>
      <c r="D1104" t="s">
        <v>46</v>
      </c>
      <c r="E1104" t="s">
        <v>34</v>
      </c>
      <c r="F1104" t="s">
        <v>49</v>
      </c>
      <c r="G1104" t="s">
        <v>59</v>
      </c>
      <c r="H1104" t="s">
        <v>47</v>
      </c>
      <c r="I1104" t="s">
        <v>38</v>
      </c>
      <c r="J1104" t="s">
        <v>51</v>
      </c>
      <c r="K1104">
        <v>2</v>
      </c>
      <c r="L1104">
        <v>4</v>
      </c>
      <c r="M1104" t="s">
        <v>48</v>
      </c>
      <c r="N1104" t="s">
        <v>41</v>
      </c>
      <c r="O1104" t="s">
        <v>42</v>
      </c>
      <c r="P1104" t="s">
        <v>43</v>
      </c>
      <c r="Q1104">
        <v>22</v>
      </c>
      <c r="R1104">
        <v>1</v>
      </c>
      <c r="S1104">
        <v>4</v>
      </c>
      <c r="T1104">
        <v>3</v>
      </c>
      <c r="U1104">
        <v>3</v>
      </c>
      <c r="V1104">
        <v>2</v>
      </c>
      <c r="W1104">
        <v>42</v>
      </c>
      <c r="X1104">
        <v>148</v>
      </c>
      <c r="Y1104">
        <v>23826</v>
      </c>
      <c r="Z1104">
        <v>2440</v>
      </c>
      <c r="AA1104">
        <v>3</v>
      </c>
      <c r="AB1104">
        <v>31054</v>
      </c>
      <c r="AC1104" s="10">
        <v>43444</v>
      </c>
      <c r="AD1104" s="10" t="s">
        <v>72</v>
      </c>
      <c r="AE1104" t="s">
        <v>72</v>
      </c>
      <c r="AF1104" t="s">
        <v>45</v>
      </c>
    </row>
    <row r="1105" spans="1:32" x14ac:dyDescent="0.25">
      <c r="A1105">
        <v>763</v>
      </c>
      <c r="B1105">
        <v>40</v>
      </c>
      <c r="C1105" t="s">
        <v>43</v>
      </c>
      <c r="D1105" t="s">
        <v>33</v>
      </c>
      <c r="E1105" t="s">
        <v>34</v>
      </c>
      <c r="F1105" t="s">
        <v>64</v>
      </c>
      <c r="G1105" t="s">
        <v>59</v>
      </c>
      <c r="H1105" t="s">
        <v>47</v>
      </c>
      <c r="I1105" t="s">
        <v>38</v>
      </c>
      <c r="J1105" t="s">
        <v>39</v>
      </c>
      <c r="K1105">
        <v>4</v>
      </c>
      <c r="L1105">
        <v>4</v>
      </c>
      <c r="M1105" t="s">
        <v>60</v>
      </c>
      <c r="N1105" t="s">
        <v>41</v>
      </c>
      <c r="O1105" t="s">
        <v>42</v>
      </c>
      <c r="P1105" t="s">
        <v>32</v>
      </c>
      <c r="Q1105">
        <v>20</v>
      </c>
      <c r="R1105">
        <v>0</v>
      </c>
      <c r="S1105">
        <v>5</v>
      </c>
      <c r="T1105">
        <v>2</v>
      </c>
      <c r="U1105">
        <v>3</v>
      </c>
      <c r="V1105">
        <v>2</v>
      </c>
      <c r="W1105">
        <v>86</v>
      </c>
      <c r="X1105">
        <v>804</v>
      </c>
      <c r="Y1105">
        <v>22929</v>
      </c>
      <c r="Z1105">
        <v>2342</v>
      </c>
      <c r="AA1105">
        <v>2</v>
      </c>
      <c r="AB1105">
        <v>30428</v>
      </c>
      <c r="AC1105" s="10">
        <v>43514</v>
      </c>
      <c r="AD1105" s="10" t="s">
        <v>72</v>
      </c>
      <c r="AE1105" t="s">
        <v>72</v>
      </c>
      <c r="AF1105" t="s">
        <v>45</v>
      </c>
    </row>
    <row r="1106" spans="1:32" x14ac:dyDescent="0.25">
      <c r="A1106">
        <v>1800</v>
      </c>
      <c r="B1106">
        <v>39</v>
      </c>
      <c r="C1106" t="s">
        <v>43</v>
      </c>
      <c r="D1106" t="s">
        <v>33</v>
      </c>
      <c r="E1106" t="s">
        <v>34</v>
      </c>
      <c r="F1106" t="s">
        <v>64</v>
      </c>
      <c r="G1106" t="s">
        <v>50</v>
      </c>
      <c r="H1106" t="s">
        <v>37</v>
      </c>
      <c r="I1106" t="s">
        <v>50</v>
      </c>
      <c r="J1106" t="s">
        <v>71</v>
      </c>
      <c r="K1106">
        <v>3</v>
      </c>
      <c r="L1106">
        <v>4</v>
      </c>
      <c r="M1106" t="s">
        <v>48</v>
      </c>
      <c r="N1106" t="s">
        <v>41</v>
      </c>
      <c r="O1106" t="s">
        <v>42</v>
      </c>
      <c r="P1106" t="s">
        <v>43</v>
      </c>
      <c r="Q1106">
        <v>21</v>
      </c>
      <c r="R1106">
        <v>7</v>
      </c>
      <c r="S1106">
        <v>9</v>
      </c>
      <c r="T1106">
        <v>2</v>
      </c>
      <c r="U1106">
        <v>2</v>
      </c>
      <c r="V1106">
        <v>10</v>
      </c>
      <c r="W1106">
        <v>65</v>
      </c>
      <c r="X1106">
        <v>1253</v>
      </c>
      <c r="Y1106">
        <v>7914</v>
      </c>
      <c r="Z1106">
        <v>13464</v>
      </c>
      <c r="AA1106">
        <v>3</v>
      </c>
      <c r="AB1106">
        <v>30787</v>
      </c>
      <c r="AC1106" s="10">
        <v>43586</v>
      </c>
      <c r="AD1106" s="10" t="s">
        <v>72</v>
      </c>
      <c r="AE1106" t="s">
        <v>72</v>
      </c>
      <c r="AF1106" t="s">
        <v>45</v>
      </c>
    </row>
    <row r="1107" spans="1:32" x14ac:dyDescent="0.25">
      <c r="A1107">
        <v>193</v>
      </c>
      <c r="B1107">
        <v>38</v>
      </c>
      <c r="C1107" t="s">
        <v>43</v>
      </c>
      <c r="D1107" t="s">
        <v>33</v>
      </c>
      <c r="E1107" t="s">
        <v>34</v>
      </c>
      <c r="F1107" t="s">
        <v>70</v>
      </c>
      <c r="G1107" t="s">
        <v>59</v>
      </c>
      <c r="H1107" t="s">
        <v>47</v>
      </c>
      <c r="I1107" t="s">
        <v>50</v>
      </c>
      <c r="J1107" t="s">
        <v>39</v>
      </c>
      <c r="K1107">
        <v>3</v>
      </c>
      <c r="L1107">
        <v>4</v>
      </c>
      <c r="M1107" t="s">
        <v>48</v>
      </c>
      <c r="N1107" t="s">
        <v>41</v>
      </c>
      <c r="O1107" t="s">
        <v>42</v>
      </c>
      <c r="P1107" t="s">
        <v>32</v>
      </c>
      <c r="Q1107">
        <v>20</v>
      </c>
      <c r="R1107">
        <v>3</v>
      </c>
      <c r="S1107">
        <v>19</v>
      </c>
      <c r="T1107">
        <v>2</v>
      </c>
      <c r="U1107">
        <v>2</v>
      </c>
      <c r="V1107">
        <v>3</v>
      </c>
      <c r="W1107">
        <v>32</v>
      </c>
      <c r="X1107">
        <v>364</v>
      </c>
      <c r="Y1107">
        <v>2302</v>
      </c>
      <c r="Z1107">
        <v>4317</v>
      </c>
      <c r="AA1107">
        <v>2</v>
      </c>
      <c r="AB1107">
        <v>31216</v>
      </c>
      <c r="AC1107" s="10">
        <v>43698</v>
      </c>
      <c r="AD1107" s="10" t="s">
        <v>72</v>
      </c>
      <c r="AE1107" t="s">
        <v>72</v>
      </c>
      <c r="AF1107" t="s">
        <v>45</v>
      </c>
    </row>
    <row r="1108" spans="1:32" x14ac:dyDescent="0.25">
      <c r="A1108">
        <v>140</v>
      </c>
      <c r="B1108">
        <v>59</v>
      </c>
      <c r="C1108" t="s">
        <v>43</v>
      </c>
      <c r="D1108" t="s">
        <v>63</v>
      </c>
      <c r="E1108" t="s">
        <v>68</v>
      </c>
      <c r="F1108" t="s">
        <v>35</v>
      </c>
      <c r="G1108" t="s">
        <v>50</v>
      </c>
      <c r="H1108" t="s">
        <v>47</v>
      </c>
      <c r="I1108" t="s">
        <v>38</v>
      </c>
      <c r="J1108" t="s">
        <v>69</v>
      </c>
      <c r="K1108">
        <v>4</v>
      </c>
      <c r="L1108">
        <v>4</v>
      </c>
      <c r="M1108" t="s">
        <v>48</v>
      </c>
      <c r="N1108" t="s">
        <v>61</v>
      </c>
      <c r="O1108" t="s">
        <v>36</v>
      </c>
      <c r="P1108" t="s">
        <v>43</v>
      </c>
      <c r="Q1108">
        <v>21</v>
      </c>
      <c r="R1108">
        <v>9</v>
      </c>
      <c r="S1108">
        <v>30</v>
      </c>
      <c r="T1108">
        <v>2</v>
      </c>
      <c r="U1108">
        <v>2</v>
      </c>
      <c r="V1108">
        <v>2</v>
      </c>
      <c r="W1108">
        <v>32</v>
      </c>
      <c r="X1108">
        <v>1420</v>
      </c>
      <c r="Y1108">
        <v>21922</v>
      </c>
      <c r="Z1108">
        <v>18844</v>
      </c>
      <c r="AA1108">
        <v>3</v>
      </c>
      <c r="AB1108">
        <v>23242</v>
      </c>
      <c r="AC1108" s="10">
        <v>43718</v>
      </c>
      <c r="AD1108" s="10" t="s">
        <v>72</v>
      </c>
      <c r="AE1108" t="s">
        <v>72</v>
      </c>
      <c r="AF1108" t="s">
        <v>55</v>
      </c>
    </row>
    <row r="1109" spans="1:32" x14ac:dyDescent="0.25">
      <c r="A1109">
        <v>484</v>
      </c>
      <c r="B1109">
        <v>21</v>
      </c>
      <c r="C1109" t="s">
        <v>43</v>
      </c>
      <c r="D1109" t="s">
        <v>63</v>
      </c>
      <c r="E1109" t="s">
        <v>56</v>
      </c>
      <c r="F1109" t="s">
        <v>67</v>
      </c>
      <c r="G1109" t="s">
        <v>36</v>
      </c>
      <c r="H1109" t="s">
        <v>37</v>
      </c>
      <c r="I1109" t="s">
        <v>50</v>
      </c>
      <c r="J1109" t="s">
        <v>66</v>
      </c>
      <c r="K1109">
        <v>4</v>
      </c>
      <c r="L1109">
        <v>4</v>
      </c>
      <c r="M1109" t="s">
        <v>60</v>
      </c>
      <c r="N1109" t="s">
        <v>41</v>
      </c>
      <c r="O1109" t="s">
        <v>42</v>
      </c>
      <c r="P1109" t="s">
        <v>43</v>
      </c>
      <c r="Q1109">
        <v>24</v>
      </c>
      <c r="R1109">
        <v>1</v>
      </c>
      <c r="S1109">
        <v>3</v>
      </c>
      <c r="T1109">
        <v>2</v>
      </c>
      <c r="U1109">
        <v>2</v>
      </c>
      <c r="V1109">
        <v>9</v>
      </c>
      <c r="W1109">
        <v>39</v>
      </c>
      <c r="X1109">
        <v>895</v>
      </c>
      <c r="Y1109">
        <v>2851</v>
      </c>
      <c r="Z1109">
        <v>2610</v>
      </c>
      <c r="AA1109">
        <v>3</v>
      </c>
      <c r="AB1109">
        <v>37127</v>
      </c>
      <c r="AC1109" s="10">
        <v>43901</v>
      </c>
      <c r="AD1109" s="10" t="s">
        <v>72</v>
      </c>
      <c r="AE1109" t="s">
        <v>72</v>
      </c>
      <c r="AF1109" t="s">
        <v>55</v>
      </c>
    </row>
    <row r="1110" spans="1:32" x14ac:dyDescent="0.25">
      <c r="A1110">
        <v>872</v>
      </c>
      <c r="B1110">
        <v>22</v>
      </c>
      <c r="C1110" t="s">
        <v>43</v>
      </c>
      <c r="D1110" t="s">
        <v>33</v>
      </c>
      <c r="E1110" t="s">
        <v>34</v>
      </c>
      <c r="F1110" t="s">
        <v>67</v>
      </c>
      <c r="G1110" t="s">
        <v>59</v>
      </c>
      <c r="H1110" t="s">
        <v>37</v>
      </c>
      <c r="I1110" t="s">
        <v>38</v>
      </c>
      <c r="J1110" t="s">
        <v>65</v>
      </c>
      <c r="K1110">
        <v>4</v>
      </c>
      <c r="L1110">
        <v>4</v>
      </c>
      <c r="M1110" t="s">
        <v>40</v>
      </c>
      <c r="N1110" t="s">
        <v>61</v>
      </c>
      <c r="O1110" t="s">
        <v>53</v>
      </c>
      <c r="P1110" t="s">
        <v>43</v>
      </c>
      <c r="Q1110">
        <v>22</v>
      </c>
      <c r="R1110">
        <v>6</v>
      </c>
      <c r="S1110">
        <v>4</v>
      </c>
      <c r="T1110">
        <v>2</v>
      </c>
      <c r="U1110">
        <v>2</v>
      </c>
      <c r="V1110">
        <v>1</v>
      </c>
      <c r="W1110">
        <v>33</v>
      </c>
      <c r="X1110">
        <v>1230</v>
      </c>
      <c r="Y1110">
        <v>19146</v>
      </c>
      <c r="Z1110">
        <v>4775</v>
      </c>
      <c r="AA1110">
        <v>2</v>
      </c>
      <c r="AB1110">
        <v>37034</v>
      </c>
      <c r="AC1110" s="10">
        <v>44056</v>
      </c>
      <c r="AD1110" s="10" t="s">
        <v>72</v>
      </c>
      <c r="AE1110" t="s">
        <v>72</v>
      </c>
      <c r="AF1110" t="s">
        <v>45</v>
      </c>
    </row>
    <row r="1111" spans="1:32" x14ac:dyDescent="0.25">
      <c r="A1111">
        <v>1234</v>
      </c>
      <c r="B1111">
        <v>32</v>
      </c>
      <c r="C1111" t="s">
        <v>43</v>
      </c>
      <c r="D1111" t="s">
        <v>46</v>
      </c>
      <c r="E1111" t="s">
        <v>34</v>
      </c>
      <c r="F1111" t="s">
        <v>49</v>
      </c>
      <c r="G1111" t="s">
        <v>50</v>
      </c>
      <c r="H1111" t="s">
        <v>47</v>
      </c>
      <c r="I1111" t="s">
        <v>38</v>
      </c>
      <c r="J1111" t="s">
        <v>51</v>
      </c>
      <c r="K1111">
        <v>2</v>
      </c>
      <c r="L1111">
        <v>4</v>
      </c>
      <c r="M1111" t="s">
        <v>48</v>
      </c>
      <c r="N1111" t="s">
        <v>61</v>
      </c>
      <c r="O1111" t="s">
        <v>36</v>
      </c>
      <c r="P1111" t="s">
        <v>43</v>
      </c>
      <c r="Q1111">
        <v>20</v>
      </c>
      <c r="R1111">
        <v>1</v>
      </c>
      <c r="S1111">
        <v>2</v>
      </c>
      <c r="T1111">
        <v>2</v>
      </c>
      <c r="U1111">
        <v>2</v>
      </c>
      <c r="V1111">
        <v>13</v>
      </c>
      <c r="W1111">
        <v>77</v>
      </c>
      <c r="X1111">
        <v>116</v>
      </c>
      <c r="Y1111">
        <v>7331</v>
      </c>
      <c r="Z1111">
        <v>2743</v>
      </c>
      <c r="AA1111">
        <v>2</v>
      </c>
      <c r="AB1111">
        <v>33298</v>
      </c>
      <c r="AC1111" s="10">
        <v>44107</v>
      </c>
      <c r="AD1111" s="10" t="s">
        <v>72</v>
      </c>
      <c r="AE1111" t="s">
        <v>72</v>
      </c>
      <c r="AF1111" t="s">
        <v>45</v>
      </c>
    </row>
    <row r="1112" spans="1:32" x14ac:dyDescent="0.25">
      <c r="A1112">
        <v>675</v>
      </c>
      <c r="B1112">
        <v>22</v>
      </c>
      <c r="C1112" t="s">
        <v>43</v>
      </c>
      <c r="D1112" t="s">
        <v>33</v>
      </c>
      <c r="E1112" t="s">
        <v>34</v>
      </c>
      <c r="F1112" t="s">
        <v>64</v>
      </c>
      <c r="G1112" t="s">
        <v>36</v>
      </c>
      <c r="H1112" t="s">
        <v>37</v>
      </c>
      <c r="I1112" t="s">
        <v>50</v>
      </c>
      <c r="J1112" t="s">
        <v>39</v>
      </c>
      <c r="K1112">
        <v>3</v>
      </c>
      <c r="L1112">
        <v>4</v>
      </c>
      <c r="M1112" t="s">
        <v>48</v>
      </c>
      <c r="N1112" t="s">
        <v>61</v>
      </c>
      <c r="O1112" t="s">
        <v>42</v>
      </c>
      <c r="P1112" t="s">
        <v>43</v>
      </c>
      <c r="Q1112">
        <v>20</v>
      </c>
      <c r="R1112">
        <v>0</v>
      </c>
      <c r="S1112">
        <v>3</v>
      </c>
      <c r="T1112">
        <v>2</v>
      </c>
      <c r="U1112">
        <v>2</v>
      </c>
      <c r="V1112">
        <v>6</v>
      </c>
      <c r="W1112">
        <v>69</v>
      </c>
      <c r="X1112">
        <v>604</v>
      </c>
      <c r="Y1112">
        <v>12145</v>
      </c>
      <c r="Z1112">
        <v>2773</v>
      </c>
      <c r="AA1112">
        <v>3</v>
      </c>
      <c r="AB1112">
        <v>36947</v>
      </c>
      <c r="AC1112" s="10">
        <v>44120</v>
      </c>
      <c r="AD1112" s="10" t="s">
        <v>72</v>
      </c>
      <c r="AE1112" t="s">
        <v>72</v>
      </c>
      <c r="AF1112" t="s">
        <v>45</v>
      </c>
    </row>
    <row r="1113" spans="1:32" x14ac:dyDescent="0.25">
      <c r="A1113">
        <v>217</v>
      </c>
      <c r="B1113">
        <v>22</v>
      </c>
      <c r="C1113" t="s">
        <v>43</v>
      </c>
      <c r="D1113" t="s">
        <v>33</v>
      </c>
      <c r="E1113" t="s">
        <v>34</v>
      </c>
      <c r="F1113" t="s">
        <v>64</v>
      </c>
      <c r="G1113" t="s">
        <v>50</v>
      </c>
      <c r="H1113" t="s">
        <v>37</v>
      </c>
      <c r="I1113" t="s">
        <v>50</v>
      </c>
      <c r="J1113" t="s">
        <v>39</v>
      </c>
      <c r="K1113">
        <v>4</v>
      </c>
      <c r="L1113">
        <v>4</v>
      </c>
      <c r="M1113" t="s">
        <v>48</v>
      </c>
      <c r="N1113" t="s">
        <v>61</v>
      </c>
      <c r="O1113" t="s">
        <v>53</v>
      </c>
      <c r="P1113" t="s">
        <v>43</v>
      </c>
      <c r="Q1113">
        <v>24</v>
      </c>
      <c r="R1113">
        <v>1</v>
      </c>
      <c r="S1113">
        <v>2</v>
      </c>
      <c r="T1113">
        <v>2</v>
      </c>
      <c r="U1113">
        <v>2</v>
      </c>
      <c r="V1113">
        <v>19</v>
      </c>
      <c r="W1113">
        <v>80</v>
      </c>
      <c r="X1113">
        <v>1256</v>
      </c>
      <c r="Y1113">
        <v>11992</v>
      </c>
      <c r="Z1113">
        <v>2323</v>
      </c>
      <c r="AA1113">
        <v>6</v>
      </c>
      <c r="AB1113">
        <v>37017</v>
      </c>
      <c r="AC1113" s="10">
        <v>44150</v>
      </c>
      <c r="AD1113" s="10" t="s">
        <v>72</v>
      </c>
      <c r="AE1113" t="s">
        <v>72</v>
      </c>
      <c r="AF1113" t="s">
        <v>45</v>
      </c>
    </row>
    <row r="1114" spans="1:32" x14ac:dyDescent="0.25">
      <c r="A1114">
        <v>1215</v>
      </c>
      <c r="B1114">
        <v>50</v>
      </c>
      <c r="C1114" t="s">
        <v>43</v>
      </c>
      <c r="D1114" t="s">
        <v>46</v>
      </c>
      <c r="E1114" t="s">
        <v>34</v>
      </c>
      <c r="F1114" t="s">
        <v>49</v>
      </c>
      <c r="G1114" t="s">
        <v>59</v>
      </c>
      <c r="H1114" t="s">
        <v>47</v>
      </c>
      <c r="I1114" t="s">
        <v>50</v>
      </c>
      <c r="J1114" t="s">
        <v>69</v>
      </c>
      <c r="K1114">
        <v>1</v>
      </c>
      <c r="L1114">
        <v>4</v>
      </c>
      <c r="M1114" t="s">
        <v>48</v>
      </c>
      <c r="N1114" t="s">
        <v>61</v>
      </c>
      <c r="O1114" t="s">
        <v>36</v>
      </c>
      <c r="P1114" t="s">
        <v>43</v>
      </c>
      <c r="Q1114">
        <v>22</v>
      </c>
      <c r="R1114">
        <v>2</v>
      </c>
      <c r="S1114">
        <v>32</v>
      </c>
      <c r="T1114">
        <v>2</v>
      </c>
      <c r="U1114">
        <v>2</v>
      </c>
      <c r="V1114">
        <v>2</v>
      </c>
      <c r="W1114">
        <v>30</v>
      </c>
      <c r="X1114">
        <v>1421</v>
      </c>
      <c r="Y1114">
        <v>9490</v>
      </c>
      <c r="Z1114">
        <v>17856</v>
      </c>
      <c r="AA1114">
        <v>3</v>
      </c>
      <c r="AB1114">
        <v>26833</v>
      </c>
      <c r="AC1114" s="10">
        <v>44207</v>
      </c>
      <c r="AD1114" s="10" t="s">
        <v>72</v>
      </c>
      <c r="AE1114" t="s">
        <v>72</v>
      </c>
      <c r="AF1114" t="s">
        <v>55</v>
      </c>
    </row>
    <row r="1115" spans="1:32" x14ac:dyDescent="0.25">
      <c r="A1115">
        <v>1278</v>
      </c>
      <c r="B1115">
        <v>55</v>
      </c>
      <c r="C1115" t="s">
        <v>43</v>
      </c>
      <c r="D1115" t="s">
        <v>63</v>
      </c>
      <c r="E1115" t="s">
        <v>34</v>
      </c>
      <c r="F1115" t="s">
        <v>64</v>
      </c>
      <c r="G1115" t="s">
        <v>59</v>
      </c>
      <c r="H1115" t="s">
        <v>37</v>
      </c>
      <c r="I1115" t="s">
        <v>38</v>
      </c>
      <c r="J1115" t="s">
        <v>62</v>
      </c>
      <c r="K1115">
        <v>2</v>
      </c>
      <c r="L1115">
        <v>1</v>
      </c>
      <c r="M1115" t="s">
        <v>48</v>
      </c>
      <c r="N1115" t="s">
        <v>52</v>
      </c>
      <c r="O1115" t="s">
        <v>36</v>
      </c>
      <c r="P1115" t="s">
        <v>32</v>
      </c>
      <c r="Q1115">
        <v>15</v>
      </c>
      <c r="R1115">
        <v>1</v>
      </c>
      <c r="S1115">
        <v>34</v>
      </c>
      <c r="T1115">
        <v>15</v>
      </c>
      <c r="U1115">
        <v>0</v>
      </c>
      <c r="V1115">
        <v>8</v>
      </c>
      <c r="W1115">
        <v>37</v>
      </c>
      <c r="X1115">
        <v>177</v>
      </c>
      <c r="Y1115">
        <v>25592</v>
      </c>
      <c r="Z1115">
        <v>13577</v>
      </c>
      <c r="AA1115">
        <v>3</v>
      </c>
      <c r="AB1115">
        <v>24988</v>
      </c>
      <c r="AC1115" s="10">
        <v>32897</v>
      </c>
      <c r="AD1115" s="10" t="s">
        <v>72</v>
      </c>
      <c r="AE1115" t="s">
        <v>72</v>
      </c>
      <c r="AF1115" t="s">
        <v>45</v>
      </c>
    </row>
    <row r="1116" spans="1:32" x14ac:dyDescent="0.25">
      <c r="A1116">
        <v>905</v>
      </c>
      <c r="B1116">
        <v>50</v>
      </c>
      <c r="C1116" t="s">
        <v>43</v>
      </c>
      <c r="D1116" t="s">
        <v>63</v>
      </c>
      <c r="E1116" t="s">
        <v>34</v>
      </c>
      <c r="F1116" t="s">
        <v>35</v>
      </c>
      <c r="G1116" t="s">
        <v>36</v>
      </c>
      <c r="H1116" t="s">
        <v>37</v>
      </c>
      <c r="I1116" t="s">
        <v>50</v>
      </c>
      <c r="J1116" t="s">
        <v>69</v>
      </c>
      <c r="K1116">
        <v>1</v>
      </c>
      <c r="L1116">
        <v>2</v>
      </c>
      <c r="M1116" t="s">
        <v>48</v>
      </c>
      <c r="N1116" t="s">
        <v>52</v>
      </c>
      <c r="O1116" t="s">
        <v>36</v>
      </c>
      <c r="P1116" t="s">
        <v>43</v>
      </c>
      <c r="Q1116">
        <v>11</v>
      </c>
      <c r="R1116">
        <v>1</v>
      </c>
      <c r="S1116">
        <v>31</v>
      </c>
      <c r="T1116">
        <v>14</v>
      </c>
      <c r="U1116">
        <v>7</v>
      </c>
      <c r="V1116">
        <v>2</v>
      </c>
      <c r="W1116">
        <v>98</v>
      </c>
      <c r="X1116">
        <v>881</v>
      </c>
      <c r="Y1116">
        <v>4544</v>
      </c>
      <c r="Z1116">
        <v>17924</v>
      </c>
      <c r="AA1116">
        <v>3</v>
      </c>
      <c r="AB1116">
        <v>26581</v>
      </c>
      <c r="AC1116" s="10">
        <v>33591</v>
      </c>
      <c r="AD1116" s="10" t="s">
        <v>72</v>
      </c>
      <c r="AE1116" t="s">
        <v>72</v>
      </c>
      <c r="AF1116" t="s">
        <v>45</v>
      </c>
    </row>
    <row r="1117" spans="1:32" x14ac:dyDescent="0.25">
      <c r="A1117">
        <v>1815</v>
      </c>
      <c r="B1117">
        <v>41</v>
      </c>
      <c r="C1117" t="s">
        <v>43</v>
      </c>
      <c r="D1117" t="s">
        <v>33</v>
      </c>
      <c r="E1117" t="s">
        <v>56</v>
      </c>
      <c r="F1117" t="s">
        <v>64</v>
      </c>
      <c r="G1117" t="s">
        <v>50</v>
      </c>
      <c r="H1117" t="s">
        <v>47</v>
      </c>
      <c r="I1117" t="s">
        <v>50</v>
      </c>
      <c r="J1117" t="s">
        <v>57</v>
      </c>
      <c r="K1117">
        <v>3</v>
      </c>
      <c r="L1117">
        <v>2</v>
      </c>
      <c r="M1117" t="s">
        <v>58</v>
      </c>
      <c r="N1117" t="s">
        <v>52</v>
      </c>
      <c r="O1117" t="s">
        <v>36</v>
      </c>
      <c r="P1117" t="s">
        <v>32</v>
      </c>
      <c r="Q1117">
        <v>13</v>
      </c>
      <c r="R1117">
        <v>0</v>
      </c>
      <c r="S1117">
        <v>23</v>
      </c>
      <c r="T1117">
        <v>13</v>
      </c>
      <c r="U1117">
        <v>5</v>
      </c>
      <c r="V1117">
        <v>4</v>
      </c>
      <c r="W1117">
        <v>81</v>
      </c>
      <c r="X1117">
        <v>796</v>
      </c>
      <c r="Y1117">
        <v>26458</v>
      </c>
      <c r="Z1117">
        <v>10447</v>
      </c>
      <c r="AA1117">
        <v>3</v>
      </c>
      <c r="AB1117">
        <v>30140</v>
      </c>
      <c r="AC1117" s="10">
        <v>36980</v>
      </c>
      <c r="AD1117" s="10" t="s">
        <v>72</v>
      </c>
      <c r="AE1117" t="s">
        <v>72</v>
      </c>
      <c r="AF1117" t="s">
        <v>45</v>
      </c>
    </row>
    <row r="1118" spans="1:32" x14ac:dyDescent="0.25">
      <c r="A1118">
        <v>1166</v>
      </c>
      <c r="B1118">
        <v>40</v>
      </c>
      <c r="C1118" t="s">
        <v>43</v>
      </c>
      <c r="D1118" t="s">
        <v>46</v>
      </c>
      <c r="E1118" t="s">
        <v>34</v>
      </c>
      <c r="F1118" t="s">
        <v>35</v>
      </c>
      <c r="G1118" t="s">
        <v>38</v>
      </c>
      <c r="H1118" t="s">
        <v>47</v>
      </c>
      <c r="I1118" t="s">
        <v>50</v>
      </c>
      <c r="J1118" t="s">
        <v>71</v>
      </c>
      <c r="K1118">
        <v>3</v>
      </c>
      <c r="L1118">
        <v>2</v>
      </c>
      <c r="M1118" t="s">
        <v>60</v>
      </c>
      <c r="N1118" t="s">
        <v>41</v>
      </c>
      <c r="O1118" t="s">
        <v>42</v>
      </c>
      <c r="P1118" t="s">
        <v>43</v>
      </c>
      <c r="Q1118">
        <v>17</v>
      </c>
      <c r="R1118">
        <v>9</v>
      </c>
      <c r="S1118">
        <v>20</v>
      </c>
      <c r="T1118">
        <v>2</v>
      </c>
      <c r="U1118">
        <v>13</v>
      </c>
      <c r="V1118">
        <v>9</v>
      </c>
      <c r="W1118">
        <v>88</v>
      </c>
      <c r="X1118">
        <v>593</v>
      </c>
      <c r="Y1118">
        <v>13782</v>
      </c>
      <c r="Z1118">
        <v>13499</v>
      </c>
      <c r="AA1118">
        <v>3</v>
      </c>
      <c r="AB1118">
        <v>30165</v>
      </c>
      <c r="AC1118" s="10">
        <v>38453</v>
      </c>
      <c r="AD1118" s="10" t="s">
        <v>72</v>
      </c>
      <c r="AE1118" t="s">
        <v>72</v>
      </c>
      <c r="AF1118" t="s">
        <v>45</v>
      </c>
    </row>
    <row r="1119" spans="1:32" x14ac:dyDescent="0.25">
      <c r="A1119">
        <v>1628</v>
      </c>
      <c r="B1119">
        <v>40</v>
      </c>
      <c r="C1119" t="s">
        <v>43</v>
      </c>
      <c r="D1119" t="s">
        <v>33</v>
      </c>
      <c r="E1119" t="s">
        <v>34</v>
      </c>
      <c r="F1119" t="s">
        <v>49</v>
      </c>
      <c r="G1119" t="s">
        <v>36</v>
      </c>
      <c r="H1119" t="s">
        <v>47</v>
      </c>
      <c r="I1119" t="s">
        <v>38</v>
      </c>
      <c r="J1119" t="s">
        <v>65</v>
      </c>
      <c r="K1119">
        <v>3</v>
      </c>
      <c r="L1119">
        <v>2</v>
      </c>
      <c r="M1119" t="s">
        <v>48</v>
      </c>
      <c r="N1119" t="s">
        <v>61</v>
      </c>
      <c r="O1119" t="s">
        <v>53</v>
      </c>
      <c r="P1119" t="s">
        <v>43</v>
      </c>
      <c r="Q1119">
        <v>13</v>
      </c>
      <c r="R1119">
        <v>1</v>
      </c>
      <c r="S1119">
        <v>18</v>
      </c>
      <c r="T1119">
        <v>14</v>
      </c>
      <c r="U1119">
        <v>12</v>
      </c>
      <c r="V1119">
        <v>15</v>
      </c>
      <c r="W1119">
        <v>80</v>
      </c>
      <c r="X1119">
        <v>884</v>
      </c>
      <c r="Y1119">
        <v>25800</v>
      </c>
      <c r="Z1119">
        <v>10435</v>
      </c>
      <c r="AA1119">
        <v>2</v>
      </c>
      <c r="AB1119">
        <v>30283</v>
      </c>
      <c r="AC1119" s="10">
        <v>38501</v>
      </c>
      <c r="AD1119" s="10" t="s">
        <v>72</v>
      </c>
      <c r="AE1119" t="s">
        <v>72</v>
      </c>
      <c r="AF1119" t="s">
        <v>45</v>
      </c>
    </row>
    <row r="1120" spans="1:32" x14ac:dyDescent="0.25">
      <c r="A1120">
        <v>1866</v>
      </c>
      <c r="B1120">
        <v>43</v>
      </c>
      <c r="C1120" t="s">
        <v>43</v>
      </c>
      <c r="D1120" t="s">
        <v>33</v>
      </c>
      <c r="E1120" t="s">
        <v>34</v>
      </c>
      <c r="F1120" t="s">
        <v>49</v>
      </c>
      <c r="G1120" t="s">
        <v>36</v>
      </c>
      <c r="H1120" t="s">
        <v>47</v>
      </c>
      <c r="I1120" t="s">
        <v>38</v>
      </c>
      <c r="J1120" t="s">
        <v>69</v>
      </c>
      <c r="K1120">
        <v>3</v>
      </c>
      <c r="L1120">
        <v>2</v>
      </c>
      <c r="M1120" t="s">
        <v>48</v>
      </c>
      <c r="N1120" t="s">
        <v>61</v>
      </c>
      <c r="O1120" t="s">
        <v>42</v>
      </c>
      <c r="P1120" t="s">
        <v>43</v>
      </c>
      <c r="Q1120">
        <v>13</v>
      </c>
      <c r="R1120">
        <v>7</v>
      </c>
      <c r="S1120">
        <v>21</v>
      </c>
      <c r="T1120">
        <v>6</v>
      </c>
      <c r="U1120">
        <v>14</v>
      </c>
      <c r="V1120">
        <v>6</v>
      </c>
      <c r="W1120">
        <v>81</v>
      </c>
      <c r="X1120">
        <v>823</v>
      </c>
      <c r="Y1120">
        <v>22539</v>
      </c>
      <c r="Z1120">
        <v>19392</v>
      </c>
      <c r="AA1120">
        <v>2</v>
      </c>
      <c r="AB1120">
        <v>29313</v>
      </c>
      <c r="AC1120" s="10">
        <v>39189</v>
      </c>
      <c r="AD1120" s="10" t="s">
        <v>72</v>
      </c>
      <c r="AE1120" t="s">
        <v>72</v>
      </c>
      <c r="AF1120" t="s">
        <v>45</v>
      </c>
    </row>
    <row r="1121" spans="1:32" x14ac:dyDescent="0.25">
      <c r="A1121">
        <v>1073</v>
      </c>
      <c r="B1121">
        <v>36</v>
      </c>
      <c r="C1121" t="s">
        <v>43</v>
      </c>
      <c r="D1121" t="s">
        <v>33</v>
      </c>
      <c r="E1121" t="s">
        <v>34</v>
      </c>
      <c r="F1121" t="s">
        <v>70</v>
      </c>
      <c r="G1121" t="s">
        <v>59</v>
      </c>
      <c r="H1121" t="s">
        <v>47</v>
      </c>
      <c r="I1121" t="s">
        <v>38</v>
      </c>
      <c r="J1121" t="s">
        <v>65</v>
      </c>
      <c r="K1121">
        <v>4</v>
      </c>
      <c r="L1121">
        <v>2</v>
      </c>
      <c r="M1121" t="s">
        <v>60</v>
      </c>
      <c r="N1121" t="s">
        <v>41</v>
      </c>
      <c r="O1121" t="s">
        <v>42</v>
      </c>
      <c r="P1121" t="s">
        <v>43</v>
      </c>
      <c r="Q1121">
        <v>11</v>
      </c>
      <c r="R1121">
        <v>0</v>
      </c>
      <c r="S1121">
        <v>15</v>
      </c>
      <c r="T1121">
        <v>7</v>
      </c>
      <c r="U1121">
        <v>8</v>
      </c>
      <c r="V1121">
        <v>12</v>
      </c>
      <c r="W1121">
        <v>51</v>
      </c>
      <c r="X1121">
        <v>796</v>
      </c>
      <c r="Y1121">
        <v>15669</v>
      </c>
      <c r="Z1121">
        <v>8858</v>
      </c>
      <c r="AA1121">
        <v>2</v>
      </c>
      <c r="AB1121">
        <v>31884</v>
      </c>
      <c r="AC1121" s="10">
        <v>39691</v>
      </c>
      <c r="AD1121" s="10" t="s">
        <v>72</v>
      </c>
      <c r="AE1121" t="s">
        <v>72</v>
      </c>
      <c r="AF1121" t="s">
        <v>45</v>
      </c>
    </row>
    <row r="1122" spans="1:32" x14ac:dyDescent="0.25">
      <c r="A1122">
        <v>1485</v>
      </c>
      <c r="B1122">
        <v>34</v>
      </c>
      <c r="C1122" t="s">
        <v>43</v>
      </c>
      <c r="D1122" t="s">
        <v>46</v>
      </c>
      <c r="E1122" t="s">
        <v>34</v>
      </c>
      <c r="F1122" t="s">
        <v>49</v>
      </c>
      <c r="G1122" t="s">
        <v>38</v>
      </c>
      <c r="H1122" t="s">
        <v>37</v>
      </c>
      <c r="I1122" t="s">
        <v>50</v>
      </c>
      <c r="J1122" t="s">
        <v>71</v>
      </c>
      <c r="K1122">
        <v>1</v>
      </c>
      <c r="L1122">
        <v>1</v>
      </c>
      <c r="M1122" t="s">
        <v>60</v>
      </c>
      <c r="N1122" t="s">
        <v>52</v>
      </c>
      <c r="O1122" t="s">
        <v>53</v>
      </c>
      <c r="P1122" t="s">
        <v>43</v>
      </c>
      <c r="Q1122">
        <v>14</v>
      </c>
      <c r="R1122">
        <v>7</v>
      </c>
      <c r="S1122">
        <v>16</v>
      </c>
      <c r="T1122">
        <v>6</v>
      </c>
      <c r="U1122">
        <v>9</v>
      </c>
      <c r="V1122">
        <v>15</v>
      </c>
      <c r="W1122">
        <v>71</v>
      </c>
      <c r="X1122">
        <v>829</v>
      </c>
      <c r="Y1122">
        <v>11929</v>
      </c>
      <c r="Z1122">
        <v>17007</v>
      </c>
      <c r="AA1122">
        <v>3</v>
      </c>
      <c r="AB1122">
        <v>32711</v>
      </c>
      <c r="AC1122" s="10">
        <v>39769</v>
      </c>
      <c r="AD1122" s="10" t="s">
        <v>72</v>
      </c>
      <c r="AE1122" t="s">
        <v>72</v>
      </c>
      <c r="AF1122" t="s">
        <v>45</v>
      </c>
    </row>
    <row r="1123" spans="1:32" x14ac:dyDescent="0.25">
      <c r="A1123">
        <v>1630</v>
      </c>
      <c r="B1123">
        <v>35</v>
      </c>
      <c r="C1123" t="s">
        <v>43</v>
      </c>
      <c r="D1123" t="s">
        <v>63</v>
      </c>
      <c r="E1123" t="s">
        <v>34</v>
      </c>
      <c r="F1123" t="s">
        <v>35</v>
      </c>
      <c r="G1123" t="s">
        <v>50</v>
      </c>
      <c r="H1123" t="s">
        <v>47</v>
      </c>
      <c r="I1123" t="s">
        <v>50</v>
      </c>
      <c r="J1123" t="s">
        <v>62</v>
      </c>
      <c r="K1123">
        <v>3</v>
      </c>
      <c r="L1123">
        <v>2</v>
      </c>
      <c r="M1123" t="s">
        <v>48</v>
      </c>
      <c r="N1123" t="s">
        <v>61</v>
      </c>
      <c r="O1123" t="s">
        <v>36</v>
      </c>
      <c r="P1123" t="s">
        <v>43</v>
      </c>
      <c r="Q1123">
        <v>12</v>
      </c>
      <c r="R1123">
        <v>1</v>
      </c>
      <c r="S1123">
        <v>15</v>
      </c>
      <c r="T1123">
        <v>2</v>
      </c>
      <c r="U1123">
        <v>9</v>
      </c>
      <c r="V1123">
        <v>8</v>
      </c>
      <c r="W1123">
        <v>52</v>
      </c>
      <c r="X1123">
        <v>208</v>
      </c>
      <c r="Y1123">
        <v>12250</v>
      </c>
      <c r="Z1123">
        <v>4148</v>
      </c>
      <c r="AA1123">
        <v>5</v>
      </c>
      <c r="AB1123">
        <v>32063</v>
      </c>
      <c r="AC1123" s="10">
        <v>39991</v>
      </c>
      <c r="AD1123" s="10" t="s">
        <v>72</v>
      </c>
      <c r="AE1123" t="s">
        <v>72</v>
      </c>
      <c r="AF1123" t="s">
        <v>45</v>
      </c>
    </row>
    <row r="1124" spans="1:32" x14ac:dyDescent="0.25">
      <c r="A1124">
        <v>899</v>
      </c>
      <c r="B1124">
        <v>35</v>
      </c>
      <c r="C1124" t="s">
        <v>43</v>
      </c>
      <c r="D1124" t="s">
        <v>33</v>
      </c>
      <c r="E1124" t="s">
        <v>34</v>
      </c>
      <c r="F1124" t="s">
        <v>49</v>
      </c>
      <c r="G1124" t="s">
        <v>59</v>
      </c>
      <c r="H1124" t="s">
        <v>37</v>
      </c>
      <c r="I1124" t="s">
        <v>38</v>
      </c>
      <c r="J1124" t="s">
        <v>65</v>
      </c>
      <c r="K1124">
        <v>2</v>
      </c>
      <c r="L1124">
        <v>2</v>
      </c>
      <c r="M1124" t="s">
        <v>48</v>
      </c>
      <c r="N1124" t="s">
        <v>61</v>
      </c>
      <c r="O1124" t="s">
        <v>42</v>
      </c>
      <c r="P1124" t="s">
        <v>43</v>
      </c>
      <c r="Q1124">
        <v>16</v>
      </c>
      <c r="R1124">
        <v>3</v>
      </c>
      <c r="S1124">
        <v>16</v>
      </c>
      <c r="T1124">
        <v>4</v>
      </c>
      <c r="U1124">
        <v>8</v>
      </c>
      <c r="V1124">
        <v>25</v>
      </c>
      <c r="W1124">
        <v>78</v>
      </c>
      <c r="X1124">
        <v>672</v>
      </c>
      <c r="Y1124">
        <v>9129</v>
      </c>
      <c r="Z1124">
        <v>10903</v>
      </c>
      <c r="AA1124">
        <v>2</v>
      </c>
      <c r="AB1124">
        <v>32295</v>
      </c>
      <c r="AC1124" s="10">
        <v>40174</v>
      </c>
      <c r="AD1124" s="10" t="s">
        <v>72</v>
      </c>
      <c r="AE1124" t="s">
        <v>72</v>
      </c>
      <c r="AF1124" t="s">
        <v>45</v>
      </c>
    </row>
    <row r="1125" spans="1:32" x14ac:dyDescent="0.25">
      <c r="A1125">
        <v>1852</v>
      </c>
      <c r="B1125">
        <v>29</v>
      </c>
      <c r="C1125" t="s">
        <v>43</v>
      </c>
      <c r="D1125" t="s">
        <v>46</v>
      </c>
      <c r="E1125" t="s">
        <v>34</v>
      </c>
      <c r="F1125" t="s">
        <v>64</v>
      </c>
      <c r="G1125" t="s">
        <v>59</v>
      </c>
      <c r="H1125" t="s">
        <v>37</v>
      </c>
      <c r="I1125" t="s">
        <v>50</v>
      </c>
      <c r="J1125" t="s">
        <v>51</v>
      </c>
      <c r="K1125">
        <v>4</v>
      </c>
      <c r="L1125">
        <v>2</v>
      </c>
      <c r="M1125" t="s">
        <v>58</v>
      </c>
      <c r="N1125" t="s">
        <v>61</v>
      </c>
      <c r="O1125" t="s">
        <v>42</v>
      </c>
      <c r="P1125" t="s">
        <v>43</v>
      </c>
      <c r="Q1125">
        <v>13</v>
      </c>
      <c r="R1125">
        <v>1</v>
      </c>
      <c r="S1125">
        <v>11</v>
      </c>
      <c r="T1125">
        <v>3</v>
      </c>
      <c r="U1125">
        <v>10</v>
      </c>
      <c r="V1125">
        <v>20</v>
      </c>
      <c r="W1125">
        <v>40</v>
      </c>
      <c r="X1125">
        <v>574</v>
      </c>
      <c r="Y1125">
        <v>7003</v>
      </c>
      <c r="Z1125">
        <v>3812</v>
      </c>
      <c r="AA1125">
        <v>3</v>
      </c>
      <c r="AB1125">
        <v>34317</v>
      </c>
      <c r="AC1125" s="10">
        <v>40999</v>
      </c>
      <c r="AD1125" s="10" t="s">
        <v>72</v>
      </c>
      <c r="AE1125" t="s">
        <v>72</v>
      </c>
      <c r="AF1125" t="s">
        <v>45</v>
      </c>
    </row>
    <row r="1126" spans="1:32" x14ac:dyDescent="0.25">
      <c r="A1126">
        <v>124</v>
      </c>
      <c r="B1126">
        <v>46</v>
      </c>
      <c r="C1126" t="s">
        <v>43</v>
      </c>
      <c r="D1126" t="s">
        <v>46</v>
      </c>
      <c r="E1126" t="s">
        <v>34</v>
      </c>
      <c r="F1126" t="s">
        <v>49</v>
      </c>
      <c r="G1126" t="s">
        <v>50</v>
      </c>
      <c r="H1126" t="s">
        <v>37</v>
      </c>
      <c r="I1126" t="s">
        <v>38</v>
      </c>
      <c r="J1126" t="s">
        <v>62</v>
      </c>
      <c r="K1126">
        <v>1</v>
      </c>
      <c r="L1126">
        <v>2</v>
      </c>
      <c r="M1126" t="s">
        <v>60</v>
      </c>
      <c r="N1126" t="s">
        <v>61</v>
      </c>
      <c r="O1126" t="s">
        <v>36</v>
      </c>
      <c r="P1126" t="s">
        <v>32</v>
      </c>
      <c r="Q1126">
        <v>13</v>
      </c>
      <c r="R1126">
        <v>2</v>
      </c>
      <c r="S1126">
        <v>21</v>
      </c>
      <c r="T1126">
        <v>9</v>
      </c>
      <c r="U1126">
        <v>5</v>
      </c>
      <c r="V1126">
        <v>1</v>
      </c>
      <c r="W1126">
        <v>40</v>
      </c>
      <c r="X1126">
        <v>638</v>
      </c>
      <c r="Y1126">
        <v>3142</v>
      </c>
      <c r="Z1126">
        <v>10673</v>
      </c>
      <c r="AA1126">
        <v>5</v>
      </c>
      <c r="AB1126">
        <v>28166</v>
      </c>
      <c r="AC1126" s="10">
        <v>41282</v>
      </c>
      <c r="AD1126" s="10" t="s">
        <v>72</v>
      </c>
      <c r="AE1126" t="s">
        <v>72</v>
      </c>
      <c r="AF1126" t="s">
        <v>45</v>
      </c>
    </row>
    <row r="1127" spans="1:32" x14ac:dyDescent="0.25">
      <c r="A1127">
        <v>889</v>
      </c>
      <c r="B1127">
        <v>32</v>
      </c>
      <c r="C1127" t="s">
        <v>43</v>
      </c>
      <c r="D1127" t="s">
        <v>46</v>
      </c>
      <c r="E1127" t="s">
        <v>56</v>
      </c>
      <c r="F1127" t="s">
        <v>67</v>
      </c>
      <c r="G1127" t="s">
        <v>38</v>
      </c>
      <c r="H1127" t="s">
        <v>37</v>
      </c>
      <c r="I1127" t="s">
        <v>50</v>
      </c>
      <c r="J1127" t="s">
        <v>57</v>
      </c>
      <c r="K1127">
        <v>2</v>
      </c>
      <c r="L1127">
        <v>2</v>
      </c>
      <c r="M1127" t="s">
        <v>48</v>
      </c>
      <c r="N1127" t="s">
        <v>61</v>
      </c>
      <c r="O1127" t="s">
        <v>36</v>
      </c>
      <c r="P1127" t="s">
        <v>43</v>
      </c>
      <c r="Q1127">
        <v>14</v>
      </c>
      <c r="R1127">
        <v>1</v>
      </c>
      <c r="S1127">
        <v>10</v>
      </c>
      <c r="T1127">
        <v>5</v>
      </c>
      <c r="U1127">
        <v>3</v>
      </c>
      <c r="V1127">
        <v>5</v>
      </c>
      <c r="W1127">
        <v>48</v>
      </c>
      <c r="X1127">
        <v>379</v>
      </c>
      <c r="Y1127">
        <v>8891</v>
      </c>
      <c r="Z1127">
        <v>6524</v>
      </c>
      <c r="AA1127">
        <v>3</v>
      </c>
      <c r="AB1127">
        <v>33222</v>
      </c>
      <c r="AC1127" s="10">
        <v>41323</v>
      </c>
      <c r="AD1127" s="10" t="s">
        <v>72</v>
      </c>
      <c r="AE1127" t="s">
        <v>72</v>
      </c>
      <c r="AF1127" t="s">
        <v>45</v>
      </c>
    </row>
    <row r="1128" spans="1:32" x14ac:dyDescent="0.25">
      <c r="A1128">
        <v>1596</v>
      </c>
      <c r="B1128">
        <v>35</v>
      </c>
      <c r="C1128" t="s">
        <v>43</v>
      </c>
      <c r="D1128" t="s">
        <v>33</v>
      </c>
      <c r="E1128" t="s">
        <v>34</v>
      </c>
      <c r="F1128" t="s">
        <v>49</v>
      </c>
      <c r="G1128" t="s">
        <v>38</v>
      </c>
      <c r="H1128" t="s">
        <v>37</v>
      </c>
      <c r="I1128" t="s">
        <v>59</v>
      </c>
      <c r="J1128" t="s">
        <v>51</v>
      </c>
      <c r="K1128">
        <v>3</v>
      </c>
      <c r="L1128">
        <v>2</v>
      </c>
      <c r="M1128" t="s">
        <v>60</v>
      </c>
      <c r="N1128" t="s">
        <v>61</v>
      </c>
      <c r="O1128" t="s">
        <v>53</v>
      </c>
      <c r="P1128" t="s">
        <v>43</v>
      </c>
      <c r="Q1128">
        <v>17</v>
      </c>
      <c r="R1128">
        <v>1</v>
      </c>
      <c r="S1128">
        <v>10</v>
      </c>
      <c r="T1128">
        <v>6</v>
      </c>
      <c r="U1128">
        <v>8</v>
      </c>
      <c r="V1128">
        <v>28</v>
      </c>
      <c r="W1128">
        <v>46</v>
      </c>
      <c r="X1128">
        <v>750</v>
      </c>
      <c r="Y1128">
        <v>25348</v>
      </c>
      <c r="Z1128">
        <v>3407</v>
      </c>
      <c r="AA1128">
        <v>3</v>
      </c>
      <c r="AB1128">
        <v>32210</v>
      </c>
      <c r="AC1128" s="10">
        <v>41326</v>
      </c>
      <c r="AD1128" s="10" t="s">
        <v>72</v>
      </c>
      <c r="AE1128" t="s">
        <v>72</v>
      </c>
      <c r="AF1128" t="s">
        <v>45</v>
      </c>
    </row>
    <row r="1129" spans="1:32" x14ac:dyDescent="0.25">
      <c r="A1129">
        <v>1472</v>
      </c>
      <c r="B1129">
        <v>53</v>
      </c>
      <c r="C1129" t="s">
        <v>43</v>
      </c>
      <c r="D1129" t="s">
        <v>33</v>
      </c>
      <c r="E1129" t="s">
        <v>34</v>
      </c>
      <c r="F1129" t="s">
        <v>49</v>
      </c>
      <c r="G1129" t="s">
        <v>59</v>
      </c>
      <c r="H1129" t="s">
        <v>37</v>
      </c>
      <c r="I1129" t="s">
        <v>59</v>
      </c>
      <c r="J1129" t="s">
        <v>71</v>
      </c>
      <c r="K1129">
        <v>2</v>
      </c>
      <c r="L1129">
        <v>2</v>
      </c>
      <c r="M1129" t="s">
        <v>60</v>
      </c>
      <c r="N1129" t="s">
        <v>41</v>
      </c>
      <c r="O1129" t="s">
        <v>42</v>
      </c>
      <c r="P1129" t="s">
        <v>43</v>
      </c>
      <c r="Q1129">
        <v>12</v>
      </c>
      <c r="R1129">
        <v>4</v>
      </c>
      <c r="S1129">
        <v>35</v>
      </c>
      <c r="T1129">
        <v>8</v>
      </c>
      <c r="U1129">
        <v>8</v>
      </c>
      <c r="V1129">
        <v>2</v>
      </c>
      <c r="W1129">
        <v>39</v>
      </c>
      <c r="X1129">
        <v>447</v>
      </c>
      <c r="Y1129">
        <v>19764</v>
      </c>
      <c r="Z1129">
        <v>16598</v>
      </c>
      <c r="AA1129">
        <v>2</v>
      </c>
      <c r="AB1129">
        <v>25716</v>
      </c>
      <c r="AC1129" s="10">
        <v>41760</v>
      </c>
      <c r="AD1129" s="10" t="s">
        <v>72</v>
      </c>
      <c r="AE1129" t="s">
        <v>72</v>
      </c>
      <c r="AF1129" t="s">
        <v>45</v>
      </c>
    </row>
    <row r="1130" spans="1:32" x14ac:dyDescent="0.25">
      <c r="A1130">
        <v>1597</v>
      </c>
      <c r="B1130">
        <v>34</v>
      </c>
      <c r="C1130" t="s">
        <v>43</v>
      </c>
      <c r="D1130" t="s">
        <v>46</v>
      </c>
      <c r="E1130" t="s">
        <v>34</v>
      </c>
      <c r="F1130" t="s">
        <v>35</v>
      </c>
      <c r="G1130" t="s">
        <v>59</v>
      </c>
      <c r="H1130" t="s">
        <v>37</v>
      </c>
      <c r="I1130" t="s">
        <v>38</v>
      </c>
      <c r="J1130" t="s">
        <v>62</v>
      </c>
      <c r="K1130">
        <v>3</v>
      </c>
      <c r="L1130">
        <v>2</v>
      </c>
      <c r="M1130" t="s">
        <v>60</v>
      </c>
      <c r="N1130" t="s">
        <v>61</v>
      </c>
      <c r="O1130" t="s">
        <v>36</v>
      </c>
      <c r="P1130" t="s">
        <v>43</v>
      </c>
      <c r="Q1130">
        <v>14</v>
      </c>
      <c r="R1130">
        <v>1</v>
      </c>
      <c r="S1130">
        <v>9</v>
      </c>
      <c r="T1130">
        <v>7</v>
      </c>
      <c r="U1130">
        <v>7</v>
      </c>
      <c r="V1130">
        <v>10</v>
      </c>
      <c r="W1130">
        <v>92</v>
      </c>
      <c r="X1130">
        <v>653</v>
      </c>
      <c r="Y1130">
        <v>15332</v>
      </c>
      <c r="Z1130">
        <v>5063</v>
      </c>
      <c r="AA1130">
        <v>3</v>
      </c>
      <c r="AB1130">
        <v>32549</v>
      </c>
      <c r="AC1130" s="10">
        <v>41848</v>
      </c>
      <c r="AD1130" s="10" t="s">
        <v>72</v>
      </c>
      <c r="AE1130" t="s">
        <v>72</v>
      </c>
      <c r="AF1130" t="s">
        <v>45</v>
      </c>
    </row>
    <row r="1131" spans="1:32" x14ac:dyDescent="0.25">
      <c r="A1131">
        <v>1046</v>
      </c>
      <c r="B1131">
        <v>32</v>
      </c>
      <c r="C1131" t="s">
        <v>43</v>
      </c>
      <c r="D1131" t="s">
        <v>63</v>
      </c>
      <c r="E1131" t="s">
        <v>34</v>
      </c>
      <c r="F1131" t="s">
        <v>35</v>
      </c>
      <c r="G1131" t="s">
        <v>59</v>
      </c>
      <c r="H1131" t="s">
        <v>47</v>
      </c>
      <c r="I1131" t="s">
        <v>50</v>
      </c>
      <c r="J1131" t="s">
        <v>51</v>
      </c>
      <c r="K1131">
        <v>3</v>
      </c>
      <c r="L1131">
        <v>2</v>
      </c>
      <c r="M1131" t="s">
        <v>48</v>
      </c>
      <c r="N1131" t="s">
        <v>41</v>
      </c>
      <c r="O1131" t="s">
        <v>42</v>
      </c>
      <c r="P1131" t="s">
        <v>43</v>
      </c>
      <c r="Q1131">
        <v>12</v>
      </c>
      <c r="R1131">
        <v>9</v>
      </c>
      <c r="S1131">
        <v>10</v>
      </c>
      <c r="T1131">
        <v>7</v>
      </c>
      <c r="U1131">
        <v>7</v>
      </c>
      <c r="V1131">
        <v>29</v>
      </c>
      <c r="W1131">
        <v>69</v>
      </c>
      <c r="X1131">
        <v>1109</v>
      </c>
      <c r="Y1131">
        <v>11135</v>
      </c>
      <c r="Z1131">
        <v>4025</v>
      </c>
      <c r="AA1131">
        <v>2</v>
      </c>
      <c r="AB1131">
        <v>33445</v>
      </c>
      <c r="AC1131" s="10">
        <v>41988</v>
      </c>
      <c r="AD1131" s="10" t="s">
        <v>72</v>
      </c>
      <c r="AE1131" t="s">
        <v>72</v>
      </c>
      <c r="AF1131" t="s">
        <v>45</v>
      </c>
    </row>
    <row r="1132" spans="1:32" x14ac:dyDescent="0.25">
      <c r="A1132">
        <v>982</v>
      </c>
      <c r="B1132">
        <v>30</v>
      </c>
      <c r="C1132" t="s">
        <v>43</v>
      </c>
      <c r="D1132" t="s">
        <v>33</v>
      </c>
      <c r="E1132" t="s">
        <v>56</v>
      </c>
      <c r="F1132" t="s">
        <v>67</v>
      </c>
      <c r="G1132" t="s">
        <v>50</v>
      </c>
      <c r="H1132" t="s">
        <v>37</v>
      </c>
      <c r="I1132" t="s">
        <v>50</v>
      </c>
      <c r="J1132" t="s">
        <v>57</v>
      </c>
      <c r="K1132">
        <v>3</v>
      </c>
      <c r="L1132">
        <v>2</v>
      </c>
      <c r="M1132" t="s">
        <v>58</v>
      </c>
      <c r="N1132" t="s">
        <v>52</v>
      </c>
      <c r="O1132" t="s">
        <v>36</v>
      </c>
      <c r="P1132" t="s">
        <v>43</v>
      </c>
      <c r="Q1132">
        <v>11</v>
      </c>
      <c r="R1132">
        <v>5</v>
      </c>
      <c r="S1132">
        <v>10</v>
      </c>
      <c r="T1132">
        <v>7</v>
      </c>
      <c r="U1132">
        <v>7</v>
      </c>
      <c r="V1132">
        <v>8</v>
      </c>
      <c r="W1132">
        <v>62</v>
      </c>
      <c r="X1132">
        <v>231</v>
      </c>
      <c r="Y1132">
        <v>9977</v>
      </c>
      <c r="Z1132">
        <v>7264</v>
      </c>
      <c r="AA1132">
        <v>2</v>
      </c>
      <c r="AB1132">
        <v>34060</v>
      </c>
      <c r="AC1132" s="10">
        <v>42034</v>
      </c>
      <c r="AD1132" s="10" t="s">
        <v>72</v>
      </c>
      <c r="AE1132" t="s">
        <v>72</v>
      </c>
      <c r="AF1132" t="s">
        <v>45</v>
      </c>
    </row>
    <row r="1133" spans="1:32" x14ac:dyDescent="0.25">
      <c r="A1133">
        <v>1576</v>
      </c>
      <c r="B1133">
        <v>48</v>
      </c>
      <c r="C1133" t="s">
        <v>43</v>
      </c>
      <c r="D1133" t="s">
        <v>33</v>
      </c>
      <c r="E1133" t="s">
        <v>34</v>
      </c>
      <c r="F1133" t="s">
        <v>35</v>
      </c>
      <c r="G1133" t="s">
        <v>50</v>
      </c>
      <c r="H1133" t="s">
        <v>47</v>
      </c>
      <c r="I1133" t="s">
        <v>50</v>
      </c>
      <c r="J1133" t="s">
        <v>39</v>
      </c>
      <c r="K1133">
        <v>1</v>
      </c>
      <c r="L1133">
        <v>1</v>
      </c>
      <c r="M1133" t="s">
        <v>60</v>
      </c>
      <c r="N1133" t="s">
        <v>61</v>
      </c>
      <c r="O1133" t="s">
        <v>36</v>
      </c>
      <c r="P1133" t="s">
        <v>43</v>
      </c>
      <c r="Q1133">
        <v>12</v>
      </c>
      <c r="R1133">
        <v>8</v>
      </c>
      <c r="S1133">
        <v>10</v>
      </c>
      <c r="T1133">
        <v>7</v>
      </c>
      <c r="U1133">
        <v>6</v>
      </c>
      <c r="V1133">
        <v>15</v>
      </c>
      <c r="W1133">
        <v>65</v>
      </c>
      <c r="X1133">
        <v>1108</v>
      </c>
      <c r="Y1133">
        <v>16530</v>
      </c>
      <c r="Z1133">
        <v>2367</v>
      </c>
      <c r="AA1133">
        <v>3</v>
      </c>
      <c r="AB1133">
        <v>27454</v>
      </c>
      <c r="AC1133" s="10">
        <v>42079</v>
      </c>
      <c r="AD1133" s="10" t="s">
        <v>72</v>
      </c>
      <c r="AE1133" t="s">
        <v>72</v>
      </c>
      <c r="AF1133" t="s">
        <v>45</v>
      </c>
    </row>
    <row r="1134" spans="1:32" x14ac:dyDescent="0.25">
      <c r="A1134">
        <v>1618</v>
      </c>
      <c r="B1134">
        <v>39</v>
      </c>
      <c r="C1134" t="s">
        <v>43</v>
      </c>
      <c r="D1134" t="s">
        <v>33</v>
      </c>
      <c r="E1134" t="s">
        <v>34</v>
      </c>
      <c r="F1134" t="s">
        <v>70</v>
      </c>
      <c r="G1134" t="s">
        <v>38</v>
      </c>
      <c r="H1134" t="s">
        <v>37</v>
      </c>
      <c r="I1134" t="s">
        <v>50</v>
      </c>
      <c r="J1134" t="s">
        <v>65</v>
      </c>
      <c r="K1134">
        <v>1</v>
      </c>
      <c r="L1134">
        <v>2</v>
      </c>
      <c r="M1134" t="s">
        <v>48</v>
      </c>
      <c r="N1134" t="s">
        <v>61</v>
      </c>
      <c r="O1134" t="s">
        <v>50</v>
      </c>
      <c r="P1134" t="s">
        <v>43</v>
      </c>
      <c r="Q1134">
        <v>13</v>
      </c>
      <c r="R1134">
        <v>2</v>
      </c>
      <c r="S1134">
        <v>10</v>
      </c>
      <c r="T1134">
        <v>7</v>
      </c>
      <c r="U1134">
        <v>7</v>
      </c>
      <c r="V1134">
        <v>10</v>
      </c>
      <c r="W1134">
        <v>76</v>
      </c>
      <c r="X1134">
        <v>1387</v>
      </c>
      <c r="Y1134">
        <v>3835</v>
      </c>
      <c r="Z1134">
        <v>5377</v>
      </c>
      <c r="AA1134">
        <v>3</v>
      </c>
      <c r="AB1134">
        <v>30760</v>
      </c>
      <c r="AC1134" s="10">
        <v>42305</v>
      </c>
      <c r="AD1134" s="10" t="s">
        <v>72</v>
      </c>
      <c r="AE1134" t="s">
        <v>72</v>
      </c>
      <c r="AF1134" t="s">
        <v>45</v>
      </c>
    </row>
    <row r="1135" spans="1:32" x14ac:dyDescent="0.25">
      <c r="A1135">
        <v>1152</v>
      </c>
      <c r="B1135">
        <v>38</v>
      </c>
      <c r="C1135" t="s">
        <v>43</v>
      </c>
      <c r="D1135" t="s">
        <v>33</v>
      </c>
      <c r="E1135" t="s">
        <v>68</v>
      </c>
      <c r="F1135" t="s">
        <v>49</v>
      </c>
      <c r="G1135" t="s">
        <v>50</v>
      </c>
      <c r="H1135" t="s">
        <v>37</v>
      </c>
      <c r="I1135" t="s">
        <v>59</v>
      </c>
      <c r="J1135" t="s">
        <v>68</v>
      </c>
      <c r="K1135">
        <v>3</v>
      </c>
      <c r="L1135">
        <v>2</v>
      </c>
      <c r="M1135" t="s">
        <v>58</v>
      </c>
      <c r="N1135" t="s">
        <v>61</v>
      </c>
      <c r="O1135" t="s">
        <v>36</v>
      </c>
      <c r="P1135" t="s">
        <v>43</v>
      </c>
      <c r="Q1135">
        <v>13</v>
      </c>
      <c r="R1135">
        <v>1</v>
      </c>
      <c r="S1135">
        <v>7</v>
      </c>
      <c r="T1135">
        <v>5</v>
      </c>
      <c r="U1135">
        <v>0</v>
      </c>
      <c r="V1135">
        <v>1</v>
      </c>
      <c r="W1135">
        <v>37</v>
      </c>
      <c r="X1135">
        <v>433</v>
      </c>
      <c r="Y1135">
        <v>6004</v>
      </c>
      <c r="Z1135">
        <v>2844</v>
      </c>
      <c r="AA1135">
        <v>2</v>
      </c>
      <c r="AB1135">
        <v>31162</v>
      </c>
      <c r="AC1135" s="10">
        <v>42315</v>
      </c>
      <c r="AD1135" s="10" t="s">
        <v>72</v>
      </c>
      <c r="AE1135" t="s">
        <v>72</v>
      </c>
      <c r="AF1135" t="s">
        <v>45</v>
      </c>
    </row>
    <row r="1136" spans="1:32" x14ac:dyDescent="0.25">
      <c r="A1136">
        <v>199</v>
      </c>
      <c r="B1136">
        <v>41</v>
      </c>
      <c r="C1136" t="s">
        <v>43</v>
      </c>
      <c r="D1136" t="s">
        <v>46</v>
      </c>
      <c r="E1136" t="s">
        <v>34</v>
      </c>
      <c r="F1136" t="s">
        <v>49</v>
      </c>
      <c r="G1136" t="s">
        <v>59</v>
      </c>
      <c r="H1136" t="s">
        <v>37</v>
      </c>
      <c r="I1136" t="s">
        <v>38</v>
      </c>
      <c r="J1136" t="s">
        <v>69</v>
      </c>
      <c r="K1136">
        <v>1</v>
      </c>
      <c r="L1136">
        <v>1</v>
      </c>
      <c r="M1136" t="s">
        <v>60</v>
      </c>
      <c r="N1136" t="s">
        <v>52</v>
      </c>
      <c r="O1136" t="s">
        <v>36</v>
      </c>
      <c r="P1136" t="s">
        <v>43</v>
      </c>
      <c r="Q1136">
        <v>13</v>
      </c>
      <c r="R1136">
        <v>4</v>
      </c>
      <c r="S1136">
        <v>21</v>
      </c>
      <c r="T1136">
        <v>3</v>
      </c>
      <c r="U1136">
        <v>6</v>
      </c>
      <c r="V1136">
        <v>10</v>
      </c>
      <c r="W1136">
        <v>91</v>
      </c>
      <c r="X1136">
        <v>857</v>
      </c>
      <c r="Y1136">
        <v>12888</v>
      </c>
      <c r="Z1136">
        <v>17181</v>
      </c>
      <c r="AA1136">
        <v>2</v>
      </c>
      <c r="AB1136">
        <v>29825</v>
      </c>
      <c r="AC1136" s="10">
        <v>42421</v>
      </c>
      <c r="AD1136" s="10" t="s">
        <v>72</v>
      </c>
      <c r="AE1136" t="s">
        <v>72</v>
      </c>
      <c r="AF1136" t="s">
        <v>45</v>
      </c>
    </row>
    <row r="1137" spans="1:32" x14ac:dyDescent="0.25">
      <c r="A1137">
        <v>1314</v>
      </c>
      <c r="B1137">
        <v>46</v>
      </c>
      <c r="C1137" t="s">
        <v>43</v>
      </c>
      <c r="D1137" t="s">
        <v>33</v>
      </c>
      <c r="E1137" t="s">
        <v>68</v>
      </c>
      <c r="F1137" t="s">
        <v>67</v>
      </c>
      <c r="G1137" t="s">
        <v>59</v>
      </c>
      <c r="H1137" t="s">
        <v>47</v>
      </c>
      <c r="I1137" t="s">
        <v>50</v>
      </c>
      <c r="J1137" t="s">
        <v>68</v>
      </c>
      <c r="K1137">
        <v>1</v>
      </c>
      <c r="L1137">
        <v>2</v>
      </c>
      <c r="M1137" t="s">
        <v>58</v>
      </c>
      <c r="N1137" t="s">
        <v>41</v>
      </c>
      <c r="O1137" t="s">
        <v>42</v>
      </c>
      <c r="P1137" t="s">
        <v>43</v>
      </c>
      <c r="Q1137">
        <v>12</v>
      </c>
      <c r="R1137">
        <v>6</v>
      </c>
      <c r="S1137">
        <v>10</v>
      </c>
      <c r="T1137">
        <v>5</v>
      </c>
      <c r="U1137">
        <v>4</v>
      </c>
      <c r="V1137">
        <v>1</v>
      </c>
      <c r="W1137">
        <v>44</v>
      </c>
      <c r="X1137">
        <v>991</v>
      </c>
      <c r="Y1137">
        <v>22957</v>
      </c>
      <c r="Z1137">
        <v>3423</v>
      </c>
      <c r="AA1137">
        <v>3</v>
      </c>
      <c r="AB1137">
        <v>28335</v>
      </c>
      <c r="AC1137" s="10">
        <v>42482</v>
      </c>
      <c r="AD1137" s="10" t="s">
        <v>72</v>
      </c>
      <c r="AE1137" t="s">
        <v>72</v>
      </c>
      <c r="AF1137" t="s">
        <v>45</v>
      </c>
    </row>
    <row r="1138" spans="1:32" x14ac:dyDescent="0.25">
      <c r="A1138">
        <v>888</v>
      </c>
      <c r="B1138">
        <v>24</v>
      </c>
      <c r="C1138" t="s">
        <v>43</v>
      </c>
      <c r="D1138" t="s">
        <v>63</v>
      </c>
      <c r="E1138" t="s">
        <v>34</v>
      </c>
      <c r="F1138" t="s">
        <v>64</v>
      </c>
      <c r="G1138" t="s">
        <v>36</v>
      </c>
      <c r="H1138" t="s">
        <v>37</v>
      </c>
      <c r="I1138" t="s">
        <v>38</v>
      </c>
      <c r="J1138" t="s">
        <v>51</v>
      </c>
      <c r="K1138">
        <v>4</v>
      </c>
      <c r="L1138">
        <v>2</v>
      </c>
      <c r="M1138" t="s">
        <v>60</v>
      </c>
      <c r="N1138" t="s">
        <v>61</v>
      </c>
      <c r="O1138" t="s">
        <v>42</v>
      </c>
      <c r="P1138" t="s">
        <v>43</v>
      </c>
      <c r="Q1138">
        <v>17</v>
      </c>
      <c r="R1138">
        <v>0</v>
      </c>
      <c r="S1138">
        <v>6</v>
      </c>
      <c r="T1138">
        <v>3</v>
      </c>
      <c r="U1138">
        <v>4</v>
      </c>
      <c r="V1138">
        <v>4</v>
      </c>
      <c r="W1138">
        <v>46</v>
      </c>
      <c r="X1138">
        <v>1269</v>
      </c>
      <c r="Y1138">
        <v>10778</v>
      </c>
      <c r="Z1138">
        <v>3162</v>
      </c>
      <c r="AA1138">
        <v>2</v>
      </c>
      <c r="AB1138">
        <v>36304</v>
      </c>
      <c r="AC1138" s="10">
        <v>43199</v>
      </c>
      <c r="AD1138" s="10" t="s">
        <v>72</v>
      </c>
      <c r="AE1138" t="s">
        <v>72</v>
      </c>
      <c r="AF1138" t="s">
        <v>55</v>
      </c>
    </row>
    <row r="1139" spans="1:32" x14ac:dyDescent="0.25">
      <c r="A1139">
        <v>277</v>
      </c>
      <c r="B1139">
        <v>34</v>
      </c>
      <c r="C1139" t="s">
        <v>43</v>
      </c>
      <c r="D1139" t="s">
        <v>46</v>
      </c>
      <c r="E1139" t="s">
        <v>34</v>
      </c>
      <c r="F1139" t="s">
        <v>35</v>
      </c>
      <c r="G1139" t="s">
        <v>59</v>
      </c>
      <c r="H1139" t="s">
        <v>37</v>
      </c>
      <c r="I1139" t="s">
        <v>50</v>
      </c>
      <c r="J1139" t="s">
        <v>39</v>
      </c>
      <c r="K1139">
        <v>3</v>
      </c>
      <c r="L1139">
        <v>2</v>
      </c>
      <c r="M1139" t="s">
        <v>58</v>
      </c>
      <c r="N1139" t="s">
        <v>52</v>
      </c>
      <c r="O1139" t="s">
        <v>36</v>
      </c>
      <c r="P1139" t="s">
        <v>32</v>
      </c>
      <c r="Q1139">
        <v>17</v>
      </c>
      <c r="R1139">
        <v>1</v>
      </c>
      <c r="S1139">
        <v>5</v>
      </c>
      <c r="T1139">
        <v>2</v>
      </c>
      <c r="U1139">
        <v>0</v>
      </c>
      <c r="V1139">
        <v>10</v>
      </c>
      <c r="W1139">
        <v>43</v>
      </c>
      <c r="X1139">
        <v>878</v>
      </c>
      <c r="Y1139">
        <v>5972</v>
      </c>
      <c r="Z1139">
        <v>3815</v>
      </c>
      <c r="AA1139">
        <v>4</v>
      </c>
      <c r="AB1139">
        <v>32618</v>
      </c>
      <c r="AC1139" s="10">
        <v>43219</v>
      </c>
      <c r="AD1139" s="10" t="s">
        <v>72</v>
      </c>
      <c r="AE1139" t="s">
        <v>72</v>
      </c>
      <c r="AF1139" t="s">
        <v>45</v>
      </c>
    </row>
    <row r="1140" spans="1:32" x14ac:dyDescent="0.25">
      <c r="A1140">
        <v>1191</v>
      </c>
      <c r="B1140">
        <v>56</v>
      </c>
      <c r="C1140" t="s">
        <v>43</v>
      </c>
      <c r="D1140" t="s">
        <v>33</v>
      </c>
      <c r="E1140" t="s">
        <v>34</v>
      </c>
      <c r="F1140" t="s">
        <v>35</v>
      </c>
      <c r="G1140" t="s">
        <v>59</v>
      </c>
      <c r="H1140" t="s">
        <v>47</v>
      </c>
      <c r="I1140" t="s">
        <v>50</v>
      </c>
      <c r="J1140" t="s">
        <v>69</v>
      </c>
      <c r="K1140">
        <v>1</v>
      </c>
      <c r="L1140">
        <v>2</v>
      </c>
      <c r="M1140" t="s">
        <v>48</v>
      </c>
      <c r="N1140" t="s">
        <v>52</v>
      </c>
      <c r="O1140" t="s">
        <v>36</v>
      </c>
      <c r="P1140" t="s">
        <v>43</v>
      </c>
      <c r="Q1140">
        <v>13</v>
      </c>
      <c r="R1140">
        <v>4</v>
      </c>
      <c r="S1140">
        <v>28</v>
      </c>
      <c r="T1140">
        <v>4</v>
      </c>
      <c r="U1140">
        <v>2</v>
      </c>
      <c r="V1140">
        <v>4</v>
      </c>
      <c r="W1140">
        <v>92</v>
      </c>
      <c r="X1140">
        <v>718</v>
      </c>
      <c r="Y1140">
        <v>18575</v>
      </c>
      <c r="Z1140">
        <v>19943</v>
      </c>
      <c r="AA1140">
        <v>2</v>
      </c>
      <c r="AB1140">
        <v>24598</v>
      </c>
      <c r="AC1140" s="10">
        <v>43263</v>
      </c>
      <c r="AD1140" s="10" t="s">
        <v>72</v>
      </c>
      <c r="AE1140" t="s">
        <v>72</v>
      </c>
      <c r="AF1140" t="s">
        <v>45</v>
      </c>
    </row>
    <row r="1141" spans="1:32" x14ac:dyDescent="0.25">
      <c r="A1141">
        <v>1391</v>
      </c>
      <c r="B1141">
        <v>51</v>
      </c>
      <c r="C1141" t="s">
        <v>43</v>
      </c>
      <c r="D1141" t="s">
        <v>46</v>
      </c>
      <c r="E1141" t="s">
        <v>56</v>
      </c>
      <c r="F1141" t="s">
        <v>49</v>
      </c>
      <c r="G1141" t="s">
        <v>38</v>
      </c>
      <c r="H1141" t="s">
        <v>37</v>
      </c>
      <c r="I1141" t="s">
        <v>50</v>
      </c>
      <c r="J1141" t="s">
        <v>57</v>
      </c>
      <c r="K1141">
        <v>2</v>
      </c>
      <c r="L1141">
        <v>1</v>
      </c>
      <c r="M1141" t="s">
        <v>48</v>
      </c>
      <c r="N1141" t="s">
        <v>61</v>
      </c>
      <c r="O1141" t="s">
        <v>42</v>
      </c>
      <c r="P1141" t="s">
        <v>43</v>
      </c>
      <c r="Q1141">
        <v>11</v>
      </c>
      <c r="R1141">
        <v>2</v>
      </c>
      <c r="S1141">
        <v>14</v>
      </c>
      <c r="T1141">
        <v>3</v>
      </c>
      <c r="U1141">
        <v>2</v>
      </c>
      <c r="V1141">
        <v>2</v>
      </c>
      <c r="W1141">
        <v>52</v>
      </c>
      <c r="X1141">
        <v>541</v>
      </c>
      <c r="Y1141">
        <v>15395</v>
      </c>
      <c r="Z1141">
        <v>10596</v>
      </c>
      <c r="AA1141">
        <v>5</v>
      </c>
      <c r="AB1141">
        <v>26421</v>
      </c>
      <c r="AC1141" s="10">
        <v>43606</v>
      </c>
      <c r="AD1141" s="10" t="s">
        <v>72</v>
      </c>
      <c r="AE1141" t="s">
        <v>72</v>
      </c>
      <c r="AF1141" t="s">
        <v>45</v>
      </c>
    </row>
    <row r="1142" spans="1:32" x14ac:dyDescent="0.25">
      <c r="A1142">
        <v>1833</v>
      </c>
      <c r="B1142">
        <v>31</v>
      </c>
      <c r="C1142" t="s">
        <v>43</v>
      </c>
      <c r="D1142" t="s">
        <v>46</v>
      </c>
      <c r="E1142" t="s">
        <v>56</v>
      </c>
      <c r="F1142" t="s">
        <v>35</v>
      </c>
      <c r="G1142" t="s">
        <v>36</v>
      </c>
      <c r="H1142" t="s">
        <v>47</v>
      </c>
      <c r="I1142" t="s">
        <v>50</v>
      </c>
      <c r="J1142" t="s">
        <v>57</v>
      </c>
      <c r="K1142">
        <v>1</v>
      </c>
      <c r="L1142">
        <v>2</v>
      </c>
      <c r="M1142" t="s">
        <v>48</v>
      </c>
      <c r="N1142" t="s">
        <v>61</v>
      </c>
      <c r="O1142" t="s">
        <v>53</v>
      </c>
      <c r="P1142" t="s">
        <v>43</v>
      </c>
      <c r="Q1142">
        <v>14</v>
      </c>
      <c r="R1142">
        <v>2</v>
      </c>
      <c r="S1142">
        <v>9</v>
      </c>
      <c r="T1142">
        <v>2</v>
      </c>
      <c r="U1142">
        <v>2</v>
      </c>
      <c r="V1142">
        <v>7</v>
      </c>
      <c r="W1142">
        <v>68</v>
      </c>
      <c r="X1142">
        <v>1125</v>
      </c>
      <c r="Y1142">
        <v>8277</v>
      </c>
      <c r="Z1142">
        <v>9637</v>
      </c>
      <c r="AA1142">
        <v>3</v>
      </c>
      <c r="AB1142">
        <v>33551</v>
      </c>
      <c r="AC1142" s="10">
        <v>43992</v>
      </c>
      <c r="AD1142" s="10" t="s">
        <v>72</v>
      </c>
      <c r="AE1142" t="s">
        <v>72</v>
      </c>
      <c r="AF1142" t="s">
        <v>45</v>
      </c>
    </row>
    <row r="1143" spans="1:32" x14ac:dyDescent="0.25">
      <c r="A1143">
        <v>1479</v>
      </c>
      <c r="B1143">
        <v>30</v>
      </c>
      <c r="C1143" t="s">
        <v>43</v>
      </c>
      <c r="D1143" t="s">
        <v>33</v>
      </c>
      <c r="E1143" t="s">
        <v>56</v>
      </c>
      <c r="F1143" t="s">
        <v>64</v>
      </c>
      <c r="G1143" t="s">
        <v>59</v>
      </c>
      <c r="H1143" t="s">
        <v>37</v>
      </c>
      <c r="I1143" t="s">
        <v>50</v>
      </c>
      <c r="J1143" t="s">
        <v>57</v>
      </c>
      <c r="K1143">
        <v>3</v>
      </c>
      <c r="L1143">
        <v>1</v>
      </c>
      <c r="M1143" t="s">
        <v>60</v>
      </c>
      <c r="N1143" t="s">
        <v>61</v>
      </c>
      <c r="O1143" t="s">
        <v>53</v>
      </c>
      <c r="P1143" t="s">
        <v>43</v>
      </c>
      <c r="Q1143">
        <v>15</v>
      </c>
      <c r="R1143">
        <v>8</v>
      </c>
      <c r="S1143">
        <v>4</v>
      </c>
      <c r="T1143">
        <v>2</v>
      </c>
      <c r="U1143">
        <v>2</v>
      </c>
      <c r="V1143">
        <v>16</v>
      </c>
      <c r="W1143">
        <v>96</v>
      </c>
      <c r="X1143">
        <v>1358</v>
      </c>
      <c r="Y1143">
        <v>2939</v>
      </c>
      <c r="Z1143">
        <v>5301</v>
      </c>
      <c r="AA1143">
        <v>2</v>
      </c>
      <c r="AB1143">
        <v>33856</v>
      </c>
      <c r="AC1143" s="10">
        <v>44058</v>
      </c>
      <c r="AD1143" s="10" t="s">
        <v>72</v>
      </c>
      <c r="AE1143" t="s">
        <v>72</v>
      </c>
      <c r="AF1143" t="s">
        <v>45</v>
      </c>
    </row>
    <row r="1144" spans="1:32" x14ac:dyDescent="0.25">
      <c r="A1144">
        <v>738</v>
      </c>
      <c r="B1144">
        <v>50</v>
      </c>
      <c r="C1144" t="s">
        <v>43</v>
      </c>
      <c r="D1144" t="s">
        <v>33</v>
      </c>
      <c r="E1144" t="s">
        <v>56</v>
      </c>
      <c r="F1144" t="s">
        <v>35</v>
      </c>
      <c r="G1144" t="s">
        <v>59</v>
      </c>
      <c r="H1144" t="s">
        <v>37</v>
      </c>
      <c r="I1144" t="s">
        <v>50</v>
      </c>
      <c r="J1144" t="s">
        <v>66</v>
      </c>
      <c r="K1144">
        <v>2</v>
      </c>
      <c r="L1144">
        <v>2</v>
      </c>
      <c r="M1144" t="s">
        <v>48</v>
      </c>
      <c r="N1144" t="s">
        <v>61</v>
      </c>
      <c r="O1144" t="s">
        <v>36</v>
      </c>
      <c r="P1144" t="s">
        <v>43</v>
      </c>
      <c r="Q1144">
        <v>15</v>
      </c>
      <c r="R1144">
        <v>7</v>
      </c>
      <c r="S1144">
        <v>4</v>
      </c>
      <c r="T1144">
        <v>2</v>
      </c>
      <c r="U1144">
        <v>2</v>
      </c>
      <c r="V1144">
        <v>8</v>
      </c>
      <c r="W1144">
        <v>54</v>
      </c>
      <c r="X1144">
        <v>316</v>
      </c>
      <c r="Y1144">
        <v>9983</v>
      </c>
      <c r="Z1144">
        <v>3875</v>
      </c>
      <c r="AA1144">
        <v>2</v>
      </c>
      <c r="AB1144">
        <v>26531</v>
      </c>
      <c r="AC1144" s="10">
        <v>44065</v>
      </c>
      <c r="AD1144" s="10" t="s">
        <v>72</v>
      </c>
      <c r="AE1144" t="s">
        <v>72</v>
      </c>
      <c r="AF1144" t="s">
        <v>45</v>
      </c>
    </row>
    <row r="1145" spans="1:32" x14ac:dyDescent="0.25">
      <c r="A1145">
        <v>1560</v>
      </c>
      <c r="B1145">
        <v>33</v>
      </c>
      <c r="C1145" t="s">
        <v>43</v>
      </c>
      <c r="D1145" t="s">
        <v>33</v>
      </c>
      <c r="E1145" t="s">
        <v>56</v>
      </c>
      <c r="F1145" t="s">
        <v>35</v>
      </c>
      <c r="G1145" t="s">
        <v>36</v>
      </c>
      <c r="H1145" t="s">
        <v>37</v>
      </c>
      <c r="I1145" t="s">
        <v>50</v>
      </c>
      <c r="J1145" t="s">
        <v>57</v>
      </c>
      <c r="K1145">
        <v>1</v>
      </c>
      <c r="L1145">
        <v>1</v>
      </c>
      <c r="M1145" t="s">
        <v>40</v>
      </c>
      <c r="N1145" t="s">
        <v>61</v>
      </c>
      <c r="O1145" t="s">
        <v>36</v>
      </c>
      <c r="P1145" t="s">
        <v>43</v>
      </c>
      <c r="Q1145">
        <v>13</v>
      </c>
      <c r="R1145">
        <v>2</v>
      </c>
      <c r="S1145">
        <v>8</v>
      </c>
      <c r="T1145">
        <v>2</v>
      </c>
      <c r="U1145">
        <v>2</v>
      </c>
      <c r="V1145">
        <v>8</v>
      </c>
      <c r="W1145">
        <v>46</v>
      </c>
      <c r="X1145">
        <v>1242</v>
      </c>
      <c r="Y1145">
        <v>10589</v>
      </c>
      <c r="Z1145">
        <v>6392</v>
      </c>
      <c r="AA1145">
        <v>6</v>
      </c>
      <c r="AB1145">
        <v>33079</v>
      </c>
      <c r="AC1145" s="10">
        <v>44108</v>
      </c>
      <c r="AD1145" s="10" t="s">
        <v>72</v>
      </c>
      <c r="AE1145" t="s">
        <v>72</v>
      </c>
      <c r="AF1145" t="s">
        <v>45</v>
      </c>
    </row>
    <row r="1146" spans="1:32" x14ac:dyDescent="0.25">
      <c r="A1146">
        <v>475</v>
      </c>
      <c r="B1146">
        <v>30</v>
      </c>
      <c r="C1146" t="s">
        <v>43</v>
      </c>
      <c r="D1146" t="s">
        <v>63</v>
      </c>
      <c r="E1146" t="s">
        <v>56</v>
      </c>
      <c r="F1146" t="s">
        <v>67</v>
      </c>
      <c r="G1146" t="s">
        <v>59</v>
      </c>
      <c r="H1146" t="s">
        <v>47</v>
      </c>
      <c r="I1146" t="s">
        <v>50</v>
      </c>
      <c r="J1146" t="s">
        <v>57</v>
      </c>
      <c r="K1146">
        <v>3</v>
      </c>
      <c r="L1146">
        <v>1</v>
      </c>
      <c r="M1146" t="s">
        <v>58</v>
      </c>
      <c r="N1146" t="s">
        <v>61</v>
      </c>
      <c r="O1146" t="s">
        <v>36</v>
      </c>
      <c r="P1146" t="s">
        <v>32</v>
      </c>
      <c r="Q1146">
        <v>12</v>
      </c>
      <c r="R1146">
        <v>7</v>
      </c>
      <c r="S1146">
        <v>4</v>
      </c>
      <c r="T1146">
        <v>2</v>
      </c>
      <c r="U1146">
        <v>2</v>
      </c>
      <c r="V1146">
        <v>25</v>
      </c>
      <c r="W1146">
        <v>85</v>
      </c>
      <c r="X1146">
        <v>641</v>
      </c>
      <c r="Y1146">
        <v>6069</v>
      </c>
      <c r="Z1146">
        <v>4736</v>
      </c>
      <c r="AA1146">
        <v>2</v>
      </c>
      <c r="AB1146">
        <v>33938</v>
      </c>
      <c r="AC1146" s="10">
        <v>44128</v>
      </c>
      <c r="AD1146" s="10" t="s">
        <v>72</v>
      </c>
      <c r="AE1146" t="s">
        <v>72</v>
      </c>
      <c r="AF1146" t="s">
        <v>55</v>
      </c>
    </row>
    <row r="1147" spans="1:32" x14ac:dyDescent="0.25">
      <c r="A1147">
        <v>329</v>
      </c>
      <c r="B1147">
        <v>52</v>
      </c>
      <c r="C1147" t="s">
        <v>43</v>
      </c>
      <c r="D1147" t="s">
        <v>63</v>
      </c>
      <c r="E1147" t="s">
        <v>56</v>
      </c>
      <c r="F1147" t="s">
        <v>35</v>
      </c>
      <c r="G1147" t="s">
        <v>36</v>
      </c>
      <c r="H1147" t="s">
        <v>37</v>
      </c>
      <c r="I1147" t="s">
        <v>38</v>
      </c>
      <c r="J1147" t="s">
        <v>69</v>
      </c>
      <c r="K1147">
        <v>3</v>
      </c>
      <c r="L1147">
        <v>3</v>
      </c>
      <c r="M1147" t="s">
        <v>58</v>
      </c>
      <c r="N1147" t="s">
        <v>41</v>
      </c>
      <c r="O1147" t="s">
        <v>42</v>
      </c>
      <c r="P1147" t="s">
        <v>32</v>
      </c>
      <c r="Q1147">
        <v>18</v>
      </c>
      <c r="R1147">
        <v>1</v>
      </c>
      <c r="S1147">
        <v>33</v>
      </c>
      <c r="T1147">
        <v>15</v>
      </c>
      <c r="U1147">
        <v>12</v>
      </c>
      <c r="V1147">
        <v>2</v>
      </c>
      <c r="W1147">
        <v>79</v>
      </c>
      <c r="X1147">
        <v>771</v>
      </c>
      <c r="Y1147">
        <v>21030</v>
      </c>
      <c r="Z1147">
        <v>19068</v>
      </c>
      <c r="AA1147">
        <v>2</v>
      </c>
      <c r="AB1147">
        <v>25851</v>
      </c>
      <c r="AC1147" s="10">
        <v>32860</v>
      </c>
      <c r="AD1147" s="10" t="s">
        <v>72</v>
      </c>
      <c r="AE1147" t="s">
        <v>72</v>
      </c>
      <c r="AF1147" t="s">
        <v>45</v>
      </c>
    </row>
    <row r="1148" spans="1:32" x14ac:dyDescent="0.25">
      <c r="A1148">
        <v>1539</v>
      </c>
      <c r="B1148">
        <v>50</v>
      </c>
      <c r="C1148" t="s">
        <v>43</v>
      </c>
      <c r="D1148" t="s">
        <v>46</v>
      </c>
      <c r="E1148" t="s">
        <v>34</v>
      </c>
      <c r="F1148" t="s">
        <v>70</v>
      </c>
      <c r="G1148" t="s">
        <v>50</v>
      </c>
      <c r="H1148" t="s">
        <v>37</v>
      </c>
      <c r="I1148" t="s">
        <v>36</v>
      </c>
      <c r="J1148" t="s">
        <v>71</v>
      </c>
      <c r="K1148">
        <v>4</v>
      </c>
      <c r="L1148">
        <v>3</v>
      </c>
      <c r="M1148" t="s">
        <v>48</v>
      </c>
      <c r="N1148" t="s">
        <v>41</v>
      </c>
      <c r="O1148" t="s">
        <v>42</v>
      </c>
      <c r="P1148" t="s">
        <v>32</v>
      </c>
      <c r="Q1148">
        <v>13</v>
      </c>
      <c r="R1148">
        <v>1</v>
      </c>
      <c r="S1148">
        <v>32</v>
      </c>
      <c r="T1148">
        <v>13</v>
      </c>
      <c r="U1148">
        <v>9</v>
      </c>
      <c r="V1148">
        <v>22</v>
      </c>
      <c r="W1148">
        <v>88</v>
      </c>
      <c r="X1148">
        <v>333</v>
      </c>
      <c r="Y1148">
        <v>24450</v>
      </c>
      <c r="Z1148">
        <v>14411</v>
      </c>
      <c r="AA1148">
        <v>2</v>
      </c>
      <c r="AB1148">
        <v>26837</v>
      </c>
      <c r="AC1148" s="10">
        <v>33107</v>
      </c>
      <c r="AD1148" s="10" t="s">
        <v>72</v>
      </c>
      <c r="AE1148" t="s">
        <v>72</v>
      </c>
      <c r="AF1148" t="s">
        <v>45</v>
      </c>
    </row>
    <row r="1149" spans="1:32" x14ac:dyDescent="0.25">
      <c r="A1149">
        <v>644</v>
      </c>
      <c r="B1149">
        <v>50</v>
      </c>
      <c r="C1149" t="s">
        <v>43</v>
      </c>
      <c r="D1149" t="s">
        <v>46</v>
      </c>
      <c r="E1149" t="s">
        <v>68</v>
      </c>
      <c r="F1149" t="s">
        <v>49</v>
      </c>
      <c r="G1149" t="s">
        <v>36</v>
      </c>
      <c r="H1149" t="s">
        <v>37</v>
      </c>
      <c r="I1149" t="s">
        <v>50</v>
      </c>
      <c r="J1149" t="s">
        <v>69</v>
      </c>
      <c r="K1149">
        <v>2</v>
      </c>
      <c r="L1149">
        <v>3</v>
      </c>
      <c r="M1149" t="s">
        <v>48</v>
      </c>
      <c r="N1149" t="s">
        <v>61</v>
      </c>
      <c r="O1149" t="s">
        <v>36</v>
      </c>
      <c r="P1149" t="s">
        <v>43</v>
      </c>
      <c r="Q1149">
        <v>11</v>
      </c>
      <c r="R1149">
        <v>1</v>
      </c>
      <c r="S1149">
        <v>32</v>
      </c>
      <c r="T1149">
        <v>10</v>
      </c>
      <c r="U1149">
        <v>7</v>
      </c>
      <c r="V1149">
        <v>3</v>
      </c>
      <c r="W1149">
        <v>99</v>
      </c>
      <c r="X1149">
        <v>1246</v>
      </c>
      <c r="Y1149">
        <v>7999</v>
      </c>
      <c r="Z1149">
        <v>18200</v>
      </c>
      <c r="AA1149">
        <v>2</v>
      </c>
      <c r="AB1149">
        <v>26766</v>
      </c>
      <c r="AC1149" s="10">
        <v>33143</v>
      </c>
      <c r="AD1149" s="10" t="s">
        <v>72</v>
      </c>
      <c r="AE1149" t="s">
        <v>72</v>
      </c>
      <c r="AF1149" t="s">
        <v>45</v>
      </c>
    </row>
    <row r="1150" spans="1:32" x14ac:dyDescent="0.25">
      <c r="A1150">
        <v>1606</v>
      </c>
      <c r="B1150">
        <v>50</v>
      </c>
      <c r="C1150" t="s">
        <v>43</v>
      </c>
      <c r="D1150" t="s">
        <v>46</v>
      </c>
      <c r="E1150" t="s">
        <v>34</v>
      </c>
      <c r="F1150" t="s">
        <v>70</v>
      </c>
      <c r="G1150" t="s">
        <v>38</v>
      </c>
      <c r="H1150" t="s">
        <v>37</v>
      </c>
      <c r="I1150" t="s">
        <v>50</v>
      </c>
      <c r="J1150" t="s">
        <v>62</v>
      </c>
      <c r="K1150">
        <v>3</v>
      </c>
      <c r="L1150">
        <v>3</v>
      </c>
      <c r="M1150" t="s">
        <v>48</v>
      </c>
      <c r="N1150" t="s">
        <v>61</v>
      </c>
      <c r="O1150" t="s">
        <v>36</v>
      </c>
      <c r="P1150" t="s">
        <v>32</v>
      </c>
      <c r="Q1150">
        <v>15</v>
      </c>
      <c r="R1150">
        <v>2</v>
      </c>
      <c r="S1150">
        <v>32</v>
      </c>
      <c r="T1150">
        <v>12</v>
      </c>
      <c r="U1150">
        <v>13</v>
      </c>
      <c r="V1150">
        <v>20</v>
      </c>
      <c r="W1150">
        <v>41</v>
      </c>
      <c r="X1150">
        <v>1234</v>
      </c>
      <c r="Y1150">
        <v>20689</v>
      </c>
      <c r="Z1150">
        <v>11245</v>
      </c>
      <c r="AA1150">
        <v>3</v>
      </c>
      <c r="AB1150">
        <v>26792</v>
      </c>
      <c r="AC1150" s="10">
        <v>33905</v>
      </c>
      <c r="AD1150" s="10" t="s">
        <v>72</v>
      </c>
      <c r="AE1150" t="s">
        <v>72</v>
      </c>
      <c r="AF1150" t="s">
        <v>45</v>
      </c>
    </row>
    <row r="1151" spans="1:32" x14ac:dyDescent="0.25">
      <c r="A1151">
        <v>158</v>
      </c>
      <c r="B1151">
        <v>43</v>
      </c>
      <c r="C1151" t="s">
        <v>43</v>
      </c>
      <c r="D1151" t="s">
        <v>46</v>
      </c>
      <c r="E1151" t="s">
        <v>56</v>
      </c>
      <c r="F1151" t="s">
        <v>67</v>
      </c>
      <c r="G1151" t="s">
        <v>50</v>
      </c>
      <c r="H1151" t="s">
        <v>37</v>
      </c>
      <c r="I1151" t="s">
        <v>50</v>
      </c>
      <c r="J1151" t="s">
        <v>69</v>
      </c>
      <c r="K1151">
        <v>4</v>
      </c>
      <c r="L1151">
        <v>3</v>
      </c>
      <c r="M1151" t="s">
        <v>58</v>
      </c>
      <c r="N1151" t="s">
        <v>61</v>
      </c>
      <c r="O1151" t="s">
        <v>53</v>
      </c>
      <c r="P1151" t="s">
        <v>32</v>
      </c>
      <c r="Q1151">
        <v>12</v>
      </c>
      <c r="R1151">
        <v>1</v>
      </c>
      <c r="S1151">
        <v>25</v>
      </c>
      <c r="T1151">
        <v>4</v>
      </c>
      <c r="U1151">
        <v>12</v>
      </c>
      <c r="V1151">
        <v>26</v>
      </c>
      <c r="W1151">
        <v>92</v>
      </c>
      <c r="X1151">
        <v>394</v>
      </c>
      <c r="Y1151">
        <v>19494</v>
      </c>
      <c r="Z1151">
        <v>16959</v>
      </c>
      <c r="AA1151">
        <v>3</v>
      </c>
      <c r="AB1151">
        <v>29250</v>
      </c>
      <c r="AC1151" s="10">
        <v>35774</v>
      </c>
      <c r="AD1151" s="10" t="s">
        <v>72</v>
      </c>
      <c r="AE1151" t="s">
        <v>72</v>
      </c>
      <c r="AF1151" t="s">
        <v>45</v>
      </c>
    </row>
    <row r="1152" spans="1:32" x14ac:dyDescent="0.25">
      <c r="A1152">
        <v>809</v>
      </c>
      <c r="B1152">
        <v>42</v>
      </c>
      <c r="C1152" t="s">
        <v>43</v>
      </c>
      <c r="D1152" t="s">
        <v>46</v>
      </c>
      <c r="E1152" t="s">
        <v>34</v>
      </c>
      <c r="F1152" t="s">
        <v>49</v>
      </c>
      <c r="G1152" t="s">
        <v>38</v>
      </c>
      <c r="H1152" t="s">
        <v>37</v>
      </c>
      <c r="I1152" t="s">
        <v>50</v>
      </c>
      <c r="J1152" t="s">
        <v>69</v>
      </c>
      <c r="K1152">
        <v>4</v>
      </c>
      <c r="L1152">
        <v>3</v>
      </c>
      <c r="M1152" t="s">
        <v>60</v>
      </c>
      <c r="N1152" t="s">
        <v>52</v>
      </c>
      <c r="O1152" t="s">
        <v>36</v>
      </c>
      <c r="P1152" t="s">
        <v>43</v>
      </c>
      <c r="Q1152">
        <v>13</v>
      </c>
      <c r="R1152">
        <v>1</v>
      </c>
      <c r="S1152">
        <v>24</v>
      </c>
      <c r="T1152">
        <v>14</v>
      </c>
      <c r="U1152">
        <v>9</v>
      </c>
      <c r="V1152">
        <v>8</v>
      </c>
      <c r="W1152">
        <v>66</v>
      </c>
      <c r="X1152">
        <v>570</v>
      </c>
      <c r="Y1152">
        <v>16225</v>
      </c>
      <c r="Z1152">
        <v>18430</v>
      </c>
      <c r="AA1152">
        <v>4</v>
      </c>
      <c r="AB1152">
        <v>29667</v>
      </c>
      <c r="AC1152" s="10">
        <v>36223</v>
      </c>
      <c r="AD1152" s="10" t="s">
        <v>72</v>
      </c>
      <c r="AE1152" t="s">
        <v>72</v>
      </c>
      <c r="AF1152" t="s">
        <v>45</v>
      </c>
    </row>
    <row r="1153" spans="1:32" x14ac:dyDescent="0.25">
      <c r="A1153">
        <v>425</v>
      </c>
      <c r="B1153">
        <v>45</v>
      </c>
      <c r="C1153" t="s">
        <v>43</v>
      </c>
      <c r="D1153" t="s">
        <v>46</v>
      </c>
      <c r="E1153" t="s">
        <v>34</v>
      </c>
      <c r="F1153" t="s">
        <v>49</v>
      </c>
      <c r="G1153" t="s">
        <v>36</v>
      </c>
      <c r="H1153" t="s">
        <v>37</v>
      </c>
      <c r="I1153" t="s">
        <v>50</v>
      </c>
      <c r="J1153" t="s">
        <v>51</v>
      </c>
      <c r="K1153">
        <v>1</v>
      </c>
      <c r="L1153">
        <v>3</v>
      </c>
      <c r="M1153" t="s">
        <v>48</v>
      </c>
      <c r="N1153" t="s">
        <v>52</v>
      </c>
      <c r="O1153" t="s">
        <v>36</v>
      </c>
      <c r="P1153" t="s">
        <v>43</v>
      </c>
      <c r="Q1153">
        <v>18</v>
      </c>
      <c r="R1153">
        <v>1</v>
      </c>
      <c r="S1153">
        <v>24</v>
      </c>
      <c r="T1153">
        <v>9</v>
      </c>
      <c r="U1153">
        <v>11</v>
      </c>
      <c r="V1153">
        <v>7</v>
      </c>
      <c r="W1153">
        <v>97</v>
      </c>
      <c r="X1153">
        <v>1249</v>
      </c>
      <c r="Y1153">
        <v>20308</v>
      </c>
      <c r="Z1153">
        <v>5210</v>
      </c>
      <c r="AA1153">
        <v>2</v>
      </c>
      <c r="AB1153">
        <v>28693</v>
      </c>
      <c r="AC1153" s="10">
        <v>36267</v>
      </c>
      <c r="AD1153" s="10" t="s">
        <v>72</v>
      </c>
      <c r="AE1153" t="s">
        <v>72</v>
      </c>
      <c r="AF1153" t="s">
        <v>45</v>
      </c>
    </row>
    <row r="1154" spans="1:32" x14ac:dyDescent="0.25">
      <c r="A1154">
        <v>746</v>
      </c>
      <c r="B1154">
        <v>47</v>
      </c>
      <c r="C1154" t="s">
        <v>43</v>
      </c>
      <c r="D1154" t="s">
        <v>46</v>
      </c>
      <c r="E1154" t="s">
        <v>56</v>
      </c>
      <c r="F1154" t="s">
        <v>49</v>
      </c>
      <c r="G1154" t="s">
        <v>59</v>
      </c>
      <c r="H1154" t="s">
        <v>47</v>
      </c>
      <c r="I1154" t="s">
        <v>50</v>
      </c>
      <c r="J1154" t="s">
        <v>57</v>
      </c>
      <c r="K1154">
        <v>3</v>
      </c>
      <c r="L1154">
        <v>3</v>
      </c>
      <c r="M1154" t="s">
        <v>60</v>
      </c>
      <c r="N1154" t="s">
        <v>52</v>
      </c>
      <c r="O1154" t="s">
        <v>53</v>
      </c>
      <c r="P1154" t="s">
        <v>32</v>
      </c>
      <c r="Q1154">
        <v>12</v>
      </c>
      <c r="R1154">
        <v>9</v>
      </c>
      <c r="S1154">
        <v>28</v>
      </c>
      <c r="T1154">
        <v>11</v>
      </c>
      <c r="U1154">
        <v>13</v>
      </c>
      <c r="V1154">
        <v>3</v>
      </c>
      <c r="W1154">
        <v>49</v>
      </c>
      <c r="X1154">
        <v>217</v>
      </c>
      <c r="Y1154">
        <v>10225</v>
      </c>
      <c r="Z1154">
        <v>13770</v>
      </c>
      <c r="AA1154">
        <v>2</v>
      </c>
      <c r="AB1154">
        <v>27809</v>
      </c>
      <c r="AC1154" s="10">
        <v>36754</v>
      </c>
      <c r="AD1154" s="10" t="s">
        <v>72</v>
      </c>
      <c r="AE1154" t="s">
        <v>72</v>
      </c>
      <c r="AF1154" t="s">
        <v>45</v>
      </c>
    </row>
    <row r="1155" spans="1:32" x14ac:dyDescent="0.25">
      <c r="A1155">
        <v>1900</v>
      </c>
      <c r="B1155">
        <v>48</v>
      </c>
      <c r="C1155" t="s">
        <v>43</v>
      </c>
      <c r="D1155" t="s">
        <v>46</v>
      </c>
      <c r="E1155" t="s">
        <v>34</v>
      </c>
      <c r="F1155" t="s">
        <v>49</v>
      </c>
      <c r="G1155" t="s">
        <v>59</v>
      </c>
      <c r="H1155" t="s">
        <v>47</v>
      </c>
      <c r="I1155" t="s">
        <v>50</v>
      </c>
      <c r="J1155" t="s">
        <v>69</v>
      </c>
      <c r="K1155">
        <v>4</v>
      </c>
      <c r="L1155">
        <v>3</v>
      </c>
      <c r="M1155" t="s">
        <v>48</v>
      </c>
      <c r="N1155" t="s">
        <v>52</v>
      </c>
      <c r="O1155" t="s">
        <v>36</v>
      </c>
      <c r="P1155" t="s">
        <v>43</v>
      </c>
      <c r="Q1155">
        <v>11</v>
      </c>
      <c r="R1155">
        <v>3</v>
      </c>
      <c r="S1155">
        <v>24</v>
      </c>
      <c r="T1155">
        <v>4</v>
      </c>
      <c r="U1155">
        <v>7</v>
      </c>
      <c r="V1155">
        <v>22</v>
      </c>
      <c r="W1155">
        <v>58</v>
      </c>
      <c r="X1155">
        <v>117</v>
      </c>
      <c r="Y1155">
        <v>2437</v>
      </c>
      <c r="Z1155">
        <v>17174</v>
      </c>
      <c r="AA1155">
        <v>3</v>
      </c>
      <c r="AB1155">
        <v>27603</v>
      </c>
      <c r="AC1155" s="10">
        <v>36971</v>
      </c>
      <c r="AD1155" s="10" t="s">
        <v>72</v>
      </c>
      <c r="AE1155" t="s">
        <v>72</v>
      </c>
      <c r="AF1155" t="s">
        <v>45</v>
      </c>
    </row>
    <row r="1156" spans="1:32" x14ac:dyDescent="0.25">
      <c r="A1156">
        <v>1043</v>
      </c>
      <c r="B1156">
        <v>39</v>
      </c>
      <c r="C1156" t="s">
        <v>43</v>
      </c>
      <c r="D1156" t="s">
        <v>46</v>
      </c>
      <c r="E1156" t="s">
        <v>34</v>
      </c>
      <c r="F1156" t="s">
        <v>49</v>
      </c>
      <c r="G1156" t="s">
        <v>59</v>
      </c>
      <c r="H1156" t="s">
        <v>47</v>
      </c>
      <c r="I1156" t="s">
        <v>50</v>
      </c>
      <c r="J1156" t="s">
        <v>65</v>
      </c>
      <c r="K1156">
        <v>1</v>
      </c>
      <c r="L1156">
        <v>3</v>
      </c>
      <c r="M1156" t="s">
        <v>48</v>
      </c>
      <c r="N1156" t="s">
        <v>41</v>
      </c>
      <c r="O1156" t="s">
        <v>42</v>
      </c>
      <c r="P1156" t="s">
        <v>32</v>
      </c>
      <c r="Q1156">
        <v>13</v>
      </c>
      <c r="R1156">
        <v>1</v>
      </c>
      <c r="S1156">
        <v>21</v>
      </c>
      <c r="T1156">
        <v>2</v>
      </c>
      <c r="U1156">
        <v>8</v>
      </c>
      <c r="V1156">
        <v>22</v>
      </c>
      <c r="W1156">
        <v>82</v>
      </c>
      <c r="X1156">
        <v>945</v>
      </c>
      <c r="Y1156">
        <v>5083</v>
      </c>
      <c r="Z1156">
        <v>10880</v>
      </c>
      <c r="AA1156">
        <v>2</v>
      </c>
      <c r="AB1156">
        <v>30581</v>
      </c>
      <c r="AC1156" s="10">
        <v>37129</v>
      </c>
      <c r="AD1156" s="10" t="s">
        <v>72</v>
      </c>
      <c r="AE1156" t="s">
        <v>72</v>
      </c>
      <c r="AF1156" t="s">
        <v>45</v>
      </c>
    </row>
    <row r="1157" spans="1:32" x14ac:dyDescent="0.25">
      <c r="A1157">
        <v>444</v>
      </c>
      <c r="B1157">
        <v>39</v>
      </c>
      <c r="C1157" t="s">
        <v>43</v>
      </c>
      <c r="D1157" t="s">
        <v>46</v>
      </c>
      <c r="E1157" t="s">
        <v>34</v>
      </c>
      <c r="F1157" t="s">
        <v>67</v>
      </c>
      <c r="G1157" t="s">
        <v>50</v>
      </c>
      <c r="H1157" t="s">
        <v>37</v>
      </c>
      <c r="I1157" t="s">
        <v>38</v>
      </c>
      <c r="J1157" t="s">
        <v>69</v>
      </c>
      <c r="K1157">
        <v>4</v>
      </c>
      <c r="L1157">
        <v>3</v>
      </c>
      <c r="M1157" t="s">
        <v>48</v>
      </c>
      <c r="N1157" t="s">
        <v>61</v>
      </c>
      <c r="O1157" t="s">
        <v>36</v>
      </c>
      <c r="P1157" t="s">
        <v>43</v>
      </c>
      <c r="Q1157">
        <v>15</v>
      </c>
      <c r="R1157">
        <v>1</v>
      </c>
      <c r="S1157">
        <v>21</v>
      </c>
      <c r="T1157">
        <v>13</v>
      </c>
      <c r="U1157">
        <v>3</v>
      </c>
      <c r="V1157">
        <v>7</v>
      </c>
      <c r="W1157">
        <v>54</v>
      </c>
      <c r="X1157">
        <v>672</v>
      </c>
      <c r="Y1157">
        <v>21141</v>
      </c>
      <c r="Z1157">
        <v>19272</v>
      </c>
      <c r="AA1157">
        <v>2</v>
      </c>
      <c r="AB1157">
        <v>30534</v>
      </c>
      <c r="AC1157" s="10">
        <v>37153</v>
      </c>
      <c r="AD1157" s="10" t="s">
        <v>72</v>
      </c>
      <c r="AE1157" t="s">
        <v>72</v>
      </c>
      <c r="AF1157" t="s">
        <v>45</v>
      </c>
    </row>
    <row r="1158" spans="1:32" x14ac:dyDescent="0.25">
      <c r="A1158">
        <v>1334</v>
      </c>
      <c r="B1158">
        <v>42</v>
      </c>
      <c r="C1158" t="s">
        <v>43</v>
      </c>
      <c r="D1158" t="s">
        <v>63</v>
      </c>
      <c r="E1158" t="s">
        <v>34</v>
      </c>
      <c r="F1158" t="s">
        <v>64</v>
      </c>
      <c r="G1158" t="s">
        <v>50</v>
      </c>
      <c r="H1158" t="s">
        <v>37</v>
      </c>
      <c r="I1158" t="s">
        <v>50</v>
      </c>
      <c r="J1158" t="s">
        <v>69</v>
      </c>
      <c r="K1158">
        <v>3</v>
      </c>
      <c r="L1158">
        <v>3</v>
      </c>
      <c r="M1158" t="s">
        <v>60</v>
      </c>
      <c r="N1158" t="s">
        <v>61</v>
      </c>
      <c r="O1158" t="s">
        <v>42</v>
      </c>
      <c r="P1158" t="s">
        <v>32</v>
      </c>
      <c r="Q1158">
        <v>13</v>
      </c>
      <c r="R1158">
        <v>0</v>
      </c>
      <c r="S1158">
        <v>21</v>
      </c>
      <c r="T1158">
        <v>2</v>
      </c>
      <c r="U1158">
        <v>10</v>
      </c>
      <c r="V1158">
        <v>2</v>
      </c>
      <c r="W1158">
        <v>37</v>
      </c>
      <c r="X1158">
        <v>495</v>
      </c>
      <c r="Y1158">
        <v>26582</v>
      </c>
      <c r="Z1158">
        <v>17861</v>
      </c>
      <c r="AA1158">
        <v>3</v>
      </c>
      <c r="AB1158">
        <v>29561</v>
      </c>
      <c r="AC1158" s="10">
        <v>37474</v>
      </c>
      <c r="AD1158" s="10" t="s">
        <v>72</v>
      </c>
      <c r="AE1158" t="s">
        <v>72</v>
      </c>
      <c r="AF1158" t="s">
        <v>45</v>
      </c>
    </row>
    <row r="1159" spans="1:32" x14ac:dyDescent="0.25">
      <c r="A1159">
        <v>1547</v>
      </c>
      <c r="B1159">
        <v>42</v>
      </c>
      <c r="C1159" t="s">
        <v>43</v>
      </c>
      <c r="D1159" t="s">
        <v>46</v>
      </c>
      <c r="E1159" t="s">
        <v>34</v>
      </c>
      <c r="F1159" t="s">
        <v>49</v>
      </c>
      <c r="G1159" t="s">
        <v>59</v>
      </c>
      <c r="H1159" t="s">
        <v>37</v>
      </c>
      <c r="I1159" t="s">
        <v>50</v>
      </c>
      <c r="J1159" t="s">
        <v>62</v>
      </c>
      <c r="K1159">
        <v>4</v>
      </c>
      <c r="L1159">
        <v>3</v>
      </c>
      <c r="M1159" t="s">
        <v>40</v>
      </c>
      <c r="N1159" t="s">
        <v>61</v>
      </c>
      <c r="O1159" t="s">
        <v>36</v>
      </c>
      <c r="P1159" t="s">
        <v>32</v>
      </c>
      <c r="Q1159">
        <v>14</v>
      </c>
      <c r="R1159">
        <v>2</v>
      </c>
      <c r="S1159">
        <v>24</v>
      </c>
      <c r="T1159">
        <v>13</v>
      </c>
      <c r="U1159">
        <v>9</v>
      </c>
      <c r="V1159">
        <v>2</v>
      </c>
      <c r="W1159">
        <v>40</v>
      </c>
      <c r="X1159">
        <v>288</v>
      </c>
      <c r="Y1159">
        <v>18611</v>
      </c>
      <c r="Z1159">
        <v>10124</v>
      </c>
      <c r="AA1159">
        <v>3</v>
      </c>
      <c r="AB1159">
        <v>29687</v>
      </c>
      <c r="AC1159" s="10">
        <v>37510</v>
      </c>
      <c r="AD1159" s="10" t="s">
        <v>72</v>
      </c>
      <c r="AE1159" t="s">
        <v>72</v>
      </c>
      <c r="AF1159" t="s">
        <v>45</v>
      </c>
    </row>
    <row r="1160" spans="1:32" x14ac:dyDescent="0.25">
      <c r="A1160">
        <v>202</v>
      </c>
      <c r="B1160">
        <v>40</v>
      </c>
      <c r="C1160" t="s">
        <v>43</v>
      </c>
      <c r="D1160" t="s">
        <v>46</v>
      </c>
      <c r="E1160" t="s">
        <v>34</v>
      </c>
      <c r="F1160" t="s">
        <v>49</v>
      </c>
      <c r="G1160" t="s">
        <v>38</v>
      </c>
      <c r="H1160" t="s">
        <v>47</v>
      </c>
      <c r="I1160" t="s">
        <v>50</v>
      </c>
      <c r="J1160" t="s">
        <v>39</v>
      </c>
      <c r="K1160">
        <v>2</v>
      </c>
      <c r="L1160">
        <v>3</v>
      </c>
      <c r="M1160" t="s">
        <v>48</v>
      </c>
      <c r="N1160" t="s">
        <v>52</v>
      </c>
      <c r="O1160" t="s">
        <v>36</v>
      </c>
      <c r="P1160" t="s">
        <v>43</v>
      </c>
      <c r="Q1160">
        <v>11</v>
      </c>
      <c r="R1160">
        <v>1</v>
      </c>
      <c r="S1160">
        <v>20</v>
      </c>
      <c r="T1160">
        <v>2</v>
      </c>
      <c r="U1160">
        <v>13</v>
      </c>
      <c r="V1160">
        <v>26</v>
      </c>
      <c r="W1160">
        <v>54</v>
      </c>
      <c r="X1160">
        <v>1395</v>
      </c>
      <c r="Y1160">
        <v>8504</v>
      </c>
      <c r="Z1160">
        <v>5605</v>
      </c>
      <c r="AA1160">
        <v>2</v>
      </c>
      <c r="AB1160">
        <v>30493</v>
      </c>
      <c r="AC1160" s="10">
        <v>37521</v>
      </c>
      <c r="AD1160" s="10" t="s">
        <v>72</v>
      </c>
      <c r="AE1160" t="s">
        <v>72</v>
      </c>
      <c r="AF1160" t="s">
        <v>45</v>
      </c>
    </row>
    <row r="1161" spans="1:32" x14ac:dyDescent="0.25">
      <c r="A1161">
        <v>1976</v>
      </c>
      <c r="B1161">
        <v>42</v>
      </c>
      <c r="C1161" t="s">
        <v>43</v>
      </c>
      <c r="D1161" t="s">
        <v>63</v>
      </c>
      <c r="E1161" t="s">
        <v>34</v>
      </c>
      <c r="F1161" t="s">
        <v>67</v>
      </c>
      <c r="G1161" t="s">
        <v>59</v>
      </c>
      <c r="H1161" t="s">
        <v>37</v>
      </c>
      <c r="I1161" t="s">
        <v>38</v>
      </c>
      <c r="J1161" t="s">
        <v>39</v>
      </c>
      <c r="K1161">
        <v>3</v>
      </c>
      <c r="L1161">
        <v>3</v>
      </c>
      <c r="M1161" t="s">
        <v>48</v>
      </c>
      <c r="N1161" t="s">
        <v>41</v>
      </c>
      <c r="O1161" t="s">
        <v>42</v>
      </c>
      <c r="P1161" t="s">
        <v>43</v>
      </c>
      <c r="Q1161">
        <v>12</v>
      </c>
      <c r="R1161">
        <v>1</v>
      </c>
      <c r="S1161">
        <v>20</v>
      </c>
      <c r="T1161">
        <v>3</v>
      </c>
      <c r="U1161">
        <v>7</v>
      </c>
      <c r="V1161">
        <v>23</v>
      </c>
      <c r="W1161">
        <v>37</v>
      </c>
      <c r="X1161">
        <v>335</v>
      </c>
      <c r="Y1161">
        <v>14811</v>
      </c>
      <c r="Z1161">
        <v>4332</v>
      </c>
      <c r="AA1161">
        <v>2</v>
      </c>
      <c r="AB1161">
        <v>29718</v>
      </c>
      <c r="AC1161" s="10">
        <v>37522</v>
      </c>
      <c r="AD1161" s="10" t="s">
        <v>72</v>
      </c>
      <c r="AE1161" t="s">
        <v>72</v>
      </c>
      <c r="AF1161" t="s">
        <v>45</v>
      </c>
    </row>
    <row r="1162" spans="1:32" x14ac:dyDescent="0.25">
      <c r="A1162">
        <v>404</v>
      </c>
      <c r="B1162">
        <v>42</v>
      </c>
      <c r="C1162" t="s">
        <v>43</v>
      </c>
      <c r="D1162" t="s">
        <v>46</v>
      </c>
      <c r="E1162" t="s">
        <v>56</v>
      </c>
      <c r="F1162" t="s">
        <v>49</v>
      </c>
      <c r="G1162" t="s">
        <v>50</v>
      </c>
      <c r="H1162" t="s">
        <v>47</v>
      </c>
      <c r="I1162" t="s">
        <v>50</v>
      </c>
      <c r="J1162" t="s">
        <v>57</v>
      </c>
      <c r="K1162">
        <v>2</v>
      </c>
      <c r="L1162">
        <v>3</v>
      </c>
      <c r="M1162" t="s">
        <v>58</v>
      </c>
      <c r="N1162" t="s">
        <v>61</v>
      </c>
      <c r="O1162" t="s">
        <v>36</v>
      </c>
      <c r="P1162" t="s">
        <v>43</v>
      </c>
      <c r="Q1162">
        <v>14</v>
      </c>
      <c r="R1162">
        <v>5</v>
      </c>
      <c r="S1162">
        <v>23</v>
      </c>
      <c r="T1162">
        <v>4</v>
      </c>
      <c r="U1162">
        <v>8</v>
      </c>
      <c r="V1162">
        <v>26</v>
      </c>
      <c r="W1162">
        <v>77</v>
      </c>
      <c r="X1162">
        <v>555</v>
      </c>
      <c r="Y1162">
        <v>14864</v>
      </c>
      <c r="Z1162">
        <v>13525</v>
      </c>
      <c r="AA1162">
        <v>2</v>
      </c>
      <c r="AB1162">
        <v>29623</v>
      </c>
      <c r="AC1162" s="10">
        <v>37658</v>
      </c>
      <c r="AD1162" s="10" t="s">
        <v>72</v>
      </c>
      <c r="AE1162" t="s">
        <v>72</v>
      </c>
      <c r="AF1162" t="s">
        <v>45</v>
      </c>
    </row>
    <row r="1163" spans="1:32" x14ac:dyDescent="0.25">
      <c r="A1163">
        <v>987</v>
      </c>
      <c r="B1163">
        <v>47</v>
      </c>
      <c r="C1163" t="s">
        <v>43</v>
      </c>
      <c r="D1163" t="s">
        <v>46</v>
      </c>
      <c r="E1163" t="s">
        <v>34</v>
      </c>
      <c r="F1163" t="s">
        <v>35</v>
      </c>
      <c r="G1163" t="s">
        <v>50</v>
      </c>
      <c r="H1163" t="s">
        <v>37</v>
      </c>
      <c r="I1163" t="s">
        <v>59</v>
      </c>
      <c r="J1163" t="s">
        <v>65</v>
      </c>
      <c r="K1163">
        <v>3</v>
      </c>
      <c r="L1163">
        <v>3</v>
      </c>
      <c r="M1163" t="s">
        <v>58</v>
      </c>
      <c r="N1163" t="s">
        <v>52</v>
      </c>
      <c r="O1163" t="s">
        <v>42</v>
      </c>
      <c r="P1163" t="s">
        <v>32</v>
      </c>
      <c r="Q1163">
        <v>19</v>
      </c>
      <c r="R1163">
        <v>1</v>
      </c>
      <c r="S1163">
        <v>20</v>
      </c>
      <c r="T1163">
        <v>2</v>
      </c>
      <c r="U1163">
        <v>7</v>
      </c>
      <c r="V1163">
        <v>16</v>
      </c>
      <c r="W1163">
        <v>64</v>
      </c>
      <c r="X1163">
        <v>1379</v>
      </c>
      <c r="Y1163">
        <v>6759</v>
      </c>
      <c r="Z1163">
        <v>5067</v>
      </c>
      <c r="AA1163">
        <v>3</v>
      </c>
      <c r="AB1163">
        <v>27686</v>
      </c>
      <c r="AC1163" s="10">
        <v>37850</v>
      </c>
      <c r="AD1163" s="10" t="s">
        <v>72</v>
      </c>
      <c r="AE1163" t="s">
        <v>72</v>
      </c>
      <c r="AF1163" t="s">
        <v>45</v>
      </c>
    </row>
    <row r="1164" spans="1:32" x14ac:dyDescent="0.25">
      <c r="A1164">
        <v>302</v>
      </c>
      <c r="B1164">
        <v>45</v>
      </c>
      <c r="C1164" t="s">
        <v>43</v>
      </c>
      <c r="D1164" t="s">
        <v>63</v>
      </c>
      <c r="E1164" t="s">
        <v>56</v>
      </c>
      <c r="F1164" t="s">
        <v>49</v>
      </c>
      <c r="G1164" t="s">
        <v>59</v>
      </c>
      <c r="H1164" t="s">
        <v>47</v>
      </c>
      <c r="I1164" t="s">
        <v>38</v>
      </c>
      <c r="J1164" t="s">
        <v>57</v>
      </c>
      <c r="K1164">
        <v>4</v>
      </c>
      <c r="L1164">
        <v>3</v>
      </c>
      <c r="M1164" t="s">
        <v>48</v>
      </c>
      <c r="N1164" t="s">
        <v>41</v>
      </c>
      <c r="O1164" t="s">
        <v>42</v>
      </c>
      <c r="P1164" t="s">
        <v>43</v>
      </c>
      <c r="Q1164">
        <v>12</v>
      </c>
      <c r="R1164">
        <v>6</v>
      </c>
      <c r="S1164">
        <v>23</v>
      </c>
      <c r="T1164">
        <v>12</v>
      </c>
      <c r="U1164">
        <v>8</v>
      </c>
      <c r="V1164">
        <v>6</v>
      </c>
      <c r="W1164">
        <v>57</v>
      </c>
      <c r="X1164">
        <v>1052</v>
      </c>
      <c r="Y1164">
        <v>16840</v>
      </c>
      <c r="Z1164">
        <v>8865</v>
      </c>
      <c r="AA1164">
        <v>2</v>
      </c>
      <c r="AB1164">
        <v>28556</v>
      </c>
      <c r="AC1164" s="10">
        <v>37991</v>
      </c>
      <c r="AD1164" s="10" t="s">
        <v>72</v>
      </c>
      <c r="AE1164" t="s">
        <v>72</v>
      </c>
      <c r="AF1164" t="s">
        <v>45</v>
      </c>
    </row>
    <row r="1165" spans="1:32" x14ac:dyDescent="0.25">
      <c r="A1165">
        <v>1329</v>
      </c>
      <c r="B1165">
        <v>41</v>
      </c>
      <c r="C1165" t="s">
        <v>43</v>
      </c>
      <c r="D1165" t="s">
        <v>63</v>
      </c>
      <c r="E1165" t="s">
        <v>56</v>
      </c>
      <c r="F1165" t="s">
        <v>67</v>
      </c>
      <c r="G1165" t="s">
        <v>50</v>
      </c>
      <c r="H1165" t="s">
        <v>37</v>
      </c>
      <c r="I1165" t="s">
        <v>36</v>
      </c>
      <c r="J1165" t="s">
        <v>57</v>
      </c>
      <c r="K1165">
        <v>2</v>
      </c>
      <c r="L1165">
        <v>3</v>
      </c>
      <c r="M1165" t="s">
        <v>48</v>
      </c>
      <c r="N1165" t="s">
        <v>41</v>
      </c>
      <c r="O1165" t="s">
        <v>42</v>
      </c>
      <c r="P1165" t="s">
        <v>43</v>
      </c>
      <c r="Q1165">
        <v>13</v>
      </c>
      <c r="R1165">
        <v>1</v>
      </c>
      <c r="S1165">
        <v>19</v>
      </c>
      <c r="T1165">
        <v>11</v>
      </c>
      <c r="U1165">
        <v>9</v>
      </c>
      <c r="V1165">
        <v>10</v>
      </c>
      <c r="W1165">
        <v>40</v>
      </c>
      <c r="X1165">
        <v>256</v>
      </c>
      <c r="Y1165">
        <v>22074</v>
      </c>
      <c r="Z1165">
        <v>6151</v>
      </c>
      <c r="AA1165">
        <v>4</v>
      </c>
      <c r="AB1165">
        <v>29816</v>
      </c>
      <c r="AC1165" s="10">
        <v>38088</v>
      </c>
      <c r="AD1165" s="10" t="s">
        <v>72</v>
      </c>
      <c r="AE1165" t="s">
        <v>72</v>
      </c>
      <c r="AF1165" t="s">
        <v>45</v>
      </c>
    </row>
    <row r="1166" spans="1:32" x14ac:dyDescent="0.25">
      <c r="A1166">
        <v>573</v>
      </c>
      <c r="B1166">
        <v>60</v>
      </c>
      <c r="C1166" t="s">
        <v>43</v>
      </c>
      <c r="D1166" t="s">
        <v>46</v>
      </c>
      <c r="E1166" t="s">
        <v>56</v>
      </c>
      <c r="F1166" t="s">
        <v>49</v>
      </c>
      <c r="G1166" t="s">
        <v>50</v>
      </c>
      <c r="H1166" t="s">
        <v>47</v>
      </c>
      <c r="I1166" t="s">
        <v>38</v>
      </c>
      <c r="J1166" t="s">
        <v>57</v>
      </c>
      <c r="K1166">
        <v>1</v>
      </c>
      <c r="L1166">
        <v>3</v>
      </c>
      <c r="M1166" t="s">
        <v>58</v>
      </c>
      <c r="N1166" t="s">
        <v>61</v>
      </c>
      <c r="O1166" t="s">
        <v>42</v>
      </c>
      <c r="P1166" t="s">
        <v>43</v>
      </c>
      <c r="Q1166">
        <v>19</v>
      </c>
      <c r="R1166">
        <v>4</v>
      </c>
      <c r="S1166">
        <v>22</v>
      </c>
      <c r="T1166">
        <v>13</v>
      </c>
      <c r="U1166">
        <v>11</v>
      </c>
      <c r="V1166">
        <v>28</v>
      </c>
      <c r="W1166">
        <v>80</v>
      </c>
      <c r="X1166">
        <v>1499</v>
      </c>
      <c r="Y1166">
        <v>2845</v>
      </c>
      <c r="Z1166">
        <v>10266</v>
      </c>
      <c r="AA1166">
        <v>5</v>
      </c>
      <c r="AB1166">
        <v>23225</v>
      </c>
      <c r="AC1166" s="10">
        <v>38388</v>
      </c>
      <c r="AD1166" s="10" t="s">
        <v>72</v>
      </c>
      <c r="AE1166" t="s">
        <v>72</v>
      </c>
      <c r="AF1166" t="s">
        <v>45</v>
      </c>
    </row>
    <row r="1167" spans="1:32" x14ac:dyDescent="0.25">
      <c r="A1167">
        <v>73</v>
      </c>
      <c r="B1167">
        <v>33</v>
      </c>
      <c r="C1167" t="s">
        <v>43</v>
      </c>
      <c r="D1167" t="s">
        <v>46</v>
      </c>
      <c r="E1167" t="s">
        <v>34</v>
      </c>
      <c r="F1167" t="s">
        <v>67</v>
      </c>
      <c r="G1167" t="s">
        <v>36</v>
      </c>
      <c r="H1167" t="s">
        <v>47</v>
      </c>
      <c r="I1167" t="s">
        <v>50</v>
      </c>
      <c r="J1167" t="s">
        <v>71</v>
      </c>
      <c r="K1167">
        <v>4</v>
      </c>
      <c r="L1167">
        <v>3</v>
      </c>
      <c r="M1167" t="s">
        <v>48</v>
      </c>
      <c r="N1167" t="s">
        <v>41</v>
      </c>
      <c r="O1167" t="s">
        <v>42</v>
      </c>
      <c r="P1167" t="s">
        <v>32</v>
      </c>
      <c r="Q1167">
        <v>12</v>
      </c>
      <c r="R1167">
        <v>1</v>
      </c>
      <c r="S1167">
        <v>15</v>
      </c>
      <c r="T1167">
        <v>8</v>
      </c>
      <c r="U1167">
        <v>12</v>
      </c>
      <c r="V1167">
        <v>1</v>
      </c>
      <c r="W1167">
        <v>98</v>
      </c>
      <c r="X1167">
        <v>515</v>
      </c>
      <c r="Y1167">
        <v>15146</v>
      </c>
      <c r="Z1167">
        <v>13458</v>
      </c>
      <c r="AA1167">
        <v>1</v>
      </c>
      <c r="AB1167">
        <v>33004</v>
      </c>
      <c r="AC1167" s="10">
        <v>39348</v>
      </c>
      <c r="AD1167" s="10" t="s">
        <v>72</v>
      </c>
      <c r="AE1167" t="s">
        <v>72</v>
      </c>
      <c r="AF1167" t="s">
        <v>55</v>
      </c>
    </row>
    <row r="1168" spans="1:32" x14ac:dyDescent="0.25">
      <c r="A1168">
        <v>1050</v>
      </c>
      <c r="B1168">
        <v>53</v>
      </c>
      <c r="C1168" t="s">
        <v>43</v>
      </c>
      <c r="D1168" t="s">
        <v>46</v>
      </c>
      <c r="E1168" t="s">
        <v>56</v>
      </c>
      <c r="F1168" t="s">
        <v>49</v>
      </c>
      <c r="G1168" t="s">
        <v>50</v>
      </c>
      <c r="H1168" t="s">
        <v>47</v>
      </c>
      <c r="I1168" t="s">
        <v>38</v>
      </c>
      <c r="J1168" t="s">
        <v>57</v>
      </c>
      <c r="K1168">
        <v>2</v>
      </c>
      <c r="L1168">
        <v>3</v>
      </c>
      <c r="M1168" t="s">
        <v>48</v>
      </c>
      <c r="N1168" t="s">
        <v>61</v>
      </c>
      <c r="O1168" t="s">
        <v>36</v>
      </c>
      <c r="P1168" t="s">
        <v>43</v>
      </c>
      <c r="Q1168">
        <v>12</v>
      </c>
      <c r="R1168">
        <v>2</v>
      </c>
      <c r="S1168">
        <v>30</v>
      </c>
      <c r="T1168">
        <v>6</v>
      </c>
      <c r="U1168">
        <v>12</v>
      </c>
      <c r="V1168">
        <v>2</v>
      </c>
      <c r="W1168">
        <v>38</v>
      </c>
      <c r="X1168">
        <v>124</v>
      </c>
      <c r="Y1168">
        <v>23537</v>
      </c>
      <c r="Z1168">
        <v>7525</v>
      </c>
      <c r="AA1168">
        <v>2</v>
      </c>
      <c r="AB1168">
        <v>25592</v>
      </c>
      <c r="AC1168" s="10">
        <v>39475</v>
      </c>
      <c r="AD1168" s="10" t="s">
        <v>72</v>
      </c>
      <c r="AE1168" t="s">
        <v>72</v>
      </c>
      <c r="AF1168" t="s">
        <v>45</v>
      </c>
    </row>
    <row r="1169" spans="1:32" x14ac:dyDescent="0.25">
      <c r="A1169">
        <v>803</v>
      </c>
      <c r="B1169">
        <v>38</v>
      </c>
      <c r="C1169" t="s">
        <v>43</v>
      </c>
      <c r="D1169" t="s">
        <v>46</v>
      </c>
      <c r="E1169" t="s">
        <v>34</v>
      </c>
      <c r="F1169" t="s">
        <v>35</v>
      </c>
      <c r="G1169" t="s">
        <v>36</v>
      </c>
      <c r="H1169" t="s">
        <v>47</v>
      </c>
      <c r="I1169" t="s">
        <v>59</v>
      </c>
      <c r="J1169" t="s">
        <v>65</v>
      </c>
      <c r="K1169">
        <v>1</v>
      </c>
      <c r="L1169">
        <v>3</v>
      </c>
      <c r="M1169" t="s">
        <v>48</v>
      </c>
      <c r="N1169" t="s">
        <v>41</v>
      </c>
      <c r="O1169" t="s">
        <v>42</v>
      </c>
      <c r="P1169" t="s">
        <v>32</v>
      </c>
      <c r="Q1169">
        <v>12</v>
      </c>
      <c r="R1169">
        <v>6</v>
      </c>
      <c r="S1169">
        <v>17</v>
      </c>
      <c r="T1169">
        <v>4</v>
      </c>
      <c r="U1169">
        <v>12</v>
      </c>
      <c r="V1169">
        <v>2</v>
      </c>
      <c r="W1169">
        <v>75</v>
      </c>
      <c r="X1169">
        <v>240</v>
      </c>
      <c r="Y1169">
        <v>26085</v>
      </c>
      <c r="Z1169">
        <v>5980</v>
      </c>
      <c r="AA1169">
        <v>2</v>
      </c>
      <c r="AB1169">
        <v>31199</v>
      </c>
      <c r="AC1169" s="10">
        <v>39518</v>
      </c>
      <c r="AD1169" s="10" t="s">
        <v>72</v>
      </c>
      <c r="AE1169" t="s">
        <v>72</v>
      </c>
      <c r="AF1169" t="s">
        <v>45</v>
      </c>
    </row>
    <row r="1170" spans="1:32" x14ac:dyDescent="0.25">
      <c r="A1170">
        <v>1362</v>
      </c>
      <c r="B1170">
        <v>36</v>
      </c>
      <c r="C1170" t="s">
        <v>43</v>
      </c>
      <c r="D1170" t="s">
        <v>46</v>
      </c>
      <c r="E1170" t="s">
        <v>56</v>
      </c>
      <c r="F1170" t="s">
        <v>49</v>
      </c>
      <c r="G1170" t="s">
        <v>36</v>
      </c>
      <c r="H1170" t="s">
        <v>47</v>
      </c>
      <c r="I1170" t="s">
        <v>59</v>
      </c>
      <c r="J1170" t="s">
        <v>57</v>
      </c>
      <c r="K1170">
        <v>1</v>
      </c>
      <c r="L1170">
        <v>3</v>
      </c>
      <c r="M1170" t="s">
        <v>60</v>
      </c>
      <c r="N1170" t="s">
        <v>61</v>
      </c>
      <c r="O1170" t="s">
        <v>36</v>
      </c>
      <c r="P1170" t="s">
        <v>43</v>
      </c>
      <c r="Q1170">
        <v>16</v>
      </c>
      <c r="R1170">
        <v>2</v>
      </c>
      <c r="S1170">
        <v>17</v>
      </c>
      <c r="T1170">
        <v>6</v>
      </c>
      <c r="U1170">
        <v>13</v>
      </c>
      <c r="V1170">
        <v>7</v>
      </c>
      <c r="W1170">
        <v>83</v>
      </c>
      <c r="X1170">
        <v>607</v>
      </c>
      <c r="Y1170">
        <v>2261</v>
      </c>
      <c r="Z1170">
        <v>4639</v>
      </c>
      <c r="AA1170">
        <v>2</v>
      </c>
      <c r="AB1170">
        <v>31867</v>
      </c>
      <c r="AC1170" s="10">
        <v>39564</v>
      </c>
      <c r="AD1170" s="10" t="s">
        <v>72</v>
      </c>
      <c r="AE1170" t="s">
        <v>72</v>
      </c>
      <c r="AF1170" t="s">
        <v>45</v>
      </c>
    </row>
    <row r="1171" spans="1:32" x14ac:dyDescent="0.25">
      <c r="A1171">
        <v>1117</v>
      </c>
      <c r="B1171">
        <v>45</v>
      </c>
      <c r="C1171" t="s">
        <v>43</v>
      </c>
      <c r="D1171" t="s">
        <v>63</v>
      </c>
      <c r="E1171" t="s">
        <v>56</v>
      </c>
      <c r="F1171" t="s">
        <v>35</v>
      </c>
      <c r="G1171" t="s">
        <v>38</v>
      </c>
      <c r="H1171" t="s">
        <v>47</v>
      </c>
      <c r="I1171" t="s">
        <v>38</v>
      </c>
      <c r="J1171" t="s">
        <v>57</v>
      </c>
      <c r="K1171">
        <v>3</v>
      </c>
      <c r="L1171">
        <v>3</v>
      </c>
      <c r="M1171" t="s">
        <v>48</v>
      </c>
      <c r="N1171" t="s">
        <v>61</v>
      </c>
      <c r="O1171" t="s">
        <v>36</v>
      </c>
      <c r="P1171" t="s">
        <v>43</v>
      </c>
      <c r="Q1171">
        <v>13</v>
      </c>
      <c r="R1171">
        <v>1</v>
      </c>
      <c r="S1171">
        <v>15</v>
      </c>
      <c r="T1171">
        <v>4</v>
      </c>
      <c r="U1171">
        <v>12</v>
      </c>
      <c r="V1171">
        <v>9</v>
      </c>
      <c r="W1171">
        <v>65</v>
      </c>
      <c r="X1171">
        <v>1050</v>
      </c>
      <c r="Y1171">
        <v>17970</v>
      </c>
      <c r="Z1171">
        <v>5593</v>
      </c>
      <c r="AA1171">
        <v>2</v>
      </c>
      <c r="AB1171">
        <v>28342</v>
      </c>
      <c r="AC1171" s="10">
        <v>39611</v>
      </c>
      <c r="AD1171" s="10" t="s">
        <v>72</v>
      </c>
      <c r="AE1171" t="s">
        <v>72</v>
      </c>
      <c r="AF1171" t="s">
        <v>45</v>
      </c>
    </row>
    <row r="1172" spans="1:32" x14ac:dyDescent="0.25">
      <c r="A1172">
        <v>1932</v>
      </c>
      <c r="B1172">
        <v>34</v>
      </c>
      <c r="C1172" t="s">
        <v>43</v>
      </c>
      <c r="D1172" t="s">
        <v>46</v>
      </c>
      <c r="E1172" t="s">
        <v>34</v>
      </c>
      <c r="F1172" t="s">
        <v>35</v>
      </c>
      <c r="G1172" t="s">
        <v>50</v>
      </c>
      <c r="H1172" t="s">
        <v>37</v>
      </c>
      <c r="I1172" t="s">
        <v>38</v>
      </c>
      <c r="J1172" t="s">
        <v>39</v>
      </c>
      <c r="K1172">
        <v>4</v>
      </c>
      <c r="L1172">
        <v>3</v>
      </c>
      <c r="M1172" t="s">
        <v>48</v>
      </c>
      <c r="N1172" t="s">
        <v>61</v>
      </c>
      <c r="O1172" t="s">
        <v>42</v>
      </c>
      <c r="P1172" t="s">
        <v>32</v>
      </c>
      <c r="Q1172">
        <v>15</v>
      </c>
      <c r="R1172">
        <v>1</v>
      </c>
      <c r="S1172">
        <v>16</v>
      </c>
      <c r="T1172">
        <v>6</v>
      </c>
      <c r="U1172">
        <v>11</v>
      </c>
      <c r="V1172">
        <v>22</v>
      </c>
      <c r="W1172">
        <v>86</v>
      </c>
      <c r="X1172">
        <v>735</v>
      </c>
      <c r="Y1172">
        <v>26496</v>
      </c>
      <c r="Z1172">
        <v>5747</v>
      </c>
      <c r="AA1172">
        <v>3</v>
      </c>
      <c r="AB1172">
        <v>32407</v>
      </c>
      <c r="AC1172" s="10">
        <v>39620</v>
      </c>
      <c r="AD1172" s="10" t="s">
        <v>72</v>
      </c>
      <c r="AE1172" t="s">
        <v>72</v>
      </c>
      <c r="AF1172" t="s">
        <v>45</v>
      </c>
    </row>
    <row r="1173" spans="1:32" x14ac:dyDescent="0.25">
      <c r="A1173">
        <v>1243</v>
      </c>
      <c r="B1173">
        <v>35</v>
      </c>
      <c r="C1173" t="s">
        <v>43</v>
      </c>
      <c r="D1173" t="s">
        <v>63</v>
      </c>
      <c r="E1173" t="s">
        <v>56</v>
      </c>
      <c r="F1173" t="s">
        <v>67</v>
      </c>
      <c r="G1173" t="s">
        <v>50</v>
      </c>
      <c r="H1173" t="s">
        <v>47</v>
      </c>
      <c r="I1173" t="s">
        <v>38</v>
      </c>
      <c r="J1173" t="s">
        <v>57</v>
      </c>
      <c r="K1173">
        <v>4</v>
      </c>
      <c r="L1173">
        <v>3</v>
      </c>
      <c r="M1173" t="s">
        <v>60</v>
      </c>
      <c r="N1173" t="s">
        <v>61</v>
      </c>
      <c r="O1173" t="s">
        <v>36</v>
      </c>
      <c r="P1173" t="s">
        <v>32</v>
      </c>
      <c r="Q1173">
        <v>11</v>
      </c>
      <c r="R1173">
        <v>4</v>
      </c>
      <c r="S1173">
        <v>16</v>
      </c>
      <c r="T1173">
        <v>4</v>
      </c>
      <c r="U1173">
        <v>12</v>
      </c>
      <c r="V1173">
        <v>8</v>
      </c>
      <c r="W1173">
        <v>78</v>
      </c>
      <c r="X1173">
        <v>1212</v>
      </c>
      <c r="Y1173">
        <v>13755</v>
      </c>
      <c r="Z1173">
        <v>10377</v>
      </c>
      <c r="AA1173">
        <v>6</v>
      </c>
      <c r="AB1173">
        <v>32139</v>
      </c>
      <c r="AC1173" s="10">
        <v>40199</v>
      </c>
      <c r="AD1173" s="10" t="s">
        <v>72</v>
      </c>
      <c r="AE1173" t="s">
        <v>72</v>
      </c>
      <c r="AF1173" t="s">
        <v>45</v>
      </c>
    </row>
    <row r="1174" spans="1:32" x14ac:dyDescent="0.25">
      <c r="A1174">
        <v>529</v>
      </c>
      <c r="B1174">
        <v>37</v>
      </c>
      <c r="C1174" t="s">
        <v>43</v>
      </c>
      <c r="D1174" t="s">
        <v>63</v>
      </c>
      <c r="E1174" t="s">
        <v>34</v>
      </c>
      <c r="F1174" t="s">
        <v>70</v>
      </c>
      <c r="G1174" t="s">
        <v>38</v>
      </c>
      <c r="H1174" t="s">
        <v>47</v>
      </c>
      <c r="I1174" t="s">
        <v>50</v>
      </c>
      <c r="J1174" t="s">
        <v>39</v>
      </c>
      <c r="K1174">
        <v>3</v>
      </c>
      <c r="L1174">
        <v>3</v>
      </c>
      <c r="M1174" t="s">
        <v>48</v>
      </c>
      <c r="N1174" t="s">
        <v>61</v>
      </c>
      <c r="O1174" t="s">
        <v>53</v>
      </c>
      <c r="P1174" t="s">
        <v>32</v>
      </c>
      <c r="Q1174">
        <v>15</v>
      </c>
      <c r="R1174">
        <v>3</v>
      </c>
      <c r="S1174">
        <v>15</v>
      </c>
      <c r="T1174">
        <v>10</v>
      </c>
      <c r="U1174">
        <v>7</v>
      </c>
      <c r="V1174">
        <v>25</v>
      </c>
      <c r="W1174">
        <v>72</v>
      </c>
      <c r="X1174">
        <v>1063</v>
      </c>
      <c r="Y1174">
        <v>23866</v>
      </c>
      <c r="Z1174">
        <v>4449</v>
      </c>
      <c r="AA1174">
        <v>2</v>
      </c>
      <c r="AB1174">
        <v>31381</v>
      </c>
      <c r="AC1174" s="10">
        <v>40222</v>
      </c>
      <c r="AD1174" s="10" t="s">
        <v>72</v>
      </c>
      <c r="AE1174" t="s">
        <v>72</v>
      </c>
      <c r="AF1174" t="s">
        <v>45</v>
      </c>
    </row>
    <row r="1175" spans="1:32" x14ac:dyDescent="0.25">
      <c r="A1175">
        <v>1668</v>
      </c>
      <c r="B1175">
        <v>38</v>
      </c>
      <c r="C1175" t="s">
        <v>43</v>
      </c>
      <c r="D1175" t="s">
        <v>46</v>
      </c>
      <c r="E1175" t="s">
        <v>34</v>
      </c>
      <c r="F1175" t="s">
        <v>49</v>
      </c>
      <c r="G1175" t="s">
        <v>59</v>
      </c>
      <c r="H1175" t="s">
        <v>37</v>
      </c>
      <c r="I1175" t="s">
        <v>50</v>
      </c>
      <c r="J1175" t="s">
        <v>39</v>
      </c>
      <c r="K1175">
        <v>4</v>
      </c>
      <c r="L1175">
        <v>3</v>
      </c>
      <c r="M1175" t="s">
        <v>58</v>
      </c>
      <c r="N1175" t="s">
        <v>61</v>
      </c>
      <c r="O1175" t="s">
        <v>53</v>
      </c>
      <c r="P1175" t="s">
        <v>43</v>
      </c>
      <c r="Q1175">
        <v>15</v>
      </c>
      <c r="R1175">
        <v>7</v>
      </c>
      <c r="S1175">
        <v>19</v>
      </c>
      <c r="T1175">
        <v>2</v>
      </c>
      <c r="U1175">
        <v>9</v>
      </c>
      <c r="V1175">
        <v>1</v>
      </c>
      <c r="W1175">
        <v>90</v>
      </c>
      <c r="X1175">
        <v>1189</v>
      </c>
      <c r="Y1175">
        <v>9867</v>
      </c>
      <c r="Z1175">
        <v>4735</v>
      </c>
      <c r="AA1175">
        <v>4</v>
      </c>
      <c r="AB1175">
        <v>31193</v>
      </c>
      <c r="AC1175" s="10">
        <v>40237</v>
      </c>
      <c r="AD1175" s="10" t="s">
        <v>72</v>
      </c>
      <c r="AE1175" t="s">
        <v>72</v>
      </c>
      <c r="AF1175" t="s">
        <v>55</v>
      </c>
    </row>
    <row r="1176" spans="1:32" x14ac:dyDescent="0.25">
      <c r="A1176">
        <v>2000</v>
      </c>
      <c r="B1176">
        <v>47</v>
      </c>
      <c r="C1176" t="s">
        <v>43</v>
      </c>
      <c r="D1176" t="s">
        <v>63</v>
      </c>
      <c r="E1176" t="s">
        <v>34</v>
      </c>
      <c r="F1176" t="s">
        <v>64</v>
      </c>
      <c r="G1176" t="s">
        <v>50</v>
      </c>
      <c r="H1176" t="s">
        <v>47</v>
      </c>
      <c r="I1176" t="s">
        <v>50</v>
      </c>
      <c r="J1176" t="s">
        <v>71</v>
      </c>
      <c r="K1176">
        <v>2</v>
      </c>
      <c r="L1176">
        <v>3</v>
      </c>
      <c r="M1176" t="s">
        <v>40</v>
      </c>
      <c r="N1176" t="s">
        <v>61</v>
      </c>
      <c r="O1176" t="s">
        <v>53</v>
      </c>
      <c r="P1176" t="s">
        <v>43</v>
      </c>
      <c r="Q1176">
        <v>18</v>
      </c>
      <c r="R1176">
        <v>0</v>
      </c>
      <c r="S1176">
        <v>14</v>
      </c>
      <c r="T1176">
        <v>5</v>
      </c>
      <c r="U1176">
        <v>12</v>
      </c>
      <c r="V1176">
        <v>1</v>
      </c>
      <c r="W1176">
        <v>98</v>
      </c>
      <c r="X1176">
        <v>1162</v>
      </c>
      <c r="Y1176">
        <v>17231</v>
      </c>
      <c r="Z1176">
        <v>11957</v>
      </c>
      <c r="AA1176">
        <v>3</v>
      </c>
      <c r="AB1176">
        <v>27909</v>
      </c>
      <c r="AC1176" s="10">
        <v>40269</v>
      </c>
      <c r="AD1176" s="10" t="s">
        <v>72</v>
      </c>
      <c r="AE1176" t="s">
        <v>72</v>
      </c>
      <c r="AF1176" t="s">
        <v>45</v>
      </c>
    </row>
    <row r="1177" spans="1:32" x14ac:dyDescent="0.25">
      <c r="A1177">
        <v>1480</v>
      </c>
      <c r="B1177">
        <v>42</v>
      </c>
      <c r="C1177" t="s">
        <v>43</v>
      </c>
      <c r="D1177" t="s">
        <v>46</v>
      </c>
      <c r="E1177" t="s">
        <v>34</v>
      </c>
      <c r="F1177" t="s">
        <v>67</v>
      </c>
      <c r="G1177" t="s">
        <v>36</v>
      </c>
      <c r="H1177" t="s">
        <v>47</v>
      </c>
      <c r="I1177" t="s">
        <v>50</v>
      </c>
      <c r="J1177" t="s">
        <v>51</v>
      </c>
      <c r="K1177">
        <v>4</v>
      </c>
      <c r="L1177">
        <v>3</v>
      </c>
      <c r="M1177" t="s">
        <v>48</v>
      </c>
      <c r="N1177" t="s">
        <v>41</v>
      </c>
      <c r="O1177" t="s">
        <v>42</v>
      </c>
      <c r="P1177" t="s">
        <v>43</v>
      </c>
      <c r="Q1177">
        <v>13</v>
      </c>
      <c r="R1177">
        <v>1</v>
      </c>
      <c r="S1177">
        <v>12</v>
      </c>
      <c r="T1177">
        <v>5</v>
      </c>
      <c r="U1177">
        <v>8</v>
      </c>
      <c r="V1177">
        <v>9</v>
      </c>
      <c r="W1177">
        <v>74</v>
      </c>
      <c r="X1177">
        <v>748</v>
      </c>
      <c r="Y1177">
        <v>16458</v>
      </c>
      <c r="Z1177">
        <v>3673</v>
      </c>
      <c r="AA1177">
        <v>3</v>
      </c>
      <c r="AB1177">
        <v>29601</v>
      </c>
      <c r="AC1177" s="10">
        <v>40550</v>
      </c>
      <c r="AD1177" s="10" t="s">
        <v>72</v>
      </c>
      <c r="AE1177" t="s">
        <v>72</v>
      </c>
      <c r="AF1177" t="s">
        <v>45</v>
      </c>
    </row>
    <row r="1178" spans="1:32" x14ac:dyDescent="0.25">
      <c r="A1178">
        <v>239</v>
      </c>
      <c r="B1178">
        <v>30</v>
      </c>
      <c r="C1178" t="s">
        <v>43</v>
      </c>
      <c r="D1178" t="s">
        <v>63</v>
      </c>
      <c r="E1178" t="s">
        <v>34</v>
      </c>
      <c r="F1178" t="s">
        <v>49</v>
      </c>
      <c r="G1178" t="s">
        <v>50</v>
      </c>
      <c r="H1178" t="s">
        <v>37</v>
      </c>
      <c r="I1178" t="s">
        <v>50</v>
      </c>
      <c r="J1178" t="s">
        <v>51</v>
      </c>
      <c r="K1178">
        <v>1</v>
      </c>
      <c r="L1178">
        <v>3</v>
      </c>
      <c r="M1178" t="s">
        <v>48</v>
      </c>
      <c r="N1178" t="s">
        <v>52</v>
      </c>
      <c r="O1178" t="s">
        <v>53</v>
      </c>
      <c r="P1178" t="s">
        <v>43</v>
      </c>
      <c r="Q1178">
        <v>11</v>
      </c>
      <c r="R1178">
        <v>1</v>
      </c>
      <c r="S1178">
        <v>12</v>
      </c>
      <c r="T1178">
        <v>6</v>
      </c>
      <c r="U1178">
        <v>10</v>
      </c>
      <c r="V1178">
        <v>9</v>
      </c>
      <c r="W1178">
        <v>66</v>
      </c>
      <c r="X1178">
        <v>111</v>
      </c>
      <c r="Y1178">
        <v>11012</v>
      </c>
      <c r="Z1178">
        <v>3072</v>
      </c>
      <c r="AA1178">
        <v>4</v>
      </c>
      <c r="AB1178">
        <v>33838</v>
      </c>
      <c r="AC1178" s="10">
        <v>40685</v>
      </c>
      <c r="AD1178" s="10" t="s">
        <v>72</v>
      </c>
      <c r="AE1178" t="s">
        <v>72</v>
      </c>
      <c r="AF1178" t="s">
        <v>45</v>
      </c>
    </row>
    <row r="1179" spans="1:32" x14ac:dyDescent="0.25">
      <c r="A1179">
        <v>312</v>
      </c>
      <c r="B1179">
        <v>29</v>
      </c>
      <c r="C1179" t="s">
        <v>43</v>
      </c>
      <c r="D1179" t="s">
        <v>46</v>
      </c>
      <c r="E1179" t="s">
        <v>56</v>
      </c>
      <c r="F1179" t="s">
        <v>64</v>
      </c>
      <c r="G1179" t="s">
        <v>38</v>
      </c>
      <c r="H1179" t="s">
        <v>47</v>
      </c>
      <c r="I1179" t="s">
        <v>50</v>
      </c>
      <c r="J1179" t="s">
        <v>57</v>
      </c>
      <c r="K1179">
        <v>4</v>
      </c>
      <c r="L1179">
        <v>3</v>
      </c>
      <c r="M1179" t="s">
        <v>48</v>
      </c>
      <c r="N1179" t="s">
        <v>61</v>
      </c>
      <c r="O1179" t="s">
        <v>36</v>
      </c>
      <c r="P1179" t="s">
        <v>43</v>
      </c>
      <c r="Q1179">
        <v>14</v>
      </c>
      <c r="R1179">
        <v>1</v>
      </c>
      <c r="S1179">
        <v>13</v>
      </c>
      <c r="T1179">
        <v>4</v>
      </c>
      <c r="U1179">
        <v>1</v>
      </c>
      <c r="V1179">
        <v>1</v>
      </c>
      <c r="W1179">
        <v>42</v>
      </c>
      <c r="X1179">
        <v>1413</v>
      </c>
      <c r="Y1179">
        <v>6599</v>
      </c>
      <c r="Z1179">
        <v>7918</v>
      </c>
      <c r="AA1179">
        <v>5</v>
      </c>
      <c r="AB1179">
        <v>34520</v>
      </c>
      <c r="AC1179" s="10">
        <v>40755</v>
      </c>
      <c r="AD1179" s="10" t="s">
        <v>72</v>
      </c>
      <c r="AE1179" t="s">
        <v>72</v>
      </c>
      <c r="AF1179" t="s">
        <v>45</v>
      </c>
    </row>
    <row r="1180" spans="1:32" x14ac:dyDescent="0.25">
      <c r="A1180">
        <v>571</v>
      </c>
      <c r="B1180">
        <v>30</v>
      </c>
      <c r="C1180" t="s">
        <v>43</v>
      </c>
      <c r="D1180" t="s">
        <v>63</v>
      </c>
      <c r="E1180" t="s">
        <v>34</v>
      </c>
      <c r="F1180" t="s">
        <v>49</v>
      </c>
      <c r="G1180" t="s">
        <v>50</v>
      </c>
      <c r="H1180" t="s">
        <v>47</v>
      </c>
      <c r="I1180" t="s">
        <v>50</v>
      </c>
      <c r="J1180" t="s">
        <v>51</v>
      </c>
      <c r="K1180">
        <v>4</v>
      </c>
      <c r="L1180">
        <v>3</v>
      </c>
      <c r="M1180" t="s">
        <v>60</v>
      </c>
      <c r="N1180" t="s">
        <v>41</v>
      </c>
      <c r="O1180" t="s">
        <v>42</v>
      </c>
      <c r="P1180" t="s">
        <v>43</v>
      </c>
      <c r="Q1180">
        <v>14</v>
      </c>
      <c r="R1180">
        <v>0</v>
      </c>
      <c r="S1180">
        <v>12</v>
      </c>
      <c r="T1180">
        <v>6</v>
      </c>
      <c r="U1180">
        <v>7</v>
      </c>
      <c r="V1180">
        <v>2</v>
      </c>
      <c r="W1180">
        <v>49</v>
      </c>
      <c r="X1180">
        <v>1116</v>
      </c>
      <c r="Y1180">
        <v>7181</v>
      </c>
      <c r="Z1180">
        <v>2564</v>
      </c>
      <c r="AA1180">
        <v>2</v>
      </c>
      <c r="AB1180">
        <v>33885</v>
      </c>
      <c r="AC1180" s="10">
        <v>40856</v>
      </c>
      <c r="AD1180" s="10" t="s">
        <v>72</v>
      </c>
      <c r="AE1180" t="s">
        <v>72</v>
      </c>
      <c r="AF1180" t="s">
        <v>45</v>
      </c>
    </row>
    <row r="1181" spans="1:32" x14ac:dyDescent="0.25">
      <c r="A1181">
        <v>1805</v>
      </c>
      <c r="B1181">
        <v>38</v>
      </c>
      <c r="C1181" t="s">
        <v>43</v>
      </c>
      <c r="D1181" t="s">
        <v>63</v>
      </c>
      <c r="E1181" t="s">
        <v>68</v>
      </c>
      <c r="F1181" t="s">
        <v>49</v>
      </c>
      <c r="G1181" t="s">
        <v>36</v>
      </c>
      <c r="H1181" t="s">
        <v>37</v>
      </c>
      <c r="I1181" t="s">
        <v>50</v>
      </c>
      <c r="J1181" t="s">
        <v>68</v>
      </c>
      <c r="K1181">
        <v>2</v>
      </c>
      <c r="L1181">
        <v>3</v>
      </c>
      <c r="M1181" t="s">
        <v>48</v>
      </c>
      <c r="N1181" t="s">
        <v>52</v>
      </c>
      <c r="O1181" t="s">
        <v>50</v>
      </c>
      <c r="P1181" t="s">
        <v>43</v>
      </c>
      <c r="Q1181">
        <v>13</v>
      </c>
      <c r="R1181">
        <v>5</v>
      </c>
      <c r="S1181">
        <v>13</v>
      </c>
      <c r="T1181">
        <v>3</v>
      </c>
      <c r="U1181">
        <v>8</v>
      </c>
      <c r="V1181">
        <v>2</v>
      </c>
      <c r="W1181">
        <v>100</v>
      </c>
      <c r="X1181">
        <v>1336</v>
      </c>
      <c r="Y1181">
        <v>7129</v>
      </c>
      <c r="Z1181">
        <v>2592</v>
      </c>
      <c r="AA1181">
        <v>3</v>
      </c>
      <c r="AB1181">
        <v>31037</v>
      </c>
      <c r="AC1181" s="10">
        <v>41054</v>
      </c>
      <c r="AD1181" s="10" t="s">
        <v>72</v>
      </c>
      <c r="AE1181" t="s">
        <v>72</v>
      </c>
      <c r="AF1181" t="s">
        <v>45</v>
      </c>
    </row>
    <row r="1182" spans="1:32" x14ac:dyDescent="0.25">
      <c r="A1182">
        <v>1285</v>
      </c>
      <c r="B1182">
        <v>34</v>
      </c>
      <c r="C1182" t="s">
        <v>43</v>
      </c>
      <c r="D1182" t="s">
        <v>46</v>
      </c>
      <c r="E1182" t="s">
        <v>34</v>
      </c>
      <c r="F1182" t="s">
        <v>49</v>
      </c>
      <c r="G1182" t="s">
        <v>50</v>
      </c>
      <c r="H1182" t="s">
        <v>47</v>
      </c>
      <c r="I1182" t="s">
        <v>50</v>
      </c>
      <c r="J1182" t="s">
        <v>51</v>
      </c>
      <c r="K1182">
        <v>2</v>
      </c>
      <c r="L1182">
        <v>3</v>
      </c>
      <c r="M1182" t="s">
        <v>58</v>
      </c>
      <c r="N1182" t="s">
        <v>52</v>
      </c>
      <c r="O1182" t="s">
        <v>53</v>
      </c>
      <c r="P1182" t="s">
        <v>43</v>
      </c>
      <c r="Q1182">
        <v>13</v>
      </c>
      <c r="R1182">
        <v>4</v>
      </c>
      <c r="S1182">
        <v>15</v>
      </c>
      <c r="T1182">
        <v>5</v>
      </c>
      <c r="U1182">
        <v>10</v>
      </c>
      <c r="V1182">
        <v>19</v>
      </c>
      <c r="W1182">
        <v>46</v>
      </c>
      <c r="X1182">
        <v>135</v>
      </c>
      <c r="Y1182">
        <v>22534</v>
      </c>
      <c r="Z1182">
        <v>4444</v>
      </c>
      <c r="AA1182">
        <v>2</v>
      </c>
      <c r="AB1182">
        <v>32403</v>
      </c>
      <c r="AC1182" s="10">
        <v>41076</v>
      </c>
      <c r="AD1182" s="10" t="s">
        <v>72</v>
      </c>
      <c r="AE1182" t="s">
        <v>72</v>
      </c>
      <c r="AF1182" t="s">
        <v>45</v>
      </c>
    </row>
    <row r="1183" spans="1:32" x14ac:dyDescent="0.25">
      <c r="A1183">
        <v>1612</v>
      </c>
      <c r="B1183">
        <v>45</v>
      </c>
      <c r="C1183" t="s">
        <v>43</v>
      </c>
      <c r="D1183" t="s">
        <v>63</v>
      </c>
      <c r="E1183" t="s">
        <v>56</v>
      </c>
      <c r="F1183" t="s">
        <v>49</v>
      </c>
      <c r="G1183" t="s">
        <v>36</v>
      </c>
      <c r="H1183" t="s">
        <v>37</v>
      </c>
      <c r="I1183" t="s">
        <v>38</v>
      </c>
      <c r="J1183" t="s">
        <v>57</v>
      </c>
      <c r="K1183">
        <v>1</v>
      </c>
      <c r="L1183">
        <v>3</v>
      </c>
      <c r="M1183" t="s">
        <v>48</v>
      </c>
      <c r="N1183" t="s">
        <v>61</v>
      </c>
      <c r="O1183" t="s">
        <v>36</v>
      </c>
      <c r="P1183" t="s">
        <v>43</v>
      </c>
      <c r="Q1183">
        <v>15</v>
      </c>
      <c r="R1183">
        <v>1</v>
      </c>
      <c r="S1183">
        <v>10</v>
      </c>
      <c r="T1183">
        <v>4</v>
      </c>
      <c r="U1183">
        <v>5</v>
      </c>
      <c r="V1183">
        <v>26</v>
      </c>
      <c r="W1183">
        <v>52</v>
      </c>
      <c r="X1183">
        <v>336</v>
      </c>
      <c r="Y1183">
        <v>24162</v>
      </c>
      <c r="Z1183">
        <v>4385</v>
      </c>
      <c r="AA1183">
        <v>2</v>
      </c>
      <c r="AB1183">
        <v>28648</v>
      </c>
      <c r="AC1183" s="10">
        <v>41169</v>
      </c>
      <c r="AD1183" s="10" t="s">
        <v>72</v>
      </c>
      <c r="AE1183" t="s">
        <v>72</v>
      </c>
      <c r="AF1183" t="s">
        <v>45</v>
      </c>
    </row>
    <row r="1184" spans="1:32" x14ac:dyDescent="0.25">
      <c r="A1184">
        <v>710</v>
      </c>
      <c r="B1184">
        <v>29</v>
      </c>
      <c r="C1184" t="s">
        <v>43</v>
      </c>
      <c r="D1184" t="s">
        <v>46</v>
      </c>
      <c r="E1184" t="s">
        <v>34</v>
      </c>
      <c r="F1184" t="s">
        <v>35</v>
      </c>
      <c r="G1184" t="s">
        <v>38</v>
      </c>
      <c r="H1184" t="s">
        <v>37</v>
      </c>
      <c r="I1184" t="s">
        <v>36</v>
      </c>
      <c r="J1184" t="s">
        <v>39</v>
      </c>
      <c r="K1184">
        <v>4</v>
      </c>
      <c r="L1184">
        <v>3</v>
      </c>
      <c r="M1184" t="s">
        <v>48</v>
      </c>
      <c r="N1184" t="s">
        <v>52</v>
      </c>
      <c r="O1184" t="s">
        <v>36</v>
      </c>
      <c r="P1184" t="s">
        <v>43</v>
      </c>
      <c r="Q1184">
        <v>18</v>
      </c>
      <c r="R1184">
        <v>1</v>
      </c>
      <c r="S1184">
        <v>10</v>
      </c>
      <c r="T1184">
        <v>2</v>
      </c>
      <c r="U1184">
        <v>8</v>
      </c>
      <c r="V1184">
        <v>1</v>
      </c>
      <c r="W1184">
        <v>76</v>
      </c>
      <c r="X1184">
        <v>806</v>
      </c>
      <c r="Y1184">
        <v>18959</v>
      </c>
      <c r="Z1184">
        <v>2720</v>
      </c>
      <c r="AA1184">
        <v>5</v>
      </c>
      <c r="AB1184">
        <v>34352</v>
      </c>
      <c r="AC1184" s="10">
        <v>41264</v>
      </c>
      <c r="AD1184" s="10" t="s">
        <v>72</v>
      </c>
      <c r="AE1184" t="s">
        <v>72</v>
      </c>
      <c r="AF1184" t="s">
        <v>45</v>
      </c>
    </row>
    <row r="1185" spans="1:32" x14ac:dyDescent="0.25">
      <c r="A1185">
        <v>592</v>
      </c>
      <c r="B1185">
        <v>36</v>
      </c>
      <c r="C1185" t="s">
        <v>43</v>
      </c>
      <c r="D1185" t="s">
        <v>63</v>
      </c>
      <c r="E1185" t="s">
        <v>56</v>
      </c>
      <c r="F1185" t="s">
        <v>35</v>
      </c>
      <c r="G1185" t="s">
        <v>38</v>
      </c>
      <c r="H1185" t="s">
        <v>37</v>
      </c>
      <c r="I1185" t="s">
        <v>50</v>
      </c>
      <c r="J1185" t="s">
        <v>57</v>
      </c>
      <c r="K1185">
        <v>4</v>
      </c>
      <c r="L1185">
        <v>3</v>
      </c>
      <c r="M1185" t="s">
        <v>60</v>
      </c>
      <c r="N1185" t="s">
        <v>41</v>
      </c>
      <c r="O1185" t="s">
        <v>42</v>
      </c>
      <c r="P1185" t="s">
        <v>43</v>
      </c>
      <c r="Q1185">
        <v>14</v>
      </c>
      <c r="R1185">
        <v>1</v>
      </c>
      <c r="S1185">
        <v>10</v>
      </c>
      <c r="T1185">
        <v>9</v>
      </c>
      <c r="U1185">
        <v>7</v>
      </c>
      <c r="V1185">
        <v>10</v>
      </c>
      <c r="W1185">
        <v>32</v>
      </c>
      <c r="X1185">
        <v>635</v>
      </c>
      <c r="Y1185">
        <v>15318</v>
      </c>
      <c r="Z1185">
        <v>9980</v>
      </c>
      <c r="AA1185">
        <v>3</v>
      </c>
      <c r="AB1185">
        <v>31832</v>
      </c>
      <c r="AC1185" s="10">
        <v>41275</v>
      </c>
      <c r="AD1185" s="10" t="s">
        <v>72</v>
      </c>
      <c r="AE1185" t="s">
        <v>72</v>
      </c>
      <c r="AF1185" t="s">
        <v>45</v>
      </c>
    </row>
    <row r="1186" spans="1:32" x14ac:dyDescent="0.25">
      <c r="A1186">
        <v>772</v>
      </c>
      <c r="B1186">
        <v>32</v>
      </c>
      <c r="C1186" t="s">
        <v>43</v>
      </c>
      <c r="D1186" t="s">
        <v>46</v>
      </c>
      <c r="E1186" t="s">
        <v>34</v>
      </c>
      <c r="F1186" t="s">
        <v>35</v>
      </c>
      <c r="G1186" t="s">
        <v>36</v>
      </c>
      <c r="H1186" t="s">
        <v>37</v>
      </c>
      <c r="I1186" t="s">
        <v>50</v>
      </c>
      <c r="J1186" t="s">
        <v>51</v>
      </c>
      <c r="K1186">
        <v>4</v>
      </c>
      <c r="L1186">
        <v>3</v>
      </c>
      <c r="M1186" t="s">
        <v>48</v>
      </c>
      <c r="N1186" t="s">
        <v>61</v>
      </c>
      <c r="O1186" t="s">
        <v>53</v>
      </c>
      <c r="P1186" t="s">
        <v>43</v>
      </c>
      <c r="Q1186">
        <v>15</v>
      </c>
      <c r="R1186">
        <v>1</v>
      </c>
      <c r="S1186">
        <v>10</v>
      </c>
      <c r="T1186">
        <v>4</v>
      </c>
      <c r="U1186">
        <v>7</v>
      </c>
      <c r="V1186">
        <v>24</v>
      </c>
      <c r="W1186">
        <v>80</v>
      </c>
      <c r="X1186">
        <v>430</v>
      </c>
      <c r="Y1186">
        <v>21146</v>
      </c>
      <c r="Z1186">
        <v>5309</v>
      </c>
      <c r="AA1186">
        <v>2</v>
      </c>
      <c r="AB1186">
        <v>33287</v>
      </c>
      <c r="AC1186" s="10">
        <v>41289</v>
      </c>
      <c r="AD1186" s="10" t="s">
        <v>72</v>
      </c>
      <c r="AE1186" t="s">
        <v>72</v>
      </c>
      <c r="AF1186" t="s">
        <v>45</v>
      </c>
    </row>
    <row r="1187" spans="1:32" x14ac:dyDescent="0.25">
      <c r="A1187">
        <v>1985</v>
      </c>
      <c r="B1187">
        <v>40</v>
      </c>
      <c r="C1187" t="s">
        <v>43</v>
      </c>
      <c r="D1187" t="s">
        <v>46</v>
      </c>
      <c r="E1187" t="s">
        <v>34</v>
      </c>
      <c r="F1187" t="s">
        <v>49</v>
      </c>
      <c r="G1187" t="s">
        <v>59</v>
      </c>
      <c r="H1187" t="s">
        <v>47</v>
      </c>
      <c r="I1187" t="s">
        <v>50</v>
      </c>
      <c r="J1187" t="s">
        <v>51</v>
      </c>
      <c r="K1187">
        <v>3</v>
      </c>
      <c r="L1187">
        <v>3</v>
      </c>
      <c r="M1187" t="s">
        <v>58</v>
      </c>
      <c r="N1187" t="s">
        <v>61</v>
      </c>
      <c r="O1187" t="s">
        <v>36</v>
      </c>
      <c r="P1187" t="s">
        <v>43</v>
      </c>
      <c r="Q1187">
        <v>11</v>
      </c>
      <c r="R1187">
        <v>1</v>
      </c>
      <c r="S1187">
        <v>10</v>
      </c>
      <c r="T1187">
        <v>9</v>
      </c>
      <c r="U1187">
        <v>4</v>
      </c>
      <c r="V1187">
        <v>11</v>
      </c>
      <c r="W1187">
        <v>73</v>
      </c>
      <c r="X1187">
        <v>692</v>
      </c>
      <c r="Y1187">
        <v>26849</v>
      </c>
      <c r="Z1187">
        <v>6323</v>
      </c>
      <c r="AA1187">
        <v>2</v>
      </c>
      <c r="AB1187">
        <v>30396</v>
      </c>
      <c r="AC1187" s="10">
        <v>41295</v>
      </c>
      <c r="AD1187" s="10" t="s">
        <v>72</v>
      </c>
      <c r="AE1187" t="s">
        <v>72</v>
      </c>
      <c r="AF1187" t="s">
        <v>55</v>
      </c>
    </row>
    <row r="1188" spans="1:32" x14ac:dyDescent="0.25">
      <c r="A1188">
        <v>428</v>
      </c>
      <c r="B1188">
        <v>33</v>
      </c>
      <c r="C1188" t="s">
        <v>43</v>
      </c>
      <c r="D1188" t="s">
        <v>46</v>
      </c>
      <c r="E1188" t="s">
        <v>34</v>
      </c>
      <c r="F1188" t="s">
        <v>35</v>
      </c>
      <c r="G1188" t="s">
        <v>59</v>
      </c>
      <c r="H1188" t="s">
        <v>47</v>
      </c>
      <c r="I1188" t="s">
        <v>50</v>
      </c>
      <c r="J1188" t="s">
        <v>69</v>
      </c>
      <c r="K1188">
        <v>2</v>
      </c>
      <c r="L1188">
        <v>3</v>
      </c>
      <c r="M1188" t="s">
        <v>48</v>
      </c>
      <c r="N1188" t="s">
        <v>61</v>
      </c>
      <c r="O1188" t="s">
        <v>53</v>
      </c>
      <c r="P1188" t="s">
        <v>43</v>
      </c>
      <c r="Q1188">
        <v>11</v>
      </c>
      <c r="R1188">
        <v>6</v>
      </c>
      <c r="S1188">
        <v>12</v>
      </c>
      <c r="T1188">
        <v>8</v>
      </c>
      <c r="U1188">
        <v>8</v>
      </c>
      <c r="V1188">
        <v>5</v>
      </c>
      <c r="W1188">
        <v>74</v>
      </c>
      <c r="X1188">
        <v>553</v>
      </c>
      <c r="Y1188">
        <v>23364</v>
      </c>
      <c r="Z1188">
        <v>11878</v>
      </c>
      <c r="AA1188">
        <v>2</v>
      </c>
      <c r="AB1188">
        <v>32758</v>
      </c>
      <c r="AC1188" s="10">
        <v>41308</v>
      </c>
      <c r="AD1188" s="10" t="s">
        <v>72</v>
      </c>
      <c r="AE1188" t="s">
        <v>72</v>
      </c>
      <c r="AF1188" t="s">
        <v>45</v>
      </c>
    </row>
    <row r="1189" spans="1:32" x14ac:dyDescent="0.25">
      <c r="A1189">
        <v>79</v>
      </c>
      <c r="B1189">
        <v>38</v>
      </c>
      <c r="C1189" t="s">
        <v>43</v>
      </c>
      <c r="D1189" t="s">
        <v>46</v>
      </c>
      <c r="E1189" t="s">
        <v>34</v>
      </c>
      <c r="F1189" t="s">
        <v>70</v>
      </c>
      <c r="G1189" t="s">
        <v>59</v>
      </c>
      <c r="H1189" t="s">
        <v>47</v>
      </c>
      <c r="I1189" t="s">
        <v>50</v>
      </c>
      <c r="J1189" t="s">
        <v>51</v>
      </c>
      <c r="K1189">
        <v>4</v>
      </c>
      <c r="L1189">
        <v>3</v>
      </c>
      <c r="M1189" t="s">
        <v>48</v>
      </c>
      <c r="N1189" t="s">
        <v>41</v>
      </c>
      <c r="O1189" t="s">
        <v>42</v>
      </c>
      <c r="P1189" t="s">
        <v>43</v>
      </c>
      <c r="Q1189">
        <v>11</v>
      </c>
      <c r="R1189">
        <v>1</v>
      </c>
      <c r="S1189">
        <v>10</v>
      </c>
      <c r="T1189">
        <v>9</v>
      </c>
      <c r="U1189">
        <v>9</v>
      </c>
      <c r="V1189">
        <v>29</v>
      </c>
      <c r="W1189">
        <v>50</v>
      </c>
      <c r="X1189">
        <v>653</v>
      </c>
      <c r="Y1189">
        <v>5456</v>
      </c>
      <c r="Z1189">
        <v>2406</v>
      </c>
      <c r="AA1189">
        <v>2</v>
      </c>
      <c r="AB1189">
        <v>30982</v>
      </c>
      <c r="AC1189" s="10">
        <v>41372</v>
      </c>
      <c r="AD1189" s="10" t="s">
        <v>72</v>
      </c>
      <c r="AE1189" t="s">
        <v>72</v>
      </c>
      <c r="AF1189" t="s">
        <v>45</v>
      </c>
    </row>
    <row r="1190" spans="1:32" x14ac:dyDescent="0.25">
      <c r="A1190">
        <v>992</v>
      </c>
      <c r="B1190">
        <v>33</v>
      </c>
      <c r="C1190" t="s">
        <v>43</v>
      </c>
      <c r="D1190" t="s">
        <v>63</v>
      </c>
      <c r="E1190" t="s">
        <v>56</v>
      </c>
      <c r="F1190" t="s">
        <v>49</v>
      </c>
      <c r="G1190" t="s">
        <v>59</v>
      </c>
      <c r="H1190" t="s">
        <v>37</v>
      </c>
      <c r="I1190" t="s">
        <v>50</v>
      </c>
      <c r="J1190" t="s">
        <v>69</v>
      </c>
      <c r="K1190">
        <v>3</v>
      </c>
      <c r="L1190">
        <v>3</v>
      </c>
      <c r="M1190" t="s">
        <v>48</v>
      </c>
      <c r="N1190" t="s">
        <v>41</v>
      </c>
      <c r="O1190" t="s">
        <v>42</v>
      </c>
      <c r="P1190" t="s">
        <v>43</v>
      </c>
      <c r="Q1190">
        <v>11</v>
      </c>
      <c r="R1190">
        <v>1</v>
      </c>
      <c r="S1190">
        <v>10</v>
      </c>
      <c r="T1190">
        <v>6</v>
      </c>
      <c r="U1190">
        <v>0</v>
      </c>
      <c r="V1190">
        <v>17</v>
      </c>
      <c r="W1190">
        <v>38</v>
      </c>
      <c r="X1190">
        <v>722</v>
      </c>
      <c r="Y1190">
        <v>20489</v>
      </c>
      <c r="Z1190">
        <v>17444</v>
      </c>
      <c r="AA1190">
        <v>2</v>
      </c>
      <c r="AB1190">
        <v>32784</v>
      </c>
      <c r="AC1190" s="10">
        <v>41419</v>
      </c>
      <c r="AD1190" s="10" t="s">
        <v>72</v>
      </c>
      <c r="AE1190" t="s">
        <v>72</v>
      </c>
      <c r="AF1190" t="s">
        <v>45</v>
      </c>
    </row>
    <row r="1191" spans="1:32" x14ac:dyDescent="0.25">
      <c r="A1191">
        <v>1324</v>
      </c>
      <c r="B1191">
        <v>31</v>
      </c>
      <c r="C1191" t="s">
        <v>43</v>
      </c>
      <c r="D1191" t="s">
        <v>63</v>
      </c>
      <c r="E1191" t="s">
        <v>56</v>
      </c>
      <c r="F1191" t="s">
        <v>35</v>
      </c>
      <c r="G1191" t="s">
        <v>59</v>
      </c>
      <c r="H1191" t="s">
        <v>47</v>
      </c>
      <c r="I1191" t="s">
        <v>50</v>
      </c>
      <c r="J1191" t="s">
        <v>57</v>
      </c>
      <c r="K1191">
        <v>3</v>
      </c>
      <c r="L1191">
        <v>3</v>
      </c>
      <c r="M1191" t="s">
        <v>60</v>
      </c>
      <c r="N1191" t="s">
        <v>52</v>
      </c>
      <c r="O1191" t="s">
        <v>36</v>
      </c>
      <c r="P1191" t="s">
        <v>32</v>
      </c>
      <c r="Q1191">
        <v>19</v>
      </c>
      <c r="R1191">
        <v>1</v>
      </c>
      <c r="S1191">
        <v>10</v>
      </c>
      <c r="T1191">
        <v>9</v>
      </c>
      <c r="U1191">
        <v>6</v>
      </c>
      <c r="V1191">
        <v>2</v>
      </c>
      <c r="W1191">
        <v>57</v>
      </c>
      <c r="X1191">
        <v>587</v>
      </c>
      <c r="Y1191">
        <v>8935</v>
      </c>
      <c r="Z1191">
        <v>9852</v>
      </c>
      <c r="AA1191">
        <v>5</v>
      </c>
      <c r="AB1191">
        <v>33677</v>
      </c>
      <c r="AC1191" s="10">
        <v>41441</v>
      </c>
      <c r="AD1191" s="10" t="s">
        <v>72</v>
      </c>
      <c r="AE1191" t="s">
        <v>72</v>
      </c>
      <c r="AF1191" t="s">
        <v>45</v>
      </c>
    </row>
    <row r="1192" spans="1:32" x14ac:dyDescent="0.25">
      <c r="A1192">
        <v>1315</v>
      </c>
      <c r="B1192">
        <v>28</v>
      </c>
      <c r="C1192" t="s">
        <v>43</v>
      </c>
      <c r="D1192" t="s">
        <v>63</v>
      </c>
      <c r="E1192" t="s">
        <v>34</v>
      </c>
      <c r="F1192" t="s">
        <v>49</v>
      </c>
      <c r="G1192" t="s">
        <v>50</v>
      </c>
      <c r="H1192" t="s">
        <v>47</v>
      </c>
      <c r="I1192" t="s">
        <v>36</v>
      </c>
      <c r="J1192" t="s">
        <v>51</v>
      </c>
      <c r="K1192">
        <v>4</v>
      </c>
      <c r="L1192">
        <v>3</v>
      </c>
      <c r="M1192" t="s">
        <v>48</v>
      </c>
      <c r="N1192" t="s">
        <v>61</v>
      </c>
      <c r="O1192" t="s">
        <v>50</v>
      </c>
      <c r="P1192" t="s">
        <v>43</v>
      </c>
      <c r="Q1192">
        <v>11</v>
      </c>
      <c r="R1192">
        <v>0</v>
      </c>
      <c r="S1192">
        <v>10</v>
      </c>
      <c r="T1192">
        <v>7</v>
      </c>
      <c r="U1192">
        <v>5</v>
      </c>
      <c r="V1192">
        <v>1</v>
      </c>
      <c r="W1192">
        <v>55</v>
      </c>
      <c r="X1192">
        <v>1476</v>
      </c>
      <c r="Y1192">
        <v>16392</v>
      </c>
      <c r="Z1192">
        <v>6674</v>
      </c>
      <c r="AA1192">
        <v>6</v>
      </c>
      <c r="AB1192">
        <v>34840</v>
      </c>
      <c r="AC1192" s="10">
        <v>41504</v>
      </c>
      <c r="AD1192" s="10" t="s">
        <v>72</v>
      </c>
      <c r="AE1192" t="s">
        <v>72</v>
      </c>
      <c r="AF1192" t="s">
        <v>45</v>
      </c>
    </row>
    <row r="1193" spans="1:32" x14ac:dyDescent="0.25">
      <c r="A1193">
        <v>1468</v>
      </c>
      <c r="B1193">
        <v>40</v>
      </c>
      <c r="C1193" t="s">
        <v>43</v>
      </c>
      <c r="D1193" t="s">
        <v>63</v>
      </c>
      <c r="E1193" t="s">
        <v>34</v>
      </c>
      <c r="F1193" t="s">
        <v>64</v>
      </c>
      <c r="G1193" t="s">
        <v>59</v>
      </c>
      <c r="H1193" t="s">
        <v>37</v>
      </c>
      <c r="I1193" t="s">
        <v>38</v>
      </c>
      <c r="J1193" t="s">
        <v>71</v>
      </c>
      <c r="K1193">
        <v>2</v>
      </c>
      <c r="L1193">
        <v>3</v>
      </c>
      <c r="M1193" t="s">
        <v>48</v>
      </c>
      <c r="N1193" t="s">
        <v>52</v>
      </c>
      <c r="O1193" t="s">
        <v>36</v>
      </c>
      <c r="P1193" t="s">
        <v>43</v>
      </c>
      <c r="Q1193">
        <v>11</v>
      </c>
      <c r="R1193">
        <v>2</v>
      </c>
      <c r="S1193">
        <v>16</v>
      </c>
      <c r="T1193">
        <v>4</v>
      </c>
      <c r="U1193">
        <v>8</v>
      </c>
      <c r="V1193">
        <v>8</v>
      </c>
      <c r="W1193">
        <v>55</v>
      </c>
      <c r="X1193">
        <v>218</v>
      </c>
      <c r="Y1193">
        <v>25178</v>
      </c>
      <c r="Z1193">
        <v>13757</v>
      </c>
      <c r="AA1193">
        <v>5</v>
      </c>
      <c r="AB1193">
        <v>30373</v>
      </c>
      <c r="AC1193" s="10">
        <v>41533</v>
      </c>
      <c r="AD1193" s="10" t="s">
        <v>72</v>
      </c>
      <c r="AE1193" t="s">
        <v>72</v>
      </c>
      <c r="AF1193" t="s">
        <v>45</v>
      </c>
    </row>
    <row r="1194" spans="1:32" x14ac:dyDescent="0.25">
      <c r="A1194">
        <v>154</v>
      </c>
      <c r="B1194">
        <v>36</v>
      </c>
      <c r="C1194" t="s">
        <v>43</v>
      </c>
      <c r="D1194" t="s">
        <v>46</v>
      </c>
      <c r="E1194" t="s">
        <v>56</v>
      </c>
      <c r="F1194" t="s">
        <v>67</v>
      </c>
      <c r="G1194" t="s">
        <v>38</v>
      </c>
      <c r="H1194" t="s">
        <v>47</v>
      </c>
      <c r="I1194" t="s">
        <v>50</v>
      </c>
      <c r="J1194" t="s">
        <v>57</v>
      </c>
      <c r="K1194">
        <v>4</v>
      </c>
      <c r="L1194">
        <v>3</v>
      </c>
      <c r="M1194" t="s">
        <v>48</v>
      </c>
      <c r="N1194" t="s">
        <v>61</v>
      </c>
      <c r="O1194" t="s">
        <v>36</v>
      </c>
      <c r="P1194" t="s">
        <v>43</v>
      </c>
      <c r="Q1194">
        <v>14</v>
      </c>
      <c r="R1194">
        <v>0</v>
      </c>
      <c r="S1194">
        <v>10</v>
      </c>
      <c r="T1194">
        <v>2</v>
      </c>
      <c r="U1194">
        <v>8</v>
      </c>
      <c r="V1194">
        <v>11</v>
      </c>
      <c r="W1194">
        <v>92</v>
      </c>
      <c r="X1194">
        <v>1467</v>
      </c>
      <c r="Y1194">
        <v>22952</v>
      </c>
      <c r="Z1194">
        <v>9738</v>
      </c>
      <c r="AA1194">
        <v>6</v>
      </c>
      <c r="AB1194">
        <v>31845</v>
      </c>
      <c r="AC1194" s="10">
        <v>41567</v>
      </c>
      <c r="AD1194" s="10" t="s">
        <v>72</v>
      </c>
      <c r="AE1194" t="s">
        <v>72</v>
      </c>
      <c r="AF1194" t="s">
        <v>45</v>
      </c>
    </row>
    <row r="1195" spans="1:32" x14ac:dyDescent="0.25">
      <c r="A1195">
        <v>207</v>
      </c>
      <c r="B1195">
        <v>32</v>
      </c>
      <c r="C1195" t="s">
        <v>43</v>
      </c>
      <c r="D1195" t="s">
        <v>46</v>
      </c>
      <c r="E1195" t="s">
        <v>56</v>
      </c>
      <c r="F1195" t="s">
        <v>49</v>
      </c>
      <c r="G1195" t="s">
        <v>38</v>
      </c>
      <c r="H1195" t="s">
        <v>47</v>
      </c>
      <c r="I1195" t="s">
        <v>50</v>
      </c>
      <c r="J1195" t="s">
        <v>57</v>
      </c>
      <c r="K1195">
        <v>4</v>
      </c>
      <c r="L1195">
        <v>3</v>
      </c>
      <c r="M1195" t="s">
        <v>48</v>
      </c>
      <c r="N1195" t="s">
        <v>41</v>
      </c>
      <c r="O1195" t="s">
        <v>42</v>
      </c>
      <c r="P1195" t="s">
        <v>43</v>
      </c>
      <c r="Q1195">
        <v>14</v>
      </c>
      <c r="R1195">
        <v>1</v>
      </c>
      <c r="S1195">
        <v>9</v>
      </c>
      <c r="T1195">
        <v>3</v>
      </c>
      <c r="U1195">
        <v>7</v>
      </c>
      <c r="V1195">
        <v>8</v>
      </c>
      <c r="W1195">
        <v>43</v>
      </c>
      <c r="X1195">
        <v>967</v>
      </c>
      <c r="Y1195">
        <v>15589</v>
      </c>
      <c r="Z1195">
        <v>8998</v>
      </c>
      <c r="AA1195">
        <v>2</v>
      </c>
      <c r="AB1195">
        <v>33190</v>
      </c>
      <c r="AC1195" s="10">
        <v>41581</v>
      </c>
      <c r="AD1195" s="10" t="s">
        <v>72</v>
      </c>
      <c r="AE1195" t="s">
        <v>72</v>
      </c>
      <c r="AF1195" t="s">
        <v>55</v>
      </c>
    </row>
    <row r="1196" spans="1:32" x14ac:dyDescent="0.25">
      <c r="A1196">
        <v>1615</v>
      </c>
      <c r="B1196">
        <v>34</v>
      </c>
      <c r="C1196" t="s">
        <v>43</v>
      </c>
      <c r="D1196" t="s">
        <v>46</v>
      </c>
      <c r="E1196" t="s">
        <v>34</v>
      </c>
      <c r="F1196" t="s">
        <v>35</v>
      </c>
      <c r="G1196" t="s">
        <v>50</v>
      </c>
      <c r="H1196" t="s">
        <v>37</v>
      </c>
      <c r="I1196" t="s">
        <v>59</v>
      </c>
      <c r="J1196" t="s">
        <v>65</v>
      </c>
      <c r="K1196">
        <v>4</v>
      </c>
      <c r="L1196">
        <v>3</v>
      </c>
      <c r="M1196" t="s">
        <v>48</v>
      </c>
      <c r="N1196" t="s">
        <v>52</v>
      </c>
      <c r="O1196" t="s">
        <v>36</v>
      </c>
      <c r="P1196" t="s">
        <v>43</v>
      </c>
      <c r="Q1196">
        <v>13</v>
      </c>
      <c r="R1196">
        <v>1</v>
      </c>
      <c r="S1196">
        <v>9</v>
      </c>
      <c r="T1196">
        <v>7</v>
      </c>
      <c r="U1196">
        <v>2</v>
      </c>
      <c r="V1196">
        <v>10</v>
      </c>
      <c r="W1196">
        <v>42</v>
      </c>
      <c r="X1196">
        <v>426</v>
      </c>
      <c r="Y1196">
        <v>17000</v>
      </c>
      <c r="Z1196">
        <v>4724</v>
      </c>
      <c r="AA1196">
        <v>3</v>
      </c>
      <c r="AB1196">
        <v>32640</v>
      </c>
      <c r="AC1196" s="10">
        <v>41618</v>
      </c>
      <c r="AD1196" s="10" t="s">
        <v>72</v>
      </c>
      <c r="AE1196" t="s">
        <v>72</v>
      </c>
      <c r="AF1196" t="s">
        <v>45</v>
      </c>
    </row>
    <row r="1197" spans="1:32" x14ac:dyDescent="0.25">
      <c r="A1197">
        <v>1633</v>
      </c>
      <c r="B1197">
        <v>39</v>
      </c>
      <c r="C1197" t="s">
        <v>43</v>
      </c>
      <c r="D1197" t="s">
        <v>46</v>
      </c>
      <c r="E1197" t="s">
        <v>34</v>
      </c>
      <c r="F1197" t="s">
        <v>49</v>
      </c>
      <c r="G1197" t="s">
        <v>36</v>
      </c>
      <c r="H1197" t="s">
        <v>47</v>
      </c>
      <c r="I1197" t="s">
        <v>50</v>
      </c>
      <c r="J1197" t="s">
        <v>65</v>
      </c>
      <c r="K1197">
        <v>3</v>
      </c>
      <c r="L1197">
        <v>3</v>
      </c>
      <c r="M1197" t="s">
        <v>40</v>
      </c>
      <c r="N1197" t="s">
        <v>41</v>
      </c>
      <c r="O1197" t="s">
        <v>42</v>
      </c>
      <c r="P1197" t="s">
        <v>43</v>
      </c>
      <c r="Q1197">
        <v>13</v>
      </c>
      <c r="R1197">
        <v>0</v>
      </c>
      <c r="S1197">
        <v>10</v>
      </c>
      <c r="T1197">
        <v>3</v>
      </c>
      <c r="U1197">
        <v>8</v>
      </c>
      <c r="V1197">
        <v>4</v>
      </c>
      <c r="W1197">
        <v>81</v>
      </c>
      <c r="X1197">
        <v>711</v>
      </c>
      <c r="Y1197">
        <v>3140</v>
      </c>
      <c r="Z1197">
        <v>5042</v>
      </c>
      <c r="AA1197">
        <v>2</v>
      </c>
      <c r="AB1197">
        <v>30754</v>
      </c>
      <c r="AC1197" s="10">
        <v>41659</v>
      </c>
      <c r="AD1197" s="10" t="s">
        <v>72</v>
      </c>
      <c r="AE1197" t="s">
        <v>72</v>
      </c>
      <c r="AF1197" t="s">
        <v>45</v>
      </c>
    </row>
    <row r="1198" spans="1:32" x14ac:dyDescent="0.25">
      <c r="A1198">
        <v>626</v>
      </c>
      <c r="B1198">
        <v>37</v>
      </c>
      <c r="C1198" t="s">
        <v>43</v>
      </c>
      <c r="D1198" t="s">
        <v>63</v>
      </c>
      <c r="E1198" t="s">
        <v>56</v>
      </c>
      <c r="F1198" t="s">
        <v>35</v>
      </c>
      <c r="G1198" t="s">
        <v>36</v>
      </c>
      <c r="H1198" t="s">
        <v>37</v>
      </c>
      <c r="I1198" t="s">
        <v>50</v>
      </c>
      <c r="J1198" t="s">
        <v>57</v>
      </c>
      <c r="K1198">
        <v>2</v>
      </c>
      <c r="L1198">
        <v>3</v>
      </c>
      <c r="M1198" t="s">
        <v>48</v>
      </c>
      <c r="N1198" t="s">
        <v>52</v>
      </c>
      <c r="O1198" t="s">
        <v>36</v>
      </c>
      <c r="P1198" t="s">
        <v>43</v>
      </c>
      <c r="Q1198">
        <v>13</v>
      </c>
      <c r="R1198">
        <v>1</v>
      </c>
      <c r="S1198">
        <v>9</v>
      </c>
      <c r="T1198">
        <v>7</v>
      </c>
      <c r="U1198">
        <v>7</v>
      </c>
      <c r="V1198">
        <v>9</v>
      </c>
      <c r="W1198">
        <v>69</v>
      </c>
      <c r="X1198">
        <v>142</v>
      </c>
      <c r="Y1198">
        <v>24666</v>
      </c>
      <c r="Z1198">
        <v>8834</v>
      </c>
      <c r="AA1198">
        <v>6</v>
      </c>
      <c r="AB1198">
        <v>31442</v>
      </c>
      <c r="AC1198" s="10">
        <v>41667</v>
      </c>
      <c r="AD1198" s="10" t="s">
        <v>72</v>
      </c>
      <c r="AE1198" t="s">
        <v>72</v>
      </c>
      <c r="AF1198" t="s">
        <v>45</v>
      </c>
    </row>
    <row r="1199" spans="1:32" x14ac:dyDescent="0.25">
      <c r="A1199">
        <v>1074</v>
      </c>
      <c r="B1199">
        <v>55</v>
      </c>
      <c r="C1199" t="s">
        <v>43</v>
      </c>
      <c r="D1199" t="s">
        <v>63</v>
      </c>
      <c r="E1199" t="s">
        <v>34</v>
      </c>
      <c r="F1199" t="s">
        <v>64</v>
      </c>
      <c r="G1199" t="s">
        <v>50</v>
      </c>
      <c r="H1199" t="s">
        <v>37</v>
      </c>
      <c r="I1199" t="s">
        <v>38</v>
      </c>
      <c r="J1199" t="s">
        <v>69</v>
      </c>
      <c r="K1199">
        <v>1</v>
      </c>
      <c r="L1199">
        <v>3</v>
      </c>
      <c r="M1199" t="s">
        <v>58</v>
      </c>
      <c r="N1199" t="s">
        <v>41</v>
      </c>
      <c r="O1199" t="s">
        <v>42</v>
      </c>
      <c r="P1199" t="s">
        <v>43</v>
      </c>
      <c r="Q1199">
        <v>15</v>
      </c>
      <c r="R1199">
        <v>7</v>
      </c>
      <c r="S1199">
        <v>31</v>
      </c>
      <c r="T1199">
        <v>6</v>
      </c>
      <c r="U1199">
        <v>2</v>
      </c>
      <c r="V1199">
        <v>2</v>
      </c>
      <c r="W1199">
        <v>40</v>
      </c>
      <c r="X1199">
        <v>444</v>
      </c>
      <c r="Y1199">
        <v>17323</v>
      </c>
      <c r="Z1199">
        <v>16756</v>
      </c>
      <c r="AA1199">
        <v>3</v>
      </c>
      <c r="AB1199">
        <v>24699</v>
      </c>
      <c r="AC1199" s="10">
        <v>41732</v>
      </c>
      <c r="AD1199" s="10" t="s">
        <v>72</v>
      </c>
      <c r="AE1199" t="s">
        <v>72</v>
      </c>
      <c r="AF1199" t="s">
        <v>55</v>
      </c>
    </row>
    <row r="1200" spans="1:32" x14ac:dyDescent="0.25">
      <c r="A1200">
        <v>567</v>
      </c>
      <c r="B1200">
        <v>30</v>
      </c>
      <c r="C1200" t="s">
        <v>43</v>
      </c>
      <c r="D1200" t="s">
        <v>63</v>
      </c>
      <c r="E1200" t="s">
        <v>56</v>
      </c>
      <c r="F1200" t="s">
        <v>35</v>
      </c>
      <c r="G1200" t="s">
        <v>50</v>
      </c>
      <c r="H1200" t="s">
        <v>47</v>
      </c>
      <c r="I1200" t="s">
        <v>50</v>
      </c>
      <c r="J1200" t="s">
        <v>57</v>
      </c>
      <c r="K1200">
        <v>1</v>
      </c>
      <c r="L1200">
        <v>3</v>
      </c>
      <c r="M1200" t="s">
        <v>48</v>
      </c>
      <c r="N1200" t="s">
        <v>61</v>
      </c>
      <c r="O1200" t="s">
        <v>42</v>
      </c>
      <c r="P1200" t="s">
        <v>43</v>
      </c>
      <c r="Q1200">
        <v>11</v>
      </c>
      <c r="R1200">
        <v>0</v>
      </c>
      <c r="S1200">
        <v>10</v>
      </c>
      <c r="T1200">
        <v>7</v>
      </c>
      <c r="U1200">
        <v>8</v>
      </c>
      <c r="V1200">
        <v>22</v>
      </c>
      <c r="W1200">
        <v>69</v>
      </c>
      <c r="X1200">
        <v>1398</v>
      </c>
      <c r="Y1200">
        <v>2890</v>
      </c>
      <c r="Z1200">
        <v>8412</v>
      </c>
      <c r="AA1200">
        <v>3</v>
      </c>
      <c r="AB1200">
        <v>33946</v>
      </c>
      <c r="AC1200" s="10">
        <v>41747</v>
      </c>
      <c r="AD1200" s="10" t="s">
        <v>72</v>
      </c>
      <c r="AE1200" t="s">
        <v>72</v>
      </c>
      <c r="AF1200" t="s">
        <v>45</v>
      </c>
    </row>
    <row r="1201" spans="1:32" x14ac:dyDescent="0.25">
      <c r="A1201">
        <v>1737</v>
      </c>
      <c r="B1201">
        <v>39</v>
      </c>
      <c r="C1201" t="s">
        <v>43</v>
      </c>
      <c r="D1201" t="s">
        <v>63</v>
      </c>
      <c r="E1201" t="s">
        <v>34</v>
      </c>
      <c r="F1201" t="s">
        <v>49</v>
      </c>
      <c r="G1201" t="s">
        <v>59</v>
      </c>
      <c r="H1201" t="s">
        <v>37</v>
      </c>
      <c r="I1201" t="s">
        <v>50</v>
      </c>
      <c r="J1201" t="s">
        <v>51</v>
      </c>
      <c r="K1201">
        <v>4</v>
      </c>
      <c r="L1201">
        <v>3</v>
      </c>
      <c r="M1201" t="s">
        <v>48</v>
      </c>
      <c r="N1201" t="s">
        <v>61</v>
      </c>
      <c r="O1201" t="s">
        <v>36</v>
      </c>
      <c r="P1201" t="s">
        <v>32</v>
      </c>
      <c r="Q1201">
        <v>15</v>
      </c>
      <c r="R1201">
        <v>1</v>
      </c>
      <c r="S1201">
        <v>9</v>
      </c>
      <c r="T1201">
        <v>5</v>
      </c>
      <c r="U1201">
        <v>8</v>
      </c>
      <c r="V1201">
        <v>1</v>
      </c>
      <c r="W1201">
        <v>77</v>
      </c>
      <c r="X1201">
        <v>792</v>
      </c>
      <c r="Y1201">
        <v>8989</v>
      </c>
      <c r="Z1201">
        <v>6472</v>
      </c>
      <c r="AA1201">
        <v>2</v>
      </c>
      <c r="AB1201">
        <v>30740</v>
      </c>
      <c r="AC1201" s="10">
        <v>41782</v>
      </c>
      <c r="AD1201" s="10" t="s">
        <v>72</v>
      </c>
      <c r="AE1201" t="s">
        <v>72</v>
      </c>
      <c r="AF1201" t="s">
        <v>45</v>
      </c>
    </row>
    <row r="1202" spans="1:32" x14ac:dyDescent="0.25">
      <c r="A1202">
        <v>311</v>
      </c>
      <c r="B1202">
        <v>37</v>
      </c>
      <c r="C1202" t="s">
        <v>43</v>
      </c>
      <c r="D1202" t="s">
        <v>46</v>
      </c>
      <c r="E1202" t="s">
        <v>56</v>
      </c>
      <c r="F1202" t="s">
        <v>35</v>
      </c>
      <c r="G1202" t="s">
        <v>36</v>
      </c>
      <c r="H1202" t="s">
        <v>37</v>
      </c>
      <c r="I1202" t="s">
        <v>50</v>
      </c>
      <c r="J1202" t="s">
        <v>66</v>
      </c>
      <c r="K1202">
        <v>4</v>
      </c>
      <c r="L1202">
        <v>3</v>
      </c>
      <c r="M1202" t="s">
        <v>48</v>
      </c>
      <c r="N1202" t="s">
        <v>52</v>
      </c>
      <c r="O1202" t="s">
        <v>36</v>
      </c>
      <c r="P1202" t="s">
        <v>43</v>
      </c>
      <c r="Q1202">
        <v>17</v>
      </c>
      <c r="R1202">
        <v>4</v>
      </c>
      <c r="S1202">
        <v>13</v>
      </c>
      <c r="T1202">
        <v>5</v>
      </c>
      <c r="U1202">
        <v>8</v>
      </c>
      <c r="V1202">
        <v>4</v>
      </c>
      <c r="W1202">
        <v>41</v>
      </c>
      <c r="X1202">
        <v>319</v>
      </c>
      <c r="Y1202">
        <v>2539</v>
      </c>
      <c r="Z1202">
        <v>2793</v>
      </c>
      <c r="AA1202">
        <v>2</v>
      </c>
      <c r="AB1202">
        <v>31569</v>
      </c>
      <c r="AC1202" s="10">
        <v>41811</v>
      </c>
      <c r="AD1202" s="10" t="s">
        <v>72</v>
      </c>
      <c r="AE1202" t="s">
        <v>72</v>
      </c>
      <c r="AF1202" t="s">
        <v>55</v>
      </c>
    </row>
    <row r="1203" spans="1:32" x14ac:dyDescent="0.25">
      <c r="A1203">
        <v>361</v>
      </c>
      <c r="B1203">
        <v>38</v>
      </c>
      <c r="C1203" t="s">
        <v>43</v>
      </c>
      <c r="D1203" t="s">
        <v>63</v>
      </c>
      <c r="E1203" t="s">
        <v>56</v>
      </c>
      <c r="F1203" t="s">
        <v>67</v>
      </c>
      <c r="G1203" t="s">
        <v>59</v>
      </c>
      <c r="H1203" t="s">
        <v>37</v>
      </c>
      <c r="I1203" t="s">
        <v>38</v>
      </c>
      <c r="J1203" t="s">
        <v>57</v>
      </c>
      <c r="K1203">
        <v>4</v>
      </c>
      <c r="L1203">
        <v>3</v>
      </c>
      <c r="M1203" t="s">
        <v>48</v>
      </c>
      <c r="N1203" t="s">
        <v>61</v>
      </c>
      <c r="O1203" t="s">
        <v>36</v>
      </c>
      <c r="P1203" t="s">
        <v>43</v>
      </c>
      <c r="Q1203">
        <v>18</v>
      </c>
      <c r="R1203">
        <v>3</v>
      </c>
      <c r="S1203">
        <v>13</v>
      </c>
      <c r="T1203">
        <v>7</v>
      </c>
      <c r="U1203">
        <v>5</v>
      </c>
      <c r="V1203">
        <v>2</v>
      </c>
      <c r="W1203">
        <v>39</v>
      </c>
      <c r="X1203">
        <v>1327</v>
      </c>
      <c r="Y1203">
        <v>19682</v>
      </c>
      <c r="Z1203">
        <v>5249</v>
      </c>
      <c r="AA1203">
        <v>0</v>
      </c>
      <c r="AB1203">
        <v>30949</v>
      </c>
      <c r="AC1203" s="10">
        <v>41848</v>
      </c>
      <c r="AD1203" s="10" t="s">
        <v>72</v>
      </c>
      <c r="AE1203" t="s">
        <v>72</v>
      </c>
      <c r="AF1203" t="s">
        <v>45</v>
      </c>
    </row>
    <row r="1204" spans="1:32" x14ac:dyDescent="0.25">
      <c r="A1204">
        <v>238</v>
      </c>
      <c r="B1204">
        <v>36</v>
      </c>
      <c r="C1204" t="s">
        <v>43</v>
      </c>
      <c r="D1204" t="s">
        <v>46</v>
      </c>
      <c r="E1204" t="s">
        <v>34</v>
      </c>
      <c r="F1204" t="s">
        <v>67</v>
      </c>
      <c r="G1204" t="s">
        <v>59</v>
      </c>
      <c r="H1204" t="s">
        <v>37</v>
      </c>
      <c r="I1204" t="s">
        <v>50</v>
      </c>
      <c r="J1204" t="s">
        <v>51</v>
      </c>
      <c r="K1204">
        <v>2</v>
      </c>
      <c r="L1204">
        <v>3</v>
      </c>
      <c r="M1204" t="s">
        <v>60</v>
      </c>
      <c r="N1204" t="s">
        <v>41</v>
      </c>
      <c r="O1204" t="s">
        <v>42</v>
      </c>
      <c r="P1204" t="s">
        <v>43</v>
      </c>
      <c r="Q1204">
        <v>12</v>
      </c>
      <c r="R1204">
        <v>4</v>
      </c>
      <c r="S1204">
        <v>13</v>
      </c>
      <c r="T1204">
        <v>7</v>
      </c>
      <c r="U1204">
        <v>2</v>
      </c>
      <c r="V1204">
        <v>3</v>
      </c>
      <c r="W1204">
        <v>30</v>
      </c>
      <c r="X1204">
        <v>1480</v>
      </c>
      <c r="Y1204">
        <v>15062</v>
      </c>
      <c r="Z1204">
        <v>2088</v>
      </c>
      <c r="AA1204">
        <v>3</v>
      </c>
      <c r="AB1204">
        <v>31949</v>
      </c>
      <c r="AC1204" s="10">
        <v>41915</v>
      </c>
      <c r="AD1204" s="10" t="s">
        <v>72</v>
      </c>
      <c r="AE1204" t="s">
        <v>72</v>
      </c>
      <c r="AF1204" t="s">
        <v>45</v>
      </c>
    </row>
    <row r="1205" spans="1:32" x14ac:dyDescent="0.25">
      <c r="A1205">
        <v>5</v>
      </c>
      <c r="B1205">
        <v>33</v>
      </c>
      <c r="C1205" t="s">
        <v>43</v>
      </c>
      <c r="D1205" t="s">
        <v>46</v>
      </c>
      <c r="E1205" t="s">
        <v>34</v>
      </c>
      <c r="F1205" t="s">
        <v>35</v>
      </c>
      <c r="G1205" t="s">
        <v>59</v>
      </c>
      <c r="H1205" t="s">
        <v>47</v>
      </c>
      <c r="I1205" t="s">
        <v>50</v>
      </c>
      <c r="J1205" t="s">
        <v>39</v>
      </c>
      <c r="K1205">
        <v>3</v>
      </c>
      <c r="L1205">
        <v>3</v>
      </c>
      <c r="M1205" t="s">
        <v>48</v>
      </c>
      <c r="N1205" t="s">
        <v>61</v>
      </c>
      <c r="O1205" t="s">
        <v>42</v>
      </c>
      <c r="P1205" t="s">
        <v>32</v>
      </c>
      <c r="Q1205">
        <v>11</v>
      </c>
      <c r="R1205">
        <v>1</v>
      </c>
      <c r="S1205">
        <v>8</v>
      </c>
      <c r="T1205">
        <v>3</v>
      </c>
      <c r="U1205">
        <v>0</v>
      </c>
      <c r="V1205">
        <v>3</v>
      </c>
      <c r="W1205">
        <v>56</v>
      </c>
      <c r="X1205">
        <v>1392</v>
      </c>
      <c r="Y1205">
        <v>23159</v>
      </c>
      <c r="Z1205">
        <v>2909</v>
      </c>
      <c r="AA1205">
        <v>3</v>
      </c>
      <c r="AB1205">
        <v>32976</v>
      </c>
      <c r="AC1205" s="10">
        <v>42039</v>
      </c>
      <c r="AD1205" s="10" t="s">
        <v>72</v>
      </c>
      <c r="AE1205" t="s">
        <v>72</v>
      </c>
      <c r="AF1205" t="s">
        <v>55</v>
      </c>
    </row>
    <row r="1206" spans="1:32" x14ac:dyDescent="0.25">
      <c r="A1206">
        <v>1997</v>
      </c>
      <c r="B1206">
        <v>38</v>
      </c>
      <c r="C1206" t="s">
        <v>43</v>
      </c>
      <c r="D1206" t="s">
        <v>46</v>
      </c>
      <c r="E1206" t="s">
        <v>34</v>
      </c>
      <c r="F1206" t="s">
        <v>35</v>
      </c>
      <c r="G1206" t="s">
        <v>36</v>
      </c>
      <c r="H1206" t="s">
        <v>37</v>
      </c>
      <c r="I1206" t="s">
        <v>38</v>
      </c>
      <c r="J1206" t="s">
        <v>65</v>
      </c>
      <c r="K1206">
        <v>3</v>
      </c>
      <c r="L1206">
        <v>3</v>
      </c>
      <c r="M1206" t="s">
        <v>48</v>
      </c>
      <c r="N1206" t="s">
        <v>61</v>
      </c>
      <c r="O1206" t="s">
        <v>36</v>
      </c>
      <c r="P1206" t="s">
        <v>43</v>
      </c>
      <c r="Q1206">
        <v>11</v>
      </c>
      <c r="R1206">
        <v>2</v>
      </c>
      <c r="S1206">
        <v>10</v>
      </c>
      <c r="T1206">
        <v>7</v>
      </c>
      <c r="U1206">
        <v>7</v>
      </c>
      <c r="V1206">
        <v>6</v>
      </c>
      <c r="W1206">
        <v>72</v>
      </c>
      <c r="X1206">
        <v>508</v>
      </c>
      <c r="Y1206">
        <v>14284</v>
      </c>
      <c r="Z1206">
        <v>5321</v>
      </c>
      <c r="AA1206">
        <v>1</v>
      </c>
      <c r="AB1206">
        <v>31105</v>
      </c>
      <c r="AC1206" s="10">
        <v>42093</v>
      </c>
      <c r="AD1206" s="10" t="s">
        <v>72</v>
      </c>
      <c r="AE1206" t="s">
        <v>72</v>
      </c>
      <c r="AF1206" t="s">
        <v>45</v>
      </c>
    </row>
    <row r="1207" spans="1:32" x14ac:dyDescent="0.25">
      <c r="A1207">
        <v>663</v>
      </c>
      <c r="B1207">
        <v>43</v>
      </c>
      <c r="C1207" t="s">
        <v>43</v>
      </c>
      <c r="D1207" t="s">
        <v>46</v>
      </c>
      <c r="E1207" t="s">
        <v>34</v>
      </c>
      <c r="F1207" t="s">
        <v>70</v>
      </c>
      <c r="G1207" t="s">
        <v>59</v>
      </c>
      <c r="H1207" t="s">
        <v>37</v>
      </c>
      <c r="I1207" t="s">
        <v>50</v>
      </c>
      <c r="J1207" t="s">
        <v>51</v>
      </c>
      <c r="K1207">
        <v>3</v>
      </c>
      <c r="L1207">
        <v>3</v>
      </c>
      <c r="M1207" t="s">
        <v>48</v>
      </c>
      <c r="N1207" t="s">
        <v>52</v>
      </c>
      <c r="O1207" t="s">
        <v>36</v>
      </c>
      <c r="P1207" t="s">
        <v>32</v>
      </c>
      <c r="Q1207">
        <v>13</v>
      </c>
      <c r="R1207">
        <v>3</v>
      </c>
      <c r="S1207">
        <v>10</v>
      </c>
      <c r="T1207">
        <v>4</v>
      </c>
      <c r="U1207">
        <v>7</v>
      </c>
      <c r="V1207">
        <v>9</v>
      </c>
      <c r="W1207">
        <v>72</v>
      </c>
      <c r="X1207">
        <v>1001</v>
      </c>
      <c r="Y1207">
        <v>19627</v>
      </c>
      <c r="Z1207">
        <v>5679</v>
      </c>
      <c r="AA1207">
        <v>3</v>
      </c>
      <c r="AB1207">
        <v>29427</v>
      </c>
      <c r="AC1207" s="10">
        <v>42195</v>
      </c>
      <c r="AD1207" s="10" t="s">
        <v>72</v>
      </c>
      <c r="AE1207" t="s">
        <v>72</v>
      </c>
      <c r="AF1207" t="s">
        <v>45</v>
      </c>
    </row>
    <row r="1208" spans="1:32" x14ac:dyDescent="0.25">
      <c r="A1208">
        <v>1034</v>
      </c>
      <c r="B1208">
        <v>55</v>
      </c>
      <c r="C1208" t="s">
        <v>43</v>
      </c>
      <c r="D1208" t="s">
        <v>46</v>
      </c>
      <c r="E1208" t="s">
        <v>34</v>
      </c>
      <c r="F1208" t="s">
        <v>35</v>
      </c>
      <c r="G1208" t="s">
        <v>50</v>
      </c>
      <c r="H1208" t="s">
        <v>37</v>
      </c>
      <c r="I1208" t="s">
        <v>50</v>
      </c>
      <c r="J1208" t="s">
        <v>62</v>
      </c>
      <c r="K1208">
        <v>2</v>
      </c>
      <c r="L1208">
        <v>3</v>
      </c>
      <c r="M1208" t="s">
        <v>48</v>
      </c>
      <c r="N1208" t="s">
        <v>61</v>
      </c>
      <c r="O1208" t="s">
        <v>53</v>
      </c>
      <c r="P1208" t="s">
        <v>32</v>
      </c>
      <c r="Q1208">
        <v>14</v>
      </c>
      <c r="R1208">
        <v>3</v>
      </c>
      <c r="S1208">
        <v>17</v>
      </c>
      <c r="T1208">
        <v>6</v>
      </c>
      <c r="U1208">
        <v>7</v>
      </c>
      <c r="V1208">
        <v>18</v>
      </c>
      <c r="W1208">
        <v>62</v>
      </c>
      <c r="X1208">
        <v>135</v>
      </c>
      <c r="Y1208">
        <v>12992</v>
      </c>
      <c r="Z1208">
        <v>6385</v>
      </c>
      <c r="AA1208">
        <v>3</v>
      </c>
      <c r="AB1208">
        <v>24954</v>
      </c>
      <c r="AC1208" s="10">
        <v>42200</v>
      </c>
      <c r="AD1208" s="10" t="s">
        <v>72</v>
      </c>
      <c r="AE1208" t="s">
        <v>72</v>
      </c>
      <c r="AF1208" t="s">
        <v>45</v>
      </c>
    </row>
    <row r="1209" spans="1:32" x14ac:dyDescent="0.25">
      <c r="A1209">
        <v>1297</v>
      </c>
      <c r="B1209">
        <v>51</v>
      </c>
      <c r="C1209" t="s">
        <v>43</v>
      </c>
      <c r="D1209" t="s">
        <v>46</v>
      </c>
      <c r="E1209" t="s">
        <v>34</v>
      </c>
      <c r="F1209" t="s">
        <v>67</v>
      </c>
      <c r="G1209" t="s">
        <v>38</v>
      </c>
      <c r="H1209" t="s">
        <v>47</v>
      </c>
      <c r="I1209" t="s">
        <v>38</v>
      </c>
      <c r="J1209" t="s">
        <v>51</v>
      </c>
      <c r="K1209">
        <v>3</v>
      </c>
      <c r="L1209">
        <v>3</v>
      </c>
      <c r="M1209" t="s">
        <v>60</v>
      </c>
      <c r="N1209" t="s">
        <v>41</v>
      </c>
      <c r="O1209" t="s">
        <v>42</v>
      </c>
      <c r="P1209" t="s">
        <v>43</v>
      </c>
      <c r="Q1209">
        <v>14</v>
      </c>
      <c r="R1209">
        <v>0</v>
      </c>
      <c r="S1209">
        <v>8</v>
      </c>
      <c r="T1209">
        <v>7</v>
      </c>
      <c r="U1209">
        <v>7</v>
      </c>
      <c r="V1209">
        <v>6</v>
      </c>
      <c r="W1209">
        <v>40</v>
      </c>
      <c r="X1209">
        <v>968</v>
      </c>
      <c r="Y1209">
        <v>4257</v>
      </c>
      <c r="Z1209">
        <v>2838</v>
      </c>
      <c r="AA1209">
        <v>6</v>
      </c>
      <c r="AB1209">
        <v>26306</v>
      </c>
      <c r="AC1209" s="10">
        <v>42268</v>
      </c>
      <c r="AD1209" s="10" t="s">
        <v>72</v>
      </c>
      <c r="AE1209" t="s">
        <v>72</v>
      </c>
      <c r="AF1209" t="s">
        <v>45</v>
      </c>
    </row>
    <row r="1210" spans="1:32" x14ac:dyDescent="0.25">
      <c r="A1210">
        <v>532</v>
      </c>
      <c r="B1210">
        <v>56</v>
      </c>
      <c r="C1210" t="s">
        <v>43</v>
      </c>
      <c r="D1210" t="s">
        <v>46</v>
      </c>
      <c r="E1210" t="s">
        <v>56</v>
      </c>
      <c r="F1210" t="s">
        <v>49</v>
      </c>
      <c r="G1210" t="s">
        <v>50</v>
      </c>
      <c r="H1210" t="s">
        <v>47</v>
      </c>
      <c r="I1210" t="s">
        <v>59</v>
      </c>
      <c r="J1210" t="s">
        <v>57</v>
      </c>
      <c r="K1210">
        <v>1</v>
      </c>
      <c r="L1210">
        <v>3</v>
      </c>
      <c r="M1210" t="s">
        <v>60</v>
      </c>
      <c r="N1210" t="s">
        <v>61</v>
      </c>
      <c r="O1210" t="s">
        <v>50</v>
      </c>
      <c r="P1210" t="s">
        <v>43</v>
      </c>
      <c r="Q1210">
        <v>11</v>
      </c>
      <c r="R1210">
        <v>9</v>
      </c>
      <c r="S1210">
        <v>36</v>
      </c>
      <c r="T1210">
        <v>7</v>
      </c>
      <c r="U1210">
        <v>7</v>
      </c>
      <c r="V1210">
        <v>6</v>
      </c>
      <c r="W1210">
        <v>86</v>
      </c>
      <c r="X1210">
        <v>906</v>
      </c>
      <c r="Y1210">
        <v>18256</v>
      </c>
      <c r="Z1210">
        <v>13212</v>
      </c>
      <c r="AA1210">
        <v>0</v>
      </c>
      <c r="AB1210">
        <v>24566</v>
      </c>
      <c r="AC1210" s="10">
        <v>42273</v>
      </c>
      <c r="AD1210" s="10" t="s">
        <v>72</v>
      </c>
      <c r="AE1210" t="s">
        <v>72</v>
      </c>
      <c r="AF1210" t="s">
        <v>45</v>
      </c>
    </row>
    <row r="1211" spans="1:32" x14ac:dyDescent="0.25">
      <c r="A1211">
        <v>8</v>
      </c>
      <c r="B1211">
        <v>32</v>
      </c>
      <c r="C1211" t="s">
        <v>43</v>
      </c>
      <c r="D1211" t="s">
        <v>46</v>
      </c>
      <c r="E1211" t="s">
        <v>34</v>
      </c>
      <c r="F1211" t="s">
        <v>67</v>
      </c>
      <c r="G1211" t="s">
        <v>59</v>
      </c>
      <c r="H1211" t="s">
        <v>37</v>
      </c>
      <c r="I1211" t="s">
        <v>50</v>
      </c>
      <c r="J1211" t="s">
        <v>51</v>
      </c>
      <c r="K1211">
        <v>4</v>
      </c>
      <c r="L1211">
        <v>3</v>
      </c>
      <c r="M1211" t="s">
        <v>60</v>
      </c>
      <c r="N1211" t="s">
        <v>41</v>
      </c>
      <c r="O1211" t="s">
        <v>42</v>
      </c>
      <c r="P1211" t="s">
        <v>43</v>
      </c>
      <c r="Q1211">
        <v>13</v>
      </c>
      <c r="R1211">
        <v>0</v>
      </c>
      <c r="S1211">
        <v>8</v>
      </c>
      <c r="T1211">
        <v>3</v>
      </c>
      <c r="U1211">
        <v>6</v>
      </c>
      <c r="V1211">
        <v>2</v>
      </c>
      <c r="W1211">
        <v>79</v>
      </c>
      <c r="X1211">
        <v>1005</v>
      </c>
      <c r="Y1211">
        <v>11864</v>
      </c>
      <c r="Z1211">
        <v>3068</v>
      </c>
      <c r="AA1211">
        <v>2</v>
      </c>
      <c r="AB1211">
        <v>33356</v>
      </c>
      <c r="AC1211" s="10">
        <v>42298</v>
      </c>
      <c r="AD1211" s="10" t="s">
        <v>72</v>
      </c>
      <c r="AE1211" t="s">
        <v>72</v>
      </c>
      <c r="AF1211" t="s">
        <v>45</v>
      </c>
    </row>
    <row r="1212" spans="1:32" x14ac:dyDescent="0.25">
      <c r="A1212">
        <v>1918</v>
      </c>
      <c r="B1212">
        <v>26</v>
      </c>
      <c r="C1212" t="s">
        <v>43</v>
      </c>
      <c r="D1212" t="s">
        <v>46</v>
      </c>
      <c r="E1212" t="s">
        <v>34</v>
      </c>
      <c r="F1212" t="s">
        <v>49</v>
      </c>
      <c r="G1212" t="s">
        <v>50</v>
      </c>
      <c r="H1212" t="s">
        <v>37</v>
      </c>
      <c r="I1212" t="s">
        <v>59</v>
      </c>
      <c r="J1212" t="s">
        <v>51</v>
      </c>
      <c r="K1212">
        <v>4</v>
      </c>
      <c r="L1212">
        <v>3</v>
      </c>
      <c r="M1212" t="s">
        <v>48</v>
      </c>
      <c r="N1212" t="s">
        <v>61</v>
      </c>
      <c r="O1212" t="s">
        <v>36</v>
      </c>
      <c r="P1212" t="s">
        <v>43</v>
      </c>
      <c r="Q1212">
        <v>18</v>
      </c>
      <c r="R1212">
        <v>0</v>
      </c>
      <c r="S1212">
        <v>8</v>
      </c>
      <c r="T1212">
        <v>7</v>
      </c>
      <c r="U1212">
        <v>7</v>
      </c>
      <c r="V1212">
        <v>6</v>
      </c>
      <c r="W1212">
        <v>61</v>
      </c>
      <c r="X1212">
        <v>1096</v>
      </c>
      <c r="Y1212">
        <v>7102</v>
      </c>
      <c r="Z1212">
        <v>2544</v>
      </c>
      <c r="AA1212">
        <v>3</v>
      </c>
      <c r="AB1212">
        <v>35480</v>
      </c>
      <c r="AC1212" s="10">
        <v>42330</v>
      </c>
      <c r="AD1212" s="10" t="s">
        <v>72</v>
      </c>
      <c r="AE1212" t="s">
        <v>72</v>
      </c>
      <c r="AF1212" t="s">
        <v>45</v>
      </c>
    </row>
    <row r="1213" spans="1:32" x14ac:dyDescent="0.25">
      <c r="A1213">
        <v>1870</v>
      </c>
      <c r="B1213">
        <v>27</v>
      </c>
      <c r="C1213" t="s">
        <v>43</v>
      </c>
      <c r="D1213" t="s">
        <v>46</v>
      </c>
      <c r="E1213" t="s">
        <v>34</v>
      </c>
      <c r="F1213" t="s">
        <v>49</v>
      </c>
      <c r="G1213" t="s">
        <v>59</v>
      </c>
      <c r="H1213" t="s">
        <v>47</v>
      </c>
      <c r="I1213" t="s">
        <v>38</v>
      </c>
      <c r="J1213" t="s">
        <v>39</v>
      </c>
      <c r="K1213">
        <v>1</v>
      </c>
      <c r="L1213">
        <v>3</v>
      </c>
      <c r="M1213" t="s">
        <v>60</v>
      </c>
      <c r="N1213" t="s">
        <v>61</v>
      </c>
      <c r="O1213" t="s">
        <v>36</v>
      </c>
      <c r="P1213" t="s">
        <v>43</v>
      </c>
      <c r="Q1213">
        <v>19</v>
      </c>
      <c r="R1213">
        <v>0</v>
      </c>
      <c r="S1213">
        <v>8</v>
      </c>
      <c r="T1213">
        <v>4</v>
      </c>
      <c r="U1213">
        <v>3</v>
      </c>
      <c r="V1213">
        <v>15</v>
      </c>
      <c r="W1213">
        <v>77</v>
      </c>
      <c r="X1213">
        <v>1131</v>
      </c>
      <c r="Y1213">
        <v>23844</v>
      </c>
      <c r="Z1213">
        <v>4774</v>
      </c>
      <c r="AA1213">
        <v>2</v>
      </c>
      <c r="AB1213">
        <v>35186</v>
      </c>
      <c r="AC1213" s="10">
        <v>42466</v>
      </c>
      <c r="AD1213" s="10" t="s">
        <v>72</v>
      </c>
      <c r="AE1213" t="s">
        <v>72</v>
      </c>
      <c r="AF1213" t="s">
        <v>45</v>
      </c>
    </row>
    <row r="1214" spans="1:32" x14ac:dyDescent="0.25">
      <c r="A1214">
        <v>1392</v>
      </c>
      <c r="B1214">
        <v>41</v>
      </c>
      <c r="C1214" t="s">
        <v>43</v>
      </c>
      <c r="D1214" t="s">
        <v>46</v>
      </c>
      <c r="E1214" t="s">
        <v>34</v>
      </c>
      <c r="F1214" t="s">
        <v>49</v>
      </c>
      <c r="G1214" t="s">
        <v>59</v>
      </c>
      <c r="H1214" t="s">
        <v>47</v>
      </c>
      <c r="I1214" t="s">
        <v>50</v>
      </c>
      <c r="J1214" t="s">
        <v>39</v>
      </c>
      <c r="K1214">
        <v>4</v>
      </c>
      <c r="L1214">
        <v>3</v>
      </c>
      <c r="M1214" t="s">
        <v>60</v>
      </c>
      <c r="N1214" t="s">
        <v>52</v>
      </c>
      <c r="O1214" t="s">
        <v>53</v>
      </c>
      <c r="P1214" t="s">
        <v>32</v>
      </c>
      <c r="Q1214">
        <v>14</v>
      </c>
      <c r="R1214">
        <v>3</v>
      </c>
      <c r="S1214">
        <v>12</v>
      </c>
      <c r="T1214">
        <v>3</v>
      </c>
      <c r="U1214">
        <v>3</v>
      </c>
      <c r="V1214">
        <v>22</v>
      </c>
      <c r="W1214">
        <v>75</v>
      </c>
      <c r="X1214">
        <v>1200</v>
      </c>
      <c r="Y1214">
        <v>13953</v>
      </c>
      <c r="Z1214">
        <v>5467</v>
      </c>
      <c r="AA1214">
        <v>4</v>
      </c>
      <c r="AB1214">
        <v>29845</v>
      </c>
      <c r="AC1214" s="10">
        <v>42581</v>
      </c>
      <c r="AD1214" s="10" t="s">
        <v>72</v>
      </c>
      <c r="AE1214" t="s">
        <v>72</v>
      </c>
      <c r="AF1214" t="s">
        <v>45</v>
      </c>
    </row>
    <row r="1215" spans="1:32" x14ac:dyDescent="0.25">
      <c r="A1215">
        <v>262</v>
      </c>
      <c r="B1215">
        <v>43</v>
      </c>
      <c r="C1215" t="s">
        <v>43</v>
      </c>
      <c r="D1215" t="s">
        <v>63</v>
      </c>
      <c r="E1215" t="s">
        <v>34</v>
      </c>
      <c r="F1215" t="s">
        <v>49</v>
      </c>
      <c r="G1215" t="s">
        <v>59</v>
      </c>
      <c r="H1215" t="s">
        <v>37</v>
      </c>
      <c r="I1215" t="s">
        <v>59</v>
      </c>
      <c r="J1215" t="s">
        <v>39</v>
      </c>
      <c r="K1215">
        <v>4</v>
      </c>
      <c r="L1215">
        <v>3</v>
      </c>
      <c r="M1215" t="s">
        <v>58</v>
      </c>
      <c r="N1215" t="s">
        <v>52</v>
      </c>
      <c r="O1215" t="s">
        <v>50</v>
      </c>
      <c r="P1215" t="s">
        <v>43</v>
      </c>
      <c r="Q1215">
        <v>14</v>
      </c>
      <c r="R1215">
        <v>4</v>
      </c>
      <c r="S1215">
        <v>7</v>
      </c>
      <c r="T1215">
        <v>2</v>
      </c>
      <c r="U1215">
        <v>2</v>
      </c>
      <c r="V1215">
        <v>7</v>
      </c>
      <c r="W1215">
        <v>37</v>
      </c>
      <c r="X1215">
        <v>1344</v>
      </c>
      <c r="Y1215">
        <v>5228</v>
      </c>
      <c r="Z1215">
        <v>2089</v>
      </c>
      <c r="AA1215">
        <v>3</v>
      </c>
      <c r="AB1215">
        <v>29088</v>
      </c>
      <c r="AC1215" s="10">
        <v>42944</v>
      </c>
      <c r="AD1215" s="10" t="s">
        <v>72</v>
      </c>
      <c r="AE1215" t="s">
        <v>72</v>
      </c>
      <c r="AF1215" t="s">
        <v>45</v>
      </c>
    </row>
    <row r="1216" spans="1:32" x14ac:dyDescent="0.25">
      <c r="A1216">
        <v>902</v>
      </c>
      <c r="B1216">
        <v>43</v>
      </c>
      <c r="C1216" t="s">
        <v>43</v>
      </c>
      <c r="D1216" t="s">
        <v>46</v>
      </c>
      <c r="E1216" t="s">
        <v>34</v>
      </c>
      <c r="F1216" t="s">
        <v>49</v>
      </c>
      <c r="G1216" t="s">
        <v>59</v>
      </c>
      <c r="H1216" t="s">
        <v>47</v>
      </c>
      <c r="I1216" t="s">
        <v>50</v>
      </c>
      <c r="J1216" t="s">
        <v>62</v>
      </c>
      <c r="K1216">
        <v>4</v>
      </c>
      <c r="L1216">
        <v>3</v>
      </c>
      <c r="M1216" t="s">
        <v>60</v>
      </c>
      <c r="N1216" t="s">
        <v>61</v>
      </c>
      <c r="O1216" t="s">
        <v>36</v>
      </c>
      <c r="P1216" t="s">
        <v>43</v>
      </c>
      <c r="Q1216">
        <v>13</v>
      </c>
      <c r="R1216">
        <v>4</v>
      </c>
      <c r="S1216">
        <v>12</v>
      </c>
      <c r="T1216">
        <v>2</v>
      </c>
      <c r="U1216">
        <v>2</v>
      </c>
      <c r="V1216">
        <v>1</v>
      </c>
      <c r="W1216">
        <v>33</v>
      </c>
      <c r="X1216">
        <v>422</v>
      </c>
      <c r="Y1216">
        <v>21782</v>
      </c>
      <c r="Z1216">
        <v>5562</v>
      </c>
      <c r="AA1216">
        <v>2</v>
      </c>
      <c r="AB1216">
        <v>29300</v>
      </c>
      <c r="AC1216" s="10">
        <v>42960</v>
      </c>
      <c r="AD1216" s="10" t="s">
        <v>72</v>
      </c>
      <c r="AE1216" t="s">
        <v>72</v>
      </c>
      <c r="AF1216" t="s">
        <v>45</v>
      </c>
    </row>
    <row r="1217" spans="1:32" x14ac:dyDescent="0.25">
      <c r="A1217">
        <v>1941</v>
      </c>
      <c r="B1217">
        <v>49</v>
      </c>
      <c r="C1217" t="s">
        <v>43</v>
      </c>
      <c r="D1217" t="s">
        <v>46</v>
      </c>
      <c r="E1217" t="s">
        <v>34</v>
      </c>
      <c r="F1217" t="s">
        <v>64</v>
      </c>
      <c r="G1217" t="s">
        <v>38</v>
      </c>
      <c r="H1217" t="s">
        <v>37</v>
      </c>
      <c r="I1217" t="s">
        <v>50</v>
      </c>
      <c r="J1217" t="s">
        <v>71</v>
      </c>
      <c r="K1217">
        <v>4</v>
      </c>
      <c r="L1217">
        <v>3</v>
      </c>
      <c r="M1217" t="s">
        <v>48</v>
      </c>
      <c r="N1217" t="s">
        <v>61</v>
      </c>
      <c r="O1217" t="s">
        <v>42</v>
      </c>
      <c r="P1217" t="s">
        <v>43</v>
      </c>
      <c r="Q1217">
        <v>15</v>
      </c>
      <c r="R1217">
        <v>3</v>
      </c>
      <c r="S1217">
        <v>28</v>
      </c>
      <c r="T1217">
        <v>4</v>
      </c>
      <c r="U1217">
        <v>3</v>
      </c>
      <c r="V1217">
        <v>2</v>
      </c>
      <c r="W1217">
        <v>42</v>
      </c>
      <c r="X1217">
        <v>1064</v>
      </c>
      <c r="Y1217">
        <v>13738</v>
      </c>
      <c r="Z1217">
        <v>19161</v>
      </c>
      <c r="AA1217">
        <v>3</v>
      </c>
      <c r="AB1217">
        <v>27170</v>
      </c>
      <c r="AC1217" s="10">
        <v>43025</v>
      </c>
      <c r="AD1217" s="10" t="s">
        <v>72</v>
      </c>
      <c r="AE1217" t="s">
        <v>72</v>
      </c>
      <c r="AF1217" t="s">
        <v>55</v>
      </c>
    </row>
    <row r="1218" spans="1:32" x14ac:dyDescent="0.25">
      <c r="A1218">
        <v>390</v>
      </c>
      <c r="B1218">
        <v>26</v>
      </c>
      <c r="C1218" t="s">
        <v>43</v>
      </c>
      <c r="D1218" t="s">
        <v>46</v>
      </c>
      <c r="E1218" t="s">
        <v>34</v>
      </c>
      <c r="F1218" t="s">
        <v>67</v>
      </c>
      <c r="G1218" t="s">
        <v>36</v>
      </c>
      <c r="H1218" t="s">
        <v>37</v>
      </c>
      <c r="I1218" t="s">
        <v>50</v>
      </c>
      <c r="J1218" t="s">
        <v>62</v>
      </c>
      <c r="K1218">
        <v>1</v>
      </c>
      <c r="L1218">
        <v>3</v>
      </c>
      <c r="M1218" t="s">
        <v>48</v>
      </c>
      <c r="N1218" t="s">
        <v>61</v>
      </c>
      <c r="O1218" t="s">
        <v>36</v>
      </c>
      <c r="P1218" t="s">
        <v>32</v>
      </c>
      <c r="Q1218">
        <v>13</v>
      </c>
      <c r="R1218">
        <v>1</v>
      </c>
      <c r="S1218">
        <v>5</v>
      </c>
      <c r="T1218">
        <v>3</v>
      </c>
      <c r="U1218">
        <v>3</v>
      </c>
      <c r="V1218">
        <v>11</v>
      </c>
      <c r="W1218">
        <v>60</v>
      </c>
      <c r="X1218">
        <v>496</v>
      </c>
      <c r="Y1218">
        <v>22722</v>
      </c>
      <c r="Z1218">
        <v>4741</v>
      </c>
      <c r="AA1218">
        <v>3</v>
      </c>
      <c r="AB1218">
        <v>35495</v>
      </c>
      <c r="AC1218" s="10">
        <v>43241</v>
      </c>
      <c r="AD1218" s="10" t="s">
        <v>72</v>
      </c>
      <c r="AE1218" t="s">
        <v>72</v>
      </c>
      <c r="AF1218" t="s">
        <v>45</v>
      </c>
    </row>
    <row r="1219" spans="1:32" x14ac:dyDescent="0.25">
      <c r="A1219">
        <v>148</v>
      </c>
      <c r="B1219">
        <v>54</v>
      </c>
      <c r="C1219" t="s">
        <v>43</v>
      </c>
      <c r="D1219" t="s">
        <v>63</v>
      </c>
      <c r="E1219" t="s">
        <v>68</v>
      </c>
      <c r="F1219" t="s">
        <v>49</v>
      </c>
      <c r="G1219" t="s">
        <v>59</v>
      </c>
      <c r="H1219" t="s">
        <v>47</v>
      </c>
      <c r="I1219" t="s">
        <v>59</v>
      </c>
      <c r="J1219" t="s">
        <v>69</v>
      </c>
      <c r="K1219">
        <v>4</v>
      </c>
      <c r="L1219">
        <v>3</v>
      </c>
      <c r="M1219" t="s">
        <v>48</v>
      </c>
      <c r="N1219" t="s">
        <v>41</v>
      </c>
      <c r="O1219" t="s">
        <v>42</v>
      </c>
      <c r="P1219" t="s">
        <v>32</v>
      </c>
      <c r="Q1219">
        <v>12</v>
      </c>
      <c r="R1219">
        <v>2</v>
      </c>
      <c r="S1219">
        <v>23</v>
      </c>
      <c r="T1219">
        <v>4</v>
      </c>
      <c r="U1219">
        <v>4</v>
      </c>
      <c r="V1219">
        <v>26</v>
      </c>
      <c r="W1219">
        <v>30</v>
      </c>
      <c r="X1219">
        <v>142</v>
      </c>
      <c r="Y1219">
        <v>13871</v>
      </c>
      <c r="Z1219">
        <v>17328</v>
      </c>
      <c r="AA1219">
        <v>3</v>
      </c>
      <c r="AB1219">
        <v>25096</v>
      </c>
      <c r="AC1219" s="10">
        <v>43279</v>
      </c>
      <c r="AD1219" s="10" t="s">
        <v>72</v>
      </c>
      <c r="AE1219" t="s">
        <v>72</v>
      </c>
      <c r="AF1219" t="s">
        <v>45</v>
      </c>
    </row>
    <row r="1220" spans="1:32" x14ac:dyDescent="0.25">
      <c r="A1220">
        <v>70</v>
      </c>
      <c r="B1220">
        <v>35</v>
      </c>
      <c r="C1220" t="s">
        <v>43</v>
      </c>
      <c r="D1220" t="s">
        <v>63</v>
      </c>
      <c r="E1220" t="s">
        <v>34</v>
      </c>
      <c r="F1220" t="s">
        <v>67</v>
      </c>
      <c r="G1220" t="s">
        <v>50</v>
      </c>
      <c r="H1220" t="s">
        <v>37</v>
      </c>
      <c r="I1220" t="s">
        <v>38</v>
      </c>
      <c r="J1220" t="s">
        <v>62</v>
      </c>
      <c r="K1220">
        <v>1</v>
      </c>
      <c r="L1220">
        <v>3</v>
      </c>
      <c r="M1220" t="s">
        <v>48</v>
      </c>
      <c r="N1220" t="s">
        <v>61</v>
      </c>
      <c r="O1220" t="s">
        <v>36</v>
      </c>
      <c r="P1220" t="s">
        <v>32</v>
      </c>
      <c r="Q1220">
        <v>13</v>
      </c>
      <c r="R1220">
        <v>2</v>
      </c>
      <c r="S1220">
        <v>10</v>
      </c>
      <c r="T1220">
        <v>2</v>
      </c>
      <c r="U1220">
        <v>3</v>
      </c>
      <c r="V1220">
        <v>11</v>
      </c>
      <c r="W1220">
        <v>79</v>
      </c>
      <c r="X1220">
        <v>1097</v>
      </c>
      <c r="Y1220">
        <v>8302</v>
      </c>
      <c r="Z1220">
        <v>9884</v>
      </c>
      <c r="AA1220">
        <v>3</v>
      </c>
      <c r="AB1220">
        <v>32027</v>
      </c>
      <c r="AC1220" s="10">
        <v>43429</v>
      </c>
      <c r="AD1220" s="10" t="s">
        <v>72</v>
      </c>
      <c r="AE1220" t="s">
        <v>72</v>
      </c>
      <c r="AF1220" t="s">
        <v>45</v>
      </c>
    </row>
    <row r="1221" spans="1:32" x14ac:dyDescent="0.25">
      <c r="A1221">
        <v>1948</v>
      </c>
      <c r="B1221">
        <v>31</v>
      </c>
      <c r="C1221" t="s">
        <v>43</v>
      </c>
      <c r="D1221" t="s">
        <v>63</v>
      </c>
      <c r="E1221" t="s">
        <v>34</v>
      </c>
      <c r="F1221" t="s">
        <v>67</v>
      </c>
      <c r="G1221" t="s">
        <v>50</v>
      </c>
      <c r="H1221" t="s">
        <v>37</v>
      </c>
      <c r="I1221" t="s">
        <v>50</v>
      </c>
      <c r="J1221" t="s">
        <v>39</v>
      </c>
      <c r="K1221">
        <v>1</v>
      </c>
      <c r="L1221">
        <v>3</v>
      </c>
      <c r="M1221" t="s">
        <v>58</v>
      </c>
      <c r="N1221" t="s">
        <v>52</v>
      </c>
      <c r="O1221" t="s">
        <v>36</v>
      </c>
      <c r="P1221" t="s">
        <v>32</v>
      </c>
      <c r="Q1221">
        <v>13</v>
      </c>
      <c r="R1221">
        <v>1</v>
      </c>
      <c r="S1221">
        <v>4</v>
      </c>
      <c r="T1221">
        <v>2</v>
      </c>
      <c r="U1221">
        <v>3</v>
      </c>
      <c r="V1221">
        <v>3</v>
      </c>
      <c r="W1221">
        <v>48</v>
      </c>
      <c r="X1221">
        <v>976</v>
      </c>
      <c r="Y1221">
        <v>3995</v>
      </c>
      <c r="Z1221">
        <v>3065</v>
      </c>
      <c r="AA1221">
        <v>3</v>
      </c>
      <c r="AB1221">
        <v>33455</v>
      </c>
      <c r="AC1221" s="10">
        <v>43665</v>
      </c>
      <c r="AD1221" s="10" t="s">
        <v>72</v>
      </c>
      <c r="AE1221" t="s">
        <v>72</v>
      </c>
      <c r="AF1221" t="s">
        <v>45</v>
      </c>
    </row>
    <row r="1222" spans="1:32" x14ac:dyDescent="0.25">
      <c r="A1222">
        <v>333</v>
      </c>
      <c r="B1222">
        <v>32</v>
      </c>
      <c r="C1222" t="s">
        <v>43</v>
      </c>
      <c r="D1222" t="s">
        <v>63</v>
      </c>
      <c r="E1222" t="s">
        <v>56</v>
      </c>
      <c r="F1222" t="s">
        <v>35</v>
      </c>
      <c r="G1222" t="s">
        <v>50</v>
      </c>
      <c r="H1222" t="s">
        <v>37</v>
      </c>
      <c r="I1222" t="s">
        <v>50</v>
      </c>
      <c r="J1222" t="s">
        <v>57</v>
      </c>
      <c r="K1222">
        <v>4</v>
      </c>
      <c r="L1222">
        <v>3</v>
      </c>
      <c r="M1222" t="s">
        <v>48</v>
      </c>
      <c r="N1222" t="s">
        <v>61</v>
      </c>
      <c r="O1222" t="s">
        <v>42</v>
      </c>
      <c r="P1222" t="s">
        <v>43</v>
      </c>
      <c r="Q1222">
        <v>18</v>
      </c>
      <c r="R1222">
        <v>0</v>
      </c>
      <c r="S1222">
        <v>4</v>
      </c>
      <c r="T1222">
        <v>2</v>
      </c>
      <c r="U1222">
        <v>2</v>
      </c>
      <c r="V1222">
        <v>26</v>
      </c>
      <c r="W1222">
        <v>100</v>
      </c>
      <c r="X1222">
        <v>976</v>
      </c>
      <c r="Y1222">
        <v>12069</v>
      </c>
      <c r="Z1222">
        <v>4465</v>
      </c>
      <c r="AA1222">
        <v>2</v>
      </c>
      <c r="AB1222">
        <v>33264</v>
      </c>
      <c r="AC1222" s="10">
        <v>43735</v>
      </c>
      <c r="AD1222" s="10" t="s">
        <v>72</v>
      </c>
      <c r="AE1222" t="s">
        <v>72</v>
      </c>
      <c r="AF1222" t="s">
        <v>45</v>
      </c>
    </row>
    <row r="1223" spans="1:32" x14ac:dyDescent="0.25">
      <c r="A1223">
        <v>1858</v>
      </c>
      <c r="B1223">
        <v>28</v>
      </c>
      <c r="C1223" t="s">
        <v>43</v>
      </c>
      <c r="D1223" t="s">
        <v>63</v>
      </c>
      <c r="E1223" t="s">
        <v>68</v>
      </c>
      <c r="F1223" t="s">
        <v>67</v>
      </c>
      <c r="G1223" t="s">
        <v>50</v>
      </c>
      <c r="H1223" t="s">
        <v>37</v>
      </c>
      <c r="I1223" t="s">
        <v>50</v>
      </c>
      <c r="J1223" t="s">
        <v>68</v>
      </c>
      <c r="K1223">
        <v>4</v>
      </c>
      <c r="L1223">
        <v>3</v>
      </c>
      <c r="M1223" t="s">
        <v>48</v>
      </c>
      <c r="N1223" t="s">
        <v>52</v>
      </c>
      <c r="O1223" t="s">
        <v>36</v>
      </c>
      <c r="P1223" t="s">
        <v>43</v>
      </c>
      <c r="Q1223">
        <v>15</v>
      </c>
      <c r="R1223">
        <v>1</v>
      </c>
      <c r="S1223">
        <v>3</v>
      </c>
      <c r="T1223">
        <v>2</v>
      </c>
      <c r="U1223">
        <v>2</v>
      </c>
      <c r="V1223">
        <v>1</v>
      </c>
      <c r="W1223">
        <v>43</v>
      </c>
      <c r="X1223">
        <v>280</v>
      </c>
      <c r="Y1223">
        <v>10494</v>
      </c>
      <c r="Z1223">
        <v>2706</v>
      </c>
      <c r="AA1223">
        <v>2</v>
      </c>
      <c r="AB1223">
        <v>34702</v>
      </c>
      <c r="AC1223" s="10">
        <v>43846</v>
      </c>
      <c r="AD1223" s="10" t="s">
        <v>72</v>
      </c>
      <c r="AE1223" t="s">
        <v>72</v>
      </c>
      <c r="AF1223" t="s">
        <v>45</v>
      </c>
    </row>
    <row r="1224" spans="1:32" x14ac:dyDescent="0.25">
      <c r="A1224">
        <v>1552</v>
      </c>
      <c r="B1224">
        <v>40</v>
      </c>
      <c r="C1224" t="s">
        <v>43</v>
      </c>
      <c r="D1224" t="s">
        <v>63</v>
      </c>
      <c r="E1224" t="s">
        <v>34</v>
      </c>
      <c r="F1224" t="s">
        <v>67</v>
      </c>
      <c r="G1224" t="s">
        <v>59</v>
      </c>
      <c r="H1224" t="s">
        <v>37</v>
      </c>
      <c r="I1224" t="s">
        <v>50</v>
      </c>
      <c r="J1224" t="s">
        <v>62</v>
      </c>
      <c r="K1224">
        <v>4</v>
      </c>
      <c r="L1224">
        <v>3</v>
      </c>
      <c r="M1224" t="s">
        <v>48</v>
      </c>
      <c r="N1224" t="s">
        <v>52</v>
      </c>
      <c r="O1224" t="s">
        <v>42</v>
      </c>
      <c r="P1224" t="s">
        <v>32</v>
      </c>
      <c r="Q1224">
        <v>18</v>
      </c>
      <c r="R1224">
        <v>3</v>
      </c>
      <c r="S1224">
        <v>8</v>
      </c>
      <c r="T1224">
        <v>2</v>
      </c>
      <c r="U1224">
        <v>2</v>
      </c>
      <c r="V1224">
        <v>8</v>
      </c>
      <c r="W1224">
        <v>72</v>
      </c>
      <c r="X1224">
        <v>1142</v>
      </c>
      <c r="Y1224">
        <v>8841</v>
      </c>
      <c r="Z1224">
        <v>4069</v>
      </c>
      <c r="AA1224">
        <v>2</v>
      </c>
      <c r="AB1224">
        <v>30263</v>
      </c>
      <c r="AC1224" s="10">
        <v>44046</v>
      </c>
      <c r="AD1224" s="10" t="s">
        <v>72</v>
      </c>
      <c r="AE1224" t="s">
        <v>72</v>
      </c>
      <c r="AF1224" t="s">
        <v>45</v>
      </c>
    </row>
    <row r="1225" spans="1:32" x14ac:dyDescent="0.25">
      <c r="A1225">
        <v>1746</v>
      </c>
      <c r="B1225">
        <v>24</v>
      </c>
      <c r="C1225" t="s">
        <v>43</v>
      </c>
      <c r="D1225" t="s">
        <v>46</v>
      </c>
      <c r="E1225" t="s">
        <v>68</v>
      </c>
      <c r="F1225" t="s">
        <v>49</v>
      </c>
      <c r="G1225" t="s">
        <v>36</v>
      </c>
      <c r="H1225" t="s">
        <v>37</v>
      </c>
      <c r="I1225" t="s">
        <v>50</v>
      </c>
      <c r="J1225" t="s">
        <v>68</v>
      </c>
      <c r="K1225">
        <v>4</v>
      </c>
      <c r="L1225">
        <v>3</v>
      </c>
      <c r="M1225" t="s">
        <v>48</v>
      </c>
      <c r="N1225" t="s">
        <v>61</v>
      </c>
      <c r="O1225" t="s">
        <v>36</v>
      </c>
      <c r="P1225" t="s">
        <v>43</v>
      </c>
      <c r="Q1225">
        <v>14</v>
      </c>
      <c r="R1225">
        <v>0</v>
      </c>
      <c r="S1225">
        <v>3</v>
      </c>
      <c r="T1225">
        <v>2</v>
      </c>
      <c r="U1225">
        <v>1</v>
      </c>
      <c r="V1225">
        <v>10</v>
      </c>
      <c r="W1225">
        <v>59</v>
      </c>
      <c r="X1225">
        <v>897</v>
      </c>
      <c r="Y1225">
        <v>2097</v>
      </c>
      <c r="Z1225">
        <v>2145</v>
      </c>
      <c r="AA1225">
        <v>2</v>
      </c>
      <c r="AB1225">
        <v>36014</v>
      </c>
      <c r="AC1225" s="10">
        <v>44055</v>
      </c>
      <c r="AD1225" s="10" t="s">
        <v>72</v>
      </c>
      <c r="AE1225" t="s">
        <v>72</v>
      </c>
      <c r="AF1225" t="s">
        <v>55</v>
      </c>
    </row>
    <row r="1226" spans="1:32" x14ac:dyDescent="0.25">
      <c r="A1226">
        <v>792</v>
      </c>
      <c r="B1226">
        <v>26</v>
      </c>
      <c r="C1226" t="s">
        <v>43</v>
      </c>
      <c r="D1226" t="s">
        <v>46</v>
      </c>
      <c r="E1226" t="s">
        <v>34</v>
      </c>
      <c r="F1226" t="s">
        <v>67</v>
      </c>
      <c r="G1226" t="s">
        <v>36</v>
      </c>
      <c r="H1226" t="s">
        <v>47</v>
      </c>
      <c r="I1226" t="s">
        <v>36</v>
      </c>
      <c r="J1226" t="s">
        <v>51</v>
      </c>
      <c r="K1226">
        <v>4</v>
      </c>
      <c r="L1226">
        <v>3</v>
      </c>
      <c r="M1226" t="s">
        <v>48</v>
      </c>
      <c r="N1226" t="s">
        <v>52</v>
      </c>
      <c r="O1226" t="s">
        <v>36</v>
      </c>
      <c r="P1226" t="s">
        <v>43</v>
      </c>
      <c r="Q1226">
        <v>14</v>
      </c>
      <c r="R1226">
        <v>3</v>
      </c>
      <c r="S1226">
        <v>5</v>
      </c>
      <c r="T1226">
        <v>2</v>
      </c>
      <c r="U1226">
        <v>0</v>
      </c>
      <c r="V1226">
        <v>1</v>
      </c>
      <c r="W1226">
        <v>71</v>
      </c>
      <c r="X1226">
        <v>575</v>
      </c>
      <c r="Y1226">
        <v>5288</v>
      </c>
      <c r="Z1226">
        <v>4364</v>
      </c>
      <c r="AA1226">
        <v>2</v>
      </c>
      <c r="AB1226">
        <v>35577</v>
      </c>
      <c r="AC1226" s="10">
        <v>44068</v>
      </c>
      <c r="AD1226" s="10" t="s">
        <v>72</v>
      </c>
      <c r="AE1226" t="s">
        <v>72</v>
      </c>
      <c r="AF1226" t="s">
        <v>45</v>
      </c>
    </row>
    <row r="1227" spans="1:32" x14ac:dyDescent="0.25">
      <c r="A1227">
        <v>1060</v>
      </c>
      <c r="B1227">
        <v>38</v>
      </c>
      <c r="C1227" t="s">
        <v>43</v>
      </c>
      <c r="D1227" t="s">
        <v>46</v>
      </c>
      <c r="E1227" t="s">
        <v>34</v>
      </c>
      <c r="F1227" t="s">
        <v>35</v>
      </c>
      <c r="G1227" t="s">
        <v>50</v>
      </c>
      <c r="H1227" t="s">
        <v>37</v>
      </c>
      <c r="I1227" t="s">
        <v>50</v>
      </c>
      <c r="J1227" t="s">
        <v>39</v>
      </c>
      <c r="K1227">
        <v>3</v>
      </c>
      <c r="L1227">
        <v>3</v>
      </c>
      <c r="M1227" t="s">
        <v>48</v>
      </c>
      <c r="N1227" t="s">
        <v>61</v>
      </c>
      <c r="O1227" t="s">
        <v>36</v>
      </c>
      <c r="P1227" t="s">
        <v>43</v>
      </c>
      <c r="Q1227">
        <v>16</v>
      </c>
      <c r="R1227">
        <v>3</v>
      </c>
      <c r="S1227">
        <v>8</v>
      </c>
      <c r="T1227">
        <v>2</v>
      </c>
      <c r="U1227">
        <v>2</v>
      </c>
      <c r="V1227">
        <v>3</v>
      </c>
      <c r="W1227">
        <v>44</v>
      </c>
      <c r="X1227">
        <v>1186</v>
      </c>
      <c r="Y1227">
        <v>2997</v>
      </c>
      <c r="Z1227">
        <v>2821</v>
      </c>
      <c r="AA1227">
        <v>2</v>
      </c>
      <c r="AB1227">
        <v>30972</v>
      </c>
      <c r="AC1227" s="10">
        <v>44073</v>
      </c>
      <c r="AD1227" s="10" t="s">
        <v>72</v>
      </c>
      <c r="AE1227" t="s">
        <v>72</v>
      </c>
      <c r="AF1227" t="s">
        <v>45</v>
      </c>
    </row>
    <row r="1228" spans="1:32" x14ac:dyDescent="0.25">
      <c r="A1228">
        <v>1801</v>
      </c>
      <c r="B1228">
        <v>46</v>
      </c>
      <c r="C1228" t="s">
        <v>43</v>
      </c>
      <c r="D1228" t="s">
        <v>63</v>
      </c>
      <c r="E1228" t="s">
        <v>56</v>
      </c>
      <c r="F1228" t="s">
        <v>67</v>
      </c>
      <c r="G1228" t="s">
        <v>38</v>
      </c>
      <c r="H1228" t="s">
        <v>37</v>
      </c>
      <c r="I1228" t="s">
        <v>38</v>
      </c>
      <c r="J1228" t="s">
        <v>57</v>
      </c>
      <c r="K1228">
        <v>2</v>
      </c>
      <c r="L1228">
        <v>3</v>
      </c>
      <c r="M1228" t="s">
        <v>48</v>
      </c>
      <c r="N1228" t="s">
        <v>41</v>
      </c>
      <c r="O1228" t="s">
        <v>42</v>
      </c>
      <c r="P1228" t="s">
        <v>43</v>
      </c>
      <c r="Q1228">
        <v>15</v>
      </c>
      <c r="R1228">
        <v>8</v>
      </c>
      <c r="S1228">
        <v>6</v>
      </c>
      <c r="T1228">
        <v>2</v>
      </c>
      <c r="U1228">
        <v>2</v>
      </c>
      <c r="V1228">
        <v>26</v>
      </c>
      <c r="W1228">
        <v>98</v>
      </c>
      <c r="X1228">
        <v>849</v>
      </c>
      <c r="Y1228">
        <v>25166</v>
      </c>
      <c r="Z1228">
        <v>7991</v>
      </c>
      <c r="AA1228">
        <v>3</v>
      </c>
      <c r="AB1228">
        <v>28244</v>
      </c>
      <c r="AC1228" s="10">
        <v>44106</v>
      </c>
      <c r="AD1228" s="10" t="s">
        <v>72</v>
      </c>
      <c r="AE1228" t="s">
        <v>72</v>
      </c>
      <c r="AF1228" t="s">
        <v>45</v>
      </c>
    </row>
    <row r="1229" spans="1:32" x14ac:dyDescent="0.25">
      <c r="A1229">
        <v>754</v>
      </c>
      <c r="B1229">
        <v>43</v>
      </c>
      <c r="C1229" t="s">
        <v>43</v>
      </c>
      <c r="D1229" t="s">
        <v>46</v>
      </c>
      <c r="E1229" t="s">
        <v>56</v>
      </c>
      <c r="F1229" t="s">
        <v>49</v>
      </c>
      <c r="G1229" t="s">
        <v>59</v>
      </c>
      <c r="H1229" t="s">
        <v>37</v>
      </c>
      <c r="I1229" t="s">
        <v>38</v>
      </c>
      <c r="J1229" t="s">
        <v>57</v>
      </c>
      <c r="K1229">
        <v>4</v>
      </c>
      <c r="L1229">
        <v>3</v>
      </c>
      <c r="M1229" t="s">
        <v>48</v>
      </c>
      <c r="N1229" t="s">
        <v>61</v>
      </c>
      <c r="O1229" t="s">
        <v>36</v>
      </c>
      <c r="P1229" t="s">
        <v>43</v>
      </c>
      <c r="Q1229">
        <v>18</v>
      </c>
      <c r="R1229">
        <v>3</v>
      </c>
      <c r="S1229">
        <v>7</v>
      </c>
      <c r="T1229">
        <v>2</v>
      </c>
      <c r="U1229">
        <v>2</v>
      </c>
      <c r="V1229">
        <v>15</v>
      </c>
      <c r="W1229">
        <v>47</v>
      </c>
      <c r="X1229">
        <v>775</v>
      </c>
      <c r="Y1229">
        <v>23683</v>
      </c>
      <c r="Z1229">
        <v>6804</v>
      </c>
      <c r="AA1229">
        <v>5</v>
      </c>
      <c r="AB1229">
        <v>29130</v>
      </c>
      <c r="AC1229" s="10">
        <v>44119</v>
      </c>
      <c r="AD1229" s="10" t="s">
        <v>72</v>
      </c>
      <c r="AE1229" t="s">
        <v>72</v>
      </c>
      <c r="AF1229" t="s">
        <v>45</v>
      </c>
    </row>
    <row r="1230" spans="1:32" x14ac:dyDescent="0.25">
      <c r="A1230">
        <v>399</v>
      </c>
      <c r="B1230">
        <v>31</v>
      </c>
      <c r="C1230" t="s">
        <v>43</v>
      </c>
      <c r="D1230" t="s">
        <v>46</v>
      </c>
      <c r="E1230" t="s">
        <v>56</v>
      </c>
      <c r="F1230" t="s">
        <v>49</v>
      </c>
      <c r="G1230" t="s">
        <v>59</v>
      </c>
      <c r="H1230" t="s">
        <v>47</v>
      </c>
      <c r="I1230" t="s">
        <v>50</v>
      </c>
      <c r="J1230" t="s">
        <v>66</v>
      </c>
      <c r="K1230">
        <v>2</v>
      </c>
      <c r="L1230">
        <v>3</v>
      </c>
      <c r="M1230" t="s">
        <v>60</v>
      </c>
      <c r="N1230" t="s">
        <v>52</v>
      </c>
      <c r="O1230" t="s">
        <v>36</v>
      </c>
      <c r="P1230" t="s">
        <v>43</v>
      </c>
      <c r="Q1230">
        <v>11</v>
      </c>
      <c r="R1230">
        <v>1</v>
      </c>
      <c r="S1230">
        <v>2</v>
      </c>
      <c r="T1230">
        <v>2</v>
      </c>
      <c r="U1230">
        <v>2</v>
      </c>
      <c r="V1230">
        <v>5</v>
      </c>
      <c r="W1230">
        <v>84</v>
      </c>
      <c r="X1230">
        <v>444</v>
      </c>
      <c r="Y1230">
        <v>3909</v>
      </c>
      <c r="Z1230">
        <v>2789</v>
      </c>
      <c r="AA1230">
        <v>5</v>
      </c>
      <c r="AB1230">
        <v>33513</v>
      </c>
      <c r="AC1230" s="10">
        <v>44156</v>
      </c>
      <c r="AD1230" s="10" t="s">
        <v>72</v>
      </c>
      <c r="AE1230" t="s">
        <v>72</v>
      </c>
      <c r="AF1230" t="s">
        <v>45</v>
      </c>
    </row>
    <row r="1231" spans="1:32" x14ac:dyDescent="0.25">
      <c r="A1231">
        <v>1837</v>
      </c>
      <c r="B1231">
        <v>58</v>
      </c>
      <c r="C1231" t="s">
        <v>43</v>
      </c>
      <c r="D1231" t="s">
        <v>46</v>
      </c>
      <c r="E1231" t="s">
        <v>34</v>
      </c>
      <c r="F1231" t="s">
        <v>35</v>
      </c>
      <c r="G1231" t="s">
        <v>36</v>
      </c>
      <c r="H1231" t="s">
        <v>37</v>
      </c>
      <c r="I1231" t="s">
        <v>50</v>
      </c>
      <c r="J1231" t="s">
        <v>71</v>
      </c>
      <c r="K1231">
        <v>3</v>
      </c>
      <c r="L1231">
        <v>3</v>
      </c>
      <c r="M1231" t="s">
        <v>48</v>
      </c>
      <c r="N1231" t="s">
        <v>61</v>
      </c>
      <c r="O1231" t="s">
        <v>42</v>
      </c>
      <c r="P1231" t="s">
        <v>32</v>
      </c>
      <c r="Q1231">
        <v>14</v>
      </c>
      <c r="R1231">
        <v>2</v>
      </c>
      <c r="S1231">
        <v>23</v>
      </c>
      <c r="T1231">
        <v>2</v>
      </c>
      <c r="U1231">
        <v>2</v>
      </c>
      <c r="V1231">
        <v>15</v>
      </c>
      <c r="W1231">
        <v>87</v>
      </c>
      <c r="X1231">
        <v>1216</v>
      </c>
      <c r="Y1231">
        <v>21624</v>
      </c>
      <c r="Z1231">
        <v>15787</v>
      </c>
      <c r="AA1231">
        <v>3</v>
      </c>
      <c r="AB1231">
        <v>23901</v>
      </c>
      <c r="AC1231" s="10">
        <v>44158</v>
      </c>
      <c r="AD1231" s="10" t="s">
        <v>72</v>
      </c>
      <c r="AE1231" t="s">
        <v>72</v>
      </c>
      <c r="AF1231" t="s">
        <v>45</v>
      </c>
    </row>
    <row r="1232" spans="1:32" x14ac:dyDescent="0.25">
      <c r="A1232">
        <v>1135</v>
      </c>
      <c r="B1232">
        <v>31</v>
      </c>
      <c r="C1232" t="s">
        <v>43</v>
      </c>
      <c r="D1232" t="s">
        <v>46</v>
      </c>
      <c r="E1232" t="s">
        <v>56</v>
      </c>
      <c r="F1232" t="s">
        <v>49</v>
      </c>
      <c r="G1232" t="s">
        <v>50</v>
      </c>
      <c r="H1232" t="s">
        <v>37</v>
      </c>
      <c r="I1232" t="s">
        <v>59</v>
      </c>
      <c r="J1232" t="s">
        <v>66</v>
      </c>
      <c r="K1232">
        <v>4</v>
      </c>
      <c r="L1232">
        <v>3</v>
      </c>
      <c r="M1232" t="s">
        <v>48</v>
      </c>
      <c r="N1232" t="s">
        <v>61</v>
      </c>
      <c r="O1232" t="s">
        <v>36</v>
      </c>
      <c r="P1232" t="s">
        <v>43</v>
      </c>
      <c r="Q1232">
        <v>12</v>
      </c>
      <c r="R1232">
        <v>0</v>
      </c>
      <c r="S1232">
        <v>3</v>
      </c>
      <c r="T1232">
        <v>2</v>
      </c>
      <c r="U1232">
        <v>2</v>
      </c>
      <c r="V1232">
        <v>20</v>
      </c>
      <c r="W1232">
        <v>67</v>
      </c>
      <c r="X1232">
        <v>793</v>
      </c>
      <c r="Y1232">
        <v>21981</v>
      </c>
      <c r="Z1232">
        <v>2791</v>
      </c>
      <c r="AA1232">
        <v>4</v>
      </c>
      <c r="AB1232">
        <v>33549</v>
      </c>
      <c r="AC1232" s="10">
        <v>44185</v>
      </c>
      <c r="AD1232" s="10" t="s">
        <v>72</v>
      </c>
      <c r="AE1232" t="s">
        <v>72</v>
      </c>
      <c r="AF1232" t="s">
        <v>55</v>
      </c>
    </row>
    <row r="1233" spans="1:32" x14ac:dyDescent="0.25">
      <c r="A1233">
        <v>274</v>
      </c>
      <c r="B1233">
        <v>27</v>
      </c>
      <c r="C1233" t="s">
        <v>43</v>
      </c>
      <c r="D1233" t="s">
        <v>46</v>
      </c>
      <c r="E1233" t="s">
        <v>34</v>
      </c>
      <c r="F1233" t="s">
        <v>64</v>
      </c>
      <c r="G1233" t="s">
        <v>50</v>
      </c>
      <c r="H1233" t="s">
        <v>37</v>
      </c>
      <c r="I1233" t="s">
        <v>38</v>
      </c>
      <c r="J1233" t="s">
        <v>65</v>
      </c>
      <c r="K1233">
        <v>1</v>
      </c>
      <c r="L1233">
        <v>3</v>
      </c>
      <c r="M1233" t="s">
        <v>48</v>
      </c>
      <c r="N1233" t="s">
        <v>61</v>
      </c>
      <c r="O1233" t="s">
        <v>36</v>
      </c>
      <c r="P1233" t="s">
        <v>43</v>
      </c>
      <c r="Q1233">
        <v>19</v>
      </c>
      <c r="R1233">
        <v>5</v>
      </c>
      <c r="S1233">
        <v>6</v>
      </c>
      <c r="T1233">
        <v>2</v>
      </c>
      <c r="U1233">
        <v>0</v>
      </c>
      <c r="V1233">
        <v>1</v>
      </c>
      <c r="W1233">
        <v>60</v>
      </c>
      <c r="X1233">
        <v>472</v>
      </c>
      <c r="Y1233">
        <v>9679</v>
      </c>
      <c r="Z1233">
        <v>4298</v>
      </c>
      <c r="AA1233">
        <v>1</v>
      </c>
      <c r="AB1233">
        <v>35154</v>
      </c>
      <c r="AC1233" s="10">
        <v>44196</v>
      </c>
      <c r="AD1233" s="10" t="s">
        <v>72</v>
      </c>
      <c r="AE1233" t="s">
        <v>72</v>
      </c>
      <c r="AF1233" t="s">
        <v>45</v>
      </c>
    </row>
    <row r="1234" spans="1:32" x14ac:dyDescent="0.25">
      <c r="A1234">
        <v>632</v>
      </c>
      <c r="B1234">
        <v>24</v>
      </c>
      <c r="C1234" t="s">
        <v>43</v>
      </c>
      <c r="D1234" t="s">
        <v>46</v>
      </c>
      <c r="E1234" t="s">
        <v>56</v>
      </c>
      <c r="F1234" t="s">
        <v>49</v>
      </c>
      <c r="G1234" t="s">
        <v>59</v>
      </c>
      <c r="H1234" t="s">
        <v>37</v>
      </c>
      <c r="I1234" t="s">
        <v>50</v>
      </c>
      <c r="J1234" t="s">
        <v>66</v>
      </c>
      <c r="K1234">
        <v>4</v>
      </c>
      <c r="L1234">
        <v>3</v>
      </c>
      <c r="M1234" t="s">
        <v>48</v>
      </c>
      <c r="N1234" t="s">
        <v>61</v>
      </c>
      <c r="O1234" t="s">
        <v>53</v>
      </c>
      <c r="P1234" t="s">
        <v>43</v>
      </c>
      <c r="Q1234">
        <v>13</v>
      </c>
      <c r="R1234">
        <v>0</v>
      </c>
      <c r="S1234">
        <v>3</v>
      </c>
      <c r="T1234">
        <v>2</v>
      </c>
      <c r="U1234">
        <v>1</v>
      </c>
      <c r="V1234">
        <v>24</v>
      </c>
      <c r="W1234">
        <v>38</v>
      </c>
      <c r="X1234">
        <v>535</v>
      </c>
      <c r="Y1234">
        <v>5530</v>
      </c>
      <c r="Z1234">
        <v>2400</v>
      </c>
      <c r="AA1234">
        <v>3</v>
      </c>
      <c r="AB1234">
        <v>36076</v>
      </c>
      <c r="AC1234" s="10">
        <v>44206</v>
      </c>
      <c r="AD1234" s="10" t="s">
        <v>72</v>
      </c>
      <c r="AE1234" t="s">
        <v>72</v>
      </c>
      <c r="AF1234" t="s">
        <v>45</v>
      </c>
    </row>
    <row r="1235" spans="1:32" x14ac:dyDescent="0.25">
      <c r="A1235">
        <v>218</v>
      </c>
      <c r="B1235">
        <v>27</v>
      </c>
      <c r="C1235" t="s">
        <v>43</v>
      </c>
      <c r="D1235" t="s">
        <v>63</v>
      </c>
      <c r="E1235" t="s">
        <v>34</v>
      </c>
      <c r="F1235" t="s">
        <v>49</v>
      </c>
      <c r="G1235" t="s">
        <v>59</v>
      </c>
      <c r="H1235" t="s">
        <v>37</v>
      </c>
      <c r="I1235" t="s">
        <v>50</v>
      </c>
      <c r="J1235" t="s">
        <v>39</v>
      </c>
      <c r="K1235">
        <v>2</v>
      </c>
      <c r="L1235">
        <v>3</v>
      </c>
      <c r="M1235" t="s">
        <v>40</v>
      </c>
      <c r="N1235" t="s">
        <v>52</v>
      </c>
      <c r="O1235" t="s">
        <v>36</v>
      </c>
      <c r="P1235" t="s">
        <v>43</v>
      </c>
      <c r="Q1235">
        <v>18</v>
      </c>
      <c r="R1235">
        <v>6</v>
      </c>
      <c r="S1235">
        <v>6</v>
      </c>
      <c r="T1235">
        <v>2</v>
      </c>
      <c r="U1235">
        <v>2</v>
      </c>
      <c r="V1235">
        <v>9</v>
      </c>
      <c r="W1235">
        <v>57</v>
      </c>
      <c r="X1235">
        <v>691</v>
      </c>
      <c r="Y1235">
        <v>5970</v>
      </c>
      <c r="Z1235">
        <v>2024</v>
      </c>
      <c r="AA1235">
        <v>1</v>
      </c>
      <c r="AB1235">
        <v>35153</v>
      </c>
      <c r="AC1235" s="10">
        <v>44207</v>
      </c>
      <c r="AD1235" s="10" t="s">
        <v>72</v>
      </c>
      <c r="AE1235" t="s">
        <v>72</v>
      </c>
      <c r="AF1235" t="s">
        <v>45</v>
      </c>
    </row>
    <row r="1236" spans="1:32" x14ac:dyDescent="0.25">
      <c r="A1236">
        <v>1496</v>
      </c>
      <c r="B1236">
        <v>44</v>
      </c>
      <c r="C1236" t="s">
        <v>43</v>
      </c>
      <c r="D1236" t="s">
        <v>46</v>
      </c>
      <c r="E1236" t="s">
        <v>34</v>
      </c>
      <c r="F1236" t="s">
        <v>64</v>
      </c>
      <c r="G1236" t="s">
        <v>38</v>
      </c>
      <c r="H1236" t="s">
        <v>37</v>
      </c>
      <c r="I1236" t="s">
        <v>50</v>
      </c>
      <c r="J1236" t="s">
        <v>65</v>
      </c>
      <c r="K1236">
        <v>3</v>
      </c>
      <c r="L1236">
        <v>3</v>
      </c>
      <c r="M1236" t="s">
        <v>60</v>
      </c>
      <c r="N1236" t="s">
        <v>41</v>
      </c>
      <c r="O1236" t="s">
        <v>42</v>
      </c>
      <c r="P1236" t="s">
        <v>32</v>
      </c>
      <c r="Q1236">
        <v>18</v>
      </c>
      <c r="R1236">
        <v>5</v>
      </c>
      <c r="S1236">
        <v>16</v>
      </c>
      <c r="T1236">
        <v>2</v>
      </c>
      <c r="U1236">
        <v>2</v>
      </c>
      <c r="V1236">
        <v>2</v>
      </c>
      <c r="W1236">
        <v>86</v>
      </c>
      <c r="X1236">
        <v>1193</v>
      </c>
      <c r="Y1236">
        <v>19719</v>
      </c>
      <c r="Z1236">
        <v>10209</v>
      </c>
      <c r="AA1236">
        <v>2</v>
      </c>
      <c r="AB1236">
        <v>28926</v>
      </c>
      <c r="AC1236" s="10">
        <v>44209</v>
      </c>
      <c r="AD1236" s="10" t="s">
        <v>72</v>
      </c>
      <c r="AE1236" t="s">
        <v>72</v>
      </c>
      <c r="AF1236" t="s">
        <v>45</v>
      </c>
    </row>
    <row r="1237" spans="1:32" x14ac:dyDescent="0.25">
      <c r="A1237">
        <v>174</v>
      </c>
      <c r="B1237">
        <v>50</v>
      </c>
      <c r="C1237" t="s">
        <v>43</v>
      </c>
      <c r="D1237" t="s">
        <v>46</v>
      </c>
      <c r="E1237" t="s">
        <v>56</v>
      </c>
      <c r="F1237" t="s">
        <v>49</v>
      </c>
      <c r="G1237" t="s">
        <v>50</v>
      </c>
      <c r="H1237" t="s">
        <v>47</v>
      </c>
      <c r="I1237" t="s">
        <v>50</v>
      </c>
      <c r="J1237" t="s">
        <v>57</v>
      </c>
      <c r="K1237">
        <v>4</v>
      </c>
      <c r="L1237">
        <v>3</v>
      </c>
      <c r="M1237" t="s">
        <v>48</v>
      </c>
      <c r="N1237" t="s">
        <v>41</v>
      </c>
      <c r="O1237" t="s">
        <v>42</v>
      </c>
      <c r="P1237" t="s">
        <v>43</v>
      </c>
      <c r="Q1237">
        <v>11</v>
      </c>
      <c r="R1237">
        <v>4</v>
      </c>
      <c r="S1237">
        <v>16</v>
      </c>
      <c r="T1237">
        <v>2</v>
      </c>
      <c r="U1237">
        <v>1</v>
      </c>
      <c r="V1237">
        <v>12</v>
      </c>
      <c r="W1237">
        <v>77</v>
      </c>
      <c r="X1237">
        <v>809</v>
      </c>
      <c r="Y1237">
        <v>6645</v>
      </c>
      <c r="Z1237">
        <v>9208</v>
      </c>
      <c r="AA1237">
        <v>3</v>
      </c>
      <c r="AB1237">
        <v>26627</v>
      </c>
      <c r="AC1237" s="10">
        <v>44211</v>
      </c>
      <c r="AD1237" s="10" t="s">
        <v>72</v>
      </c>
      <c r="AE1237" t="s">
        <v>72</v>
      </c>
      <c r="AF1237" t="s">
        <v>45</v>
      </c>
    </row>
    <row r="1238" spans="1:32" x14ac:dyDescent="0.25">
      <c r="A1238">
        <v>1412</v>
      </c>
      <c r="B1238">
        <v>35</v>
      </c>
      <c r="C1238" t="s">
        <v>43</v>
      </c>
      <c r="D1238" t="s">
        <v>46</v>
      </c>
      <c r="E1238" t="s">
        <v>34</v>
      </c>
      <c r="F1238" t="s">
        <v>67</v>
      </c>
      <c r="G1238" t="s">
        <v>50</v>
      </c>
      <c r="H1238" t="s">
        <v>37</v>
      </c>
      <c r="I1238" t="s">
        <v>50</v>
      </c>
      <c r="J1238" t="s">
        <v>65</v>
      </c>
      <c r="K1238">
        <v>4</v>
      </c>
      <c r="L1238">
        <v>3</v>
      </c>
      <c r="M1238" t="s">
        <v>48</v>
      </c>
      <c r="N1238" t="s">
        <v>41</v>
      </c>
      <c r="O1238" t="s">
        <v>42</v>
      </c>
      <c r="P1238" t="s">
        <v>43</v>
      </c>
      <c r="Q1238">
        <v>11</v>
      </c>
      <c r="R1238">
        <v>2</v>
      </c>
      <c r="S1238">
        <v>10</v>
      </c>
      <c r="T1238">
        <v>2</v>
      </c>
      <c r="U1238">
        <v>2</v>
      </c>
      <c r="V1238">
        <v>18</v>
      </c>
      <c r="W1238">
        <v>60</v>
      </c>
      <c r="X1238">
        <v>200</v>
      </c>
      <c r="Y1238">
        <v>19944</v>
      </c>
      <c r="Z1238">
        <v>9362</v>
      </c>
      <c r="AA1238">
        <v>2</v>
      </c>
      <c r="AB1238">
        <v>32227</v>
      </c>
      <c r="AC1238" s="10">
        <v>44211</v>
      </c>
      <c r="AD1238" s="10" t="s">
        <v>72</v>
      </c>
      <c r="AE1238" t="s">
        <v>72</v>
      </c>
      <c r="AF1238" t="s">
        <v>45</v>
      </c>
    </row>
    <row r="1239" spans="1:32" x14ac:dyDescent="0.25">
      <c r="A1239">
        <v>1812</v>
      </c>
      <c r="B1239">
        <v>39</v>
      </c>
      <c r="C1239" t="s">
        <v>43</v>
      </c>
      <c r="D1239" t="s">
        <v>46</v>
      </c>
      <c r="E1239" t="s">
        <v>56</v>
      </c>
      <c r="F1239" t="s">
        <v>49</v>
      </c>
      <c r="G1239" t="s">
        <v>50</v>
      </c>
      <c r="H1239" t="s">
        <v>37</v>
      </c>
      <c r="I1239" t="s">
        <v>50</v>
      </c>
      <c r="J1239" t="s">
        <v>57</v>
      </c>
      <c r="K1239">
        <v>4</v>
      </c>
      <c r="L1239">
        <v>3</v>
      </c>
      <c r="M1239" t="s">
        <v>48</v>
      </c>
      <c r="N1239" t="s">
        <v>52</v>
      </c>
      <c r="O1239" t="s">
        <v>36</v>
      </c>
      <c r="P1239" t="s">
        <v>43</v>
      </c>
      <c r="Q1239">
        <v>18</v>
      </c>
      <c r="R1239">
        <v>2</v>
      </c>
      <c r="S1239">
        <v>7</v>
      </c>
      <c r="T1239">
        <v>2</v>
      </c>
      <c r="U1239">
        <v>2</v>
      </c>
      <c r="V1239">
        <v>20</v>
      </c>
      <c r="W1239">
        <v>83</v>
      </c>
      <c r="X1239">
        <v>766</v>
      </c>
      <c r="Y1239">
        <v>19188</v>
      </c>
      <c r="Z1239">
        <v>4127</v>
      </c>
      <c r="AA1239">
        <v>6</v>
      </c>
      <c r="AB1239">
        <v>30589</v>
      </c>
      <c r="AC1239" s="10">
        <v>44220</v>
      </c>
      <c r="AD1239" s="10" t="s">
        <v>72</v>
      </c>
      <c r="AE1239" t="s">
        <v>72</v>
      </c>
      <c r="AF1239" t="s">
        <v>55</v>
      </c>
    </row>
    <row r="1240" spans="1:32" x14ac:dyDescent="0.25">
      <c r="A1240">
        <v>23</v>
      </c>
      <c r="B1240">
        <v>53</v>
      </c>
      <c r="C1240" t="s">
        <v>43</v>
      </c>
      <c r="D1240" t="s">
        <v>33</v>
      </c>
      <c r="E1240" t="s">
        <v>56</v>
      </c>
      <c r="F1240" t="s">
        <v>35</v>
      </c>
      <c r="G1240" t="s">
        <v>36</v>
      </c>
      <c r="H1240" t="s">
        <v>47</v>
      </c>
      <c r="I1240" t="s">
        <v>38</v>
      </c>
      <c r="J1240" t="s">
        <v>69</v>
      </c>
      <c r="K1240">
        <v>4</v>
      </c>
      <c r="L1240">
        <v>3</v>
      </c>
      <c r="M1240" t="s">
        <v>48</v>
      </c>
      <c r="N1240" t="s">
        <v>61</v>
      </c>
      <c r="O1240" t="s">
        <v>42</v>
      </c>
      <c r="P1240" t="s">
        <v>43</v>
      </c>
      <c r="Q1240">
        <v>16</v>
      </c>
      <c r="R1240">
        <v>2</v>
      </c>
      <c r="S1240">
        <v>31</v>
      </c>
      <c r="T1240">
        <v>3</v>
      </c>
      <c r="U1240">
        <v>7</v>
      </c>
      <c r="V1240">
        <v>2</v>
      </c>
      <c r="W1240">
        <v>78</v>
      </c>
      <c r="X1240">
        <v>1219</v>
      </c>
      <c r="Y1240">
        <v>22021</v>
      </c>
      <c r="Z1240">
        <v>15427</v>
      </c>
      <c r="AA1240">
        <v>3</v>
      </c>
      <c r="AB1240">
        <v>25542</v>
      </c>
      <c r="AC1240" s="10">
        <v>35969</v>
      </c>
      <c r="AD1240" s="10" t="s">
        <v>72</v>
      </c>
      <c r="AE1240" t="s">
        <v>72</v>
      </c>
      <c r="AF1240" t="s">
        <v>45</v>
      </c>
    </row>
    <row r="1241" spans="1:32" x14ac:dyDescent="0.25">
      <c r="A1241">
        <v>734</v>
      </c>
      <c r="B1241">
        <v>41</v>
      </c>
      <c r="C1241" t="s">
        <v>43</v>
      </c>
      <c r="D1241" t="s">
        <v>33</v>
      </c>
      <c r="E1241" t="s">
        <v>68</v>
      </c>
      <c r="F1241" t="s">
        <v>49</v>
      </c>
      <c r="G1241" t="s">
        <v>59</v>
      </c>
      <c r="H1241" t="s">
        <v>37</v>
      </c>
      <c r="I1241" t="s">
        <v>38</v>
      </c>
      <c r="J1241" t="s">
        <v>69</v>
      </c>
      <c r="K1241">
        <v>3</v>
      </c>
      <c r="L1241">
        <v>3</v>
      </c>
      <c r="M1241" t="s">
        <v>48</v>
      </c>
      <c r="N1241" t="s">
        <v>61</v>
      </c>
      <c r="O1241" t="s">
        <v>36</v>
      </c>
      <c r="P1241" t="s">
        <v>43</v>
      </c>
      <c r="Q1241">
        <v>12</v>
      </c>
      <c r="R1241">
        <v>1</v>
      </c>
      <c r="S1241">
        <v>22</v>
      </c>
      <c r="T1241">
        <v>2</v>
      </c>
      <c r="U1241">
        <v>10</v>
      </c>
      <c r="V1241">
        <v>1</v>
      </c>
      <c r="W1241">
        <v>59</v>
      </c>
      <c r="X1241">
        <v>314</v>
      </c>
      <c r="Y1241">
        <v>19562</v>
      </c>
      <c r="Z1241">
        <v>19189</v>
      </c>
      <c r="AA1241">
        <v>3</v>
      </c>
      <c r="AB1241">
        <v>30065</v>
      </c>
      <c r="AC1241" s="10">
        <v>36739</v>
      </c>
      <c r="AD1241" s="10" t="s">
        <v>72</v>
      </c>
      <c r="AE1241" t="s">
        <v>72</v>
      </c>
      <c r="AF1241" t="s">
        <v>45</v>
      </c>
    </row>
    <row r="1242" spans="1:32" x14ac:dyDescent="0.25">
      <c r="A1242">
        <v>1267</v>
      </c>
      <c r="B1242">
        <v>44</v>
      </c>
      <c r="C1242" t="s">
        <v>43</v>
      </c>
      <c r="D1242" t="s">
        <v>33</v>
      </c>
      <c r="E1242" t="s">
        <v>56</v>
      </c>
      <c r="F1242" t="s">
        <v>49</v>
      </c>
      <c r="G1242" t="s">
        <v>38</v>
      </c>
      <c r="H1242" t="s">
        <v>37</v>
      </c>
      <c r="I1242" t="s">
        <v>50</v>
      </c>
      <c r="J1242" t="s">
        <v>69</v>
      </c>
      <c r="K1242">
        <v>2</v>
      </c>
      <c r="L1242">
        <v>3</v>
      </c>
      <c r="M1242" t="s">
        <v>48</v>
      </c>
      <c r="N1242" t="s">
        <v>61</v>
      </c>
      <c r="O1242" t="s">
        <v>36</v>
      </c>
      <c r="P1242" t="s">
        <v>43</v>
      </c>
      <c r="Q1242">
        <v>11</v>
      </c>
      <c r="R1242">
        <v>7</v>
      </c>
      <c r="S1242">
        <v>26</v>
      </c>
      <c r="T1242">
        <v>3</v>
      </c>
      <c r="U1242">
        <v>10</v>
      </c>
      <c r="V1242">
        <v>5</v>
      </c>
      <c r="W1242">
        <v>88</v>
      </c>
      <c r="X1242">
        <v>1099</v>
      </c>
      <c r="Y1242">
        <v>8751</v>
      </c>
      <c r="Z1242">
        <v>18213</v>
      </c>
      <c r="AA1242">
        <v>5</v>
      </c>
      <c r="AB1242">
        <v>28751</v>
      </c>
      <c r="AC1242" s="10">
        <v>37027</v>
      </c>
      <c r="AD1242" s="10" t="s">
        <v>72</v>
      </c>
      <c r="AE1242" t="s">
        <v>72</v>
      </c>
      <c r="AF1242" t="s">
        <v>45</v>
      </c>
    </row>
    <row r="1243" spans="1:32" x14ac:dyDescent="0.25">
      <c r="A1243">
        <v>731</v>
      </c>
      <c r="B1243">
        <v>41</v>
      </c>
      <c r="C1243" t="s">
        <v>43</v>
      </c>
      <c r="D1243" t="s">
        <v>33</v>
      </c>
      <c r="E1243" t="s">
        <v>68</v>
      </c>
      <c r="F1243" t="s">
        <v>35</v>
      </c>
      <c r="G1243" t="s">
        <v>38</v>
      </c>
      <c r="H1243" t="s">
        <v>37</v>
      </c>
      <c r="I1243" t="s">
        <v>38</v>
      </c>
      <c r="J1243" t="s">
        <v>69</v>
      </c>
      <c r="K1243">
        <v>4</v>
      </c>
      <c r="L1243">
        <v>3</v>
      </c>
      <c r="M1243" t="s">
        <v>60</v>
      </c>
      <c r="N1243" t="s">
        <v>52</v>
      </c>
      <c r="O1243" t="s">
        <v>50</v>
      </c>
      <c r="P1243" t="s">
        <v>43</v>
      </c>
      <c r="Q1243">
        <v>15</v>
      </c>
      <c r="R1243">
        <v>3</v>
      </c>
      <c r="S1243">
        <v>23</v>
      </c>
      <c r="T1243">
        <v>12</v>
      </c>
      <c r="U1243">
        <v>6</v>
      </c>
      <c r="V1243">
        <v>10</v>
      </c>
      <c r="W1243">
        <v>73</v>
      </c>
      <c r="X1243">
        <v>427</v>
      </c>
      <c r="Y1243">
        <v>8861</v>
      </c>
      <c r="Z1243">
        <v>19141</v>
      </c>
      <c r="AA1243">
        <v>2</v>
      </c>
      <c r="AB1243">
        <v>29882</v>
      </c>
      <c r="AC1243" s="10">
        <v>37123</v>
      </c>
      <c r="AD1243" s="10" t="s">
        <v>72</v>
      </c>
      <c r="AE1243" t="s">
        <v>72</v>
      </c>
      <c r="AF1243" t="s">
        <v>55</v>
      </c>
    </row>
    <row r="1244" spans="1:32" x14ac:dyDescent="0.25">
      <c r="A1244">
        <v>1293</v>
      </c>
      <c r="B1244">
        <v>43</v>
      </c>
      <c r="C1244" t="s">
        <v>43</v>
      </c>
      <c r="D1244" t="s">
        <v>33</v>
      </c>
      <c r="E1244" t="s">
        <v>56</v>
      </c>
      <c r="F1244" t="s">
        <v>35</v>
      </c>
      <c r="G1244" t="s">
        <v>59</v>
      </c>
      <c r="H1244" t="s">
        <v>47</v>
      </c>
      <c r="I1244" t="s">
        <v>38</v>
      </c>
      <c r="J1244" t="s">
        <v>57</v>
      </c>
      <c r="K1244">
        <v>4</v>
      </c>
      <c r="L1244">
        <v>3</v>
      </c>
      <c r="M1244" t="s">
        <v>58</v>
      </c>
      <c r="N1244" t="s">
        <v>41</v>
      </c>
      <c r="O1244" t="s">
        <v>42</v>
      </c>
      <c r="P1244" t="s">
        <v>43</v>
      </c>
      <c r="Q1244">
        <v>14</v>
      </c>
      <c r="R1244">
        <v>3</v>
      </c>
      <c r="S1244">
        <v>23</v>
      </c>
      <c r="T1244">
        <v>15</v>
      </c>
      <c r="U1244">
        <v>17</v>
      </c>
      <c r="V1244">
        <v>4</v>
      </c>
      <c r="W1244">
        <v>56</v>
      </c>
      <c r="X1244">
        <v>531</v>
      </c>
      <c r="Y1244">
        <v>20364</v>
      </c>
      <c r="Z1244">
        <v>10231</v>
      </c>
      <c r="AA1244">
        <v>3</v>
      </c>
      <c r="AB1244">
        <v>29085</v>
      </c>
      <c r="AC1244" s="10">
        <v>37221</v>
      </c>
      <c r="AD1244" s="10" t="s">
        <v>72</v>
      </c>
      <c r="AE1244" t="s">
        <v>72</v>
      </c>
      <c r="AF1244" t="s">
        <v>45</v>
      </c>
    </row>
    <row r="1245" spans="1:32" x14ac:dyDescent="0.25">
      <c r="A1245">
        <v>1740</v>
      </c>
      <c r="B1245">
        <v>40</v>
      </c>
      <c r="C1245" t="s">
        <v>43</v>
      </c>
      <c r="D1245" t="s">
        <v>33</v>
      </c>
      <c r="E1245" t="s">
        <v>56</v>
      </c>
      <c r="F1245" t="s">
        <v>35</v>
      </c>
      <c r="G1245" t="s">
        <v>38</v>
      </c>
      <c r="H1245" t="s">
        <v>37</v>
      </c>
      <c r="I1245" t="s">
        <v>50</v>
      </c>
      <c r="J1245" t="s">
        <v>69</v>
      </c>
      <c r="K1245">
        <v>2</v>
      </c>
      <c r="L1245">
        <v>3</v>
      </c>
      <c r="M1245" t="s">
        <v>60</v>
      </c>
      <c r="N1245" t="s">
        <v>41</v>
      </c>
      <c r="O1245" t="s">
        <v>42</v>
      </c>
      <c r="P1245" t="s">
        <v>43</v>
      </c>
      <c r="Q1245">
        <v>14</v>
      </c>
      <c r="R1245">
        <v>1</v>
      </c>
      <c r="S1245">
        <v>21</v>
      </c>
      <c r="T1245">
        <v>12</v>
      </c>
      <c r="U1245">
        <v>8</v>
      </c>
      <c r="V1245">
        <v>7</v>
      </c>
      <c r="W1245">
        <v>88</v>
      </c>
      <c r="X1245">
        <v>611</v>
      </c>
      <c r="Y1245">
        <v>4349</v>
      </c>
      <c r="Z1245">
        <v>19833</v>
      </c>
      <c r="AA1245">
        <v>3</v>
      </c>
      <c r="AB1245">
        <v>30228</v>
      </c>
      <c r="AC1245" s="10">
        <v>37301</v>
      </c>
      <c r="AD1245" s="10" t="s">
        <v>72</v>
      </c>
      <c r="AE1245" t="s">
        <v>72</v>
      </c>
      <c r="AF1245" t="s">
        <v>45</v>
      </c>
    </row>
    <row r="1246" spans="1:32" x14ac:dyDescent="0.25">
      <c r="A1246">
        <v>81</v>
      </c>
      <c r="B1246">
        <v>59</v>
      </c>
      <c r="C1246" t="s">
        <v>43</v>
      </c>
      <c r="D1246" t="s">
        <v>33</v>
      </c>
      <c r="E1246" t="s">
        <v>56</v>
      </c>
      <c r="F1246" t="s">
        <v>49</v>
      </c>
      <c r="G1246" t="s">
        <v>36</v>
      </c>
      <c r="H1246" t="s">
        <v>47</v>
      </c>
      <c r="I1246" t="s">
        <v>50</v>
      </c>
      <c r="J1246" t="s">
        <v>57</v>
      </c>
      <c r="K1246">
        <v>1</v>
      </c>
      <c r="L1246">
        <v>3</v>
      </c>
      <c r="M1246" t="s">
        <v>60</v>
      </c>
      <c r="N1246" t="s">
        <v>41</v>
      </c>
      <c r="O1246" t="s">
        <v>42</v>
      </c>
      <c r="P1246" t="s">
        <v>43</v>
      </c>
      <c r="Q1246">
        <v>11</v>
      </c>
      <c r="R1246">
        <v>7</v>
      </c>
      <c r="S1246">
        <v>28</v>
      </c>
      <c r="T1246">
        <v>7</v>
      </c>
      <c r="U1246">
        <v>9</v>
      </c>
      <c r="V1246">
        <v>25</v>
      </c>
      <c r="W1246">
        <v>99</v>
      </c>
      <c r="X1246">
        <v>1435</v>
      </c>
      <c r="Y1246">
        <v>2354</v>
      </c>
      <c r="Z1246">
        <v>7637</v>
      </c>
      <c r="AA1246">
        <v>3</v>
      </c>
      <c r="AB1246">
        <v>23260</v>
      </c>
      <c r="AC1246" s="10">
        <v>37306</v>
      </c>
      <c r="AD1246" s="10" t="s">
        <v>72</v>
      </c>
      <c r="AE1246" t="s">
        <v>72</v>
      </c>
      <c r="AF1246" t="s">
        <v>45</v>
      </c>
    </row>
    <row r="1247" spans="1:32" x14ac:dyDescent="0.25">
      <c r="A1247">
        <v>1975</v>
      </c>
      <c r="B1247">
        <v>39</v>
      </c>
      <c r="C1247" t="s">
        <v>43</v>
      </c>
      <c r="D1247" t="s">
        <v>33</v>
      </c>
      <c r="E1247" t="s">
        <v>56</v>
      </c>
      <c r="F1247" t="s">
        <v>35</v>
      </c>
      <c r="G1247" t="s">
        <v>38</v>
      </c>
      <c r="H1247" t="s">
        <v>37</v>
      </c>
      <c r="I1247" t="s">
        <v>50</v>
      </c>
      <c r="J1247" t="s">
        <v>57</v>
      </c>
      <c r="K1247">
        <v>1</v>
      </c>
      <c r="L1247">
        <v>3</v>
      </c>
      <c r="M1247" t="s">
        <v>48</v>
      </c>
      <c r="N1247" t="s">
        <v>41</v>
      </c>
      <c r="O1247" t="s">
        <v>42</v>
      </c>
      <c r="P1247" t="s">
        <v>43</v>
      </c>
      <c r="Q1247">
        <v>12</v>
      </c>
      <c r="R1247">
        <v>0</v>
      </c>
      <c r="S1247">
        <v>21</v>
      </c>
      <c r="T1247">
        <v>11</v>
      </c>
      <c r="U1247">
        <v>10</v>
      </c>
      <c r="V1247">
        <v>15</v>
      </c>
      <c r="W1247">
        <v>77</v>
      </c>
      <c r="X1247">
        <v>119</v>
      </c>
      <c r="Y1247">
        <v>25098</v>
      </c>
      <c r="Z1247">
        <v>13341</v>
      </c>
      <c r="AA1247">
        <v>3</v>
      </c>
      <c r="AB1247">
        <v>30852</v>
      </c>
      <c r="AC1247" s="10">
        <v>37580</v>
      </c>
      <c r="AD1247" s="10" t="s">
        <v>72</v>
      </c>
      <c r="AE1247" t="s">
        <v>72</v>
      </c>
      <c r="AF1247" t="s">
        <v>55</v>
      </c>
    </row>
    <row r="1248" spans="1:32" x14ac:dyDescent="0.25">
      <c r="A1248">
        <v>2056</v>
      </c>
      <c r="B1248">
        <v>39</v>
      </c>
      <c r="C1248" t="s">
        <v>43</v>
      </c>
      <c r="D1248" t="s">
        <v>33</v>
      </c>
      <c r="E1248" t="s">
        <v>56</v>
      </c>
      <c r="F1248" t="s">
        <v>64</v>
      </c>
      <c r="G1248" t="s">
        <v>38</v>
      </c>
      <c r="H1248" t="s">
        <v>47</v>
      </c>
      <c r="I1248" t="s">
        <v>38</v>
      </c>
      <c r="J1248" t="s">
        <v>57</v>
      </c>
      <c r="K1248">
        <v>4</v>
      </c>
      <c r="L1248">
        <v>3</v>
      </c>
      <c r="M1248" t="s">
        <v>60</v>
      </c>
      <c r="N1248" t="s">
        <v>61</v>
      </c>
      <c r="O1248" t="s">
        <v>36</v>
      </c>
      <c r="P1248" t="s">
        <v>43</v>
      </c>
      <c r="Q1248">
        <v>11</v>
      </c>
      <c r="R1248">
        <v>0</v>
      </c>
      <c r="S1248">
        <v>21</v>
      </c>
      <c r="T1248">
        <v>9</v>
      </c>
      <c r="U1248">
        <v>6</v>
      </c>
      <c r="V1248">
        <v>24</v>
      </c>
      <c r="W1248">
        <v>60</v>
      </c>
      <c r="X1248">
        <v>722</v>
      </c>
      <c r="Y1248">
        <v>8828</v>
      </c>
      <c r="Z1248">
        <v>12031</v>
      </c>
      <c r="AA1248">
        <v>2</v>
      </c>
      <c r="AB1248">
        <v>30664</v>
      </c>
      <c r="AC1248" s="10">
        <v>37626</v>
      </c>
      <c r="AD1248" s="10" t="s">
        <v>72</v>
      </c>
      <c r="AE1248" t="s">
        <v>72</v>
      </c>
      <c r="AF1248" t="s">
        <v>55</v>
      </c>
    </row>
    <row r="1249" spans="1:32" x14ac:dyDescent="0.25">
      <c r="A1249">
        <v>851</v>
      </c>
      <c r="B1249">
        <v>51</v>
      </c>
      <c r="C1249" t="s">
        <v>43</v>
      </c>
      <c r="D1249" t="s">
        <v>33</v>
      </c>
      <c r="E1249" t="s">
        <v>56</v>
      </c>
      <c r="F1249" t="s">
        <v>35</v>
      </c>
      <c r="G1249" t="s">
        <v>36</v>
      </c>
      <c r="H1249" t="s">
        <v>47</v>
      </c>
      <c r="I1249" t="s">
        <v>50</v>
      </c>
      <c r="J1249" t="s">
        <v>69</v>
      </c>
      <c r="K1249">
        <v>3</v>
      </c>
      <c r="L1249">
        <v>3</v>
      </c>
      <c r="M1249" t="s">
        <v>60</v>
      </c>
      <c r="N1249" t="s">
        <v>61</v>
      </c>
      <c r="O1249" t="s">
        <v>36</v>
      </c>
      <c r="P1249" t="s">
        <v>43</v>
      </c>
      <c r="Q1249">
        <v>14</v>
      </c>
      <c r="R1249">
        <v>2</v>
      </c>
      <c r="S1249">
        <v>29</v>
      </c>
      <c r="T1249">
        <v>4</v>
      </c>
      <c r="U1249">
        <v>17</v>
      </c>
      <c r="V1249">
        <v>26</v>
      </c>
      <c r="W1249">
        <v>66</v>
      </c>
      <c r="X1249">
        <v>1318</v>
      </c>
      <c r="Y1249">
        <v>5594</v>
      </c>
      <c r="Z1249">
        <v>16307</v>
      </c>
      <c r="AA1249">
        <v>2</v>
      </c>
      <c r="AB1249">
        <v>26330</v>
      </c>
      <c r="AC1249" s="10">
        <v>37826</v>
      </c>
      <c r="AD1249" s="10" t="s">
        <v>72</v>
      </c>
      <c r="AE1249" t="s">
        <v>72</v>
      </c>
      <c r="AF1249" t="s">
        <v>55</v>
      </c>
    </row>
    <row r="1250" spans="1:32" x14ac:dyDescent="0.25">
      <c r="A1250">
        <v>1863</v>
      </c>
      <c r="B1250">
        <v>46</v>
      </c>
      <c r="C1250" t="s">
        <v>43</v>
      </c>
      <c r="D1250" t="s">
        <v>33</v>
      </c>
      <c r="E1250" t="s">
        <v>56</v>
      </c>
      <c r="F1250" t="s">
        <v>49</v>
      </c>
      <c r="G1250" t="s">
        <v>36</v>
      </c>
      <c r="H1250" t="s">
        <v>47</v>
      </c>
      <c r="I1250" t="s">
        <v>59</v>
      </c>
      <c r="J1250" t="s">
        <v>57</v>
      </c>
      <c r="K1250">
        <v>1</v>
      </c>
      <c r="L1250">
        <v>3</v>
      </c>
      <c r="M1250" t="s">
        <v>48</v>
      </c>
      <c r="N1250" t="s">
        <v>52</v>
      </c>
      <c r="O1250" t="s">
        <v>36</v>
      </c>
      <c r="P1250" t="s">
        <v>43</v>
      </c>
      <c r="Q1250">
        <v>12</v>
      </c>
      <c r="R1250">
        <v>2</v>
      </c>
      <c r="S1250">
        <v>25</v>
      </c>
      <c r="T1250">
        <v>2</v>
      </c>
      <c r="U1250">
        <v>8</v>
      </c>
      <c r="V1250">
        <v>3</v>
      </c>
      <c r="W1250">
        <v>45</v>
      </c>
      <c r="X1250">
        <v>1319</v>
      </c>
      <c r="Y1250">
        <v>7739</v>
      </c>
      <c r="Z1250">
        <v>13225</v>
      </c>
      <c r="AA1250">
        <v>5</v>
      </c>
      <c r="AB1250">
        <v>28116</v>
      </c>
      <c r="AC1250" s="10">
        <v>38026</v>
      </c>
      <c r="AD1250" s="10" t="s">
        <v>72</v>
      </c>
      <c r="AE1250" t="s">
        <v>72</v>
      </c>
      <c r="AF1250" t="s">
        <v>45</v>
      </c>
    </row>
    <row r="1251" spans="1:32" x14ac:dyDescent="0.25">
      <c r="A1251">
        <v>625</v>
      </c>
      <c r="B1251">
        <v>41</v>
      </c>
      <c r="C1251" t="s">
        <v>43</v>
      </c>
      <c r="D1251" t="s">
        <v>33</v>
      </c>
      <c r="E1251" t="s">
        <v>56</v>
      </c>
      <c r="F1251" t="s">
        <v>70</v>
      </c>
      <c r="G1251" t="s">
        <v>38</v>
      </c>
      <c r="H1251" t="s">
        <v>47</v>
      </c>
      <c r="I1251" t="s">
        <v>50</v>
      </c>
      <c r="J1251" t="s">
        <v>69</v>
      </c>
      <c r="K1251">
        <v>1</v>
      </c>
      <c r="L1251">
        <v>3</v>
      </c>
      <c r="M1251" t="s">
        <v>48</v>
      </c>
      <c r="N1251" t="s">
        <v>61</v>
      </c>
      <c r="O1251" t="s">
        <v>36</v>
      </c>
      <c r="P1251" t="s">
        <v>43</v>
      </c>
      <c r="Q1251">
        <v>16</v>
      </c>
      <c r="R1251">
        <v>7</v>
      </c>
      <c r="S1251">
        <v>22</v>
      </c>
      <c r="T1251">
        <v>11</v>
      </c>
      <c r="U1251">
        <v>8</v>
      </c>
      <c r="V1251">
        <v>2</v>
      </c>
      <c r="W1251">
        <v>91</v>
      </c>
      <c r="X1251">
        <v>1276</v>
      </c>
      <c r="Y1251">
        <v>5626</v>
      </c>
      <c r="Z1251">
        <v>16595</v>
      </c>
      <c r="AA1251">
        <v>2</v>
      </c>
      <c r="AB1251">
        <v>29866</v>
      </c>
      <c r="AC1251" s="10">
        <v>38407</v>
      </c>
      <c r="AD1251" s="10" t="s">
        <v>72</v>
      </c>
      <c r="AE1251" t="s">
        <v>72</v>
      </c>
      <c r="AF1251" t="s">
        <v>45</v>
      </c>
    </row>
    <row r="1252" spans="1:32" x14ac:dyDescent="0.25">
      <c r="A1252">
        <v>857</v>
      </c>
      <c r="B1252">
        <v>36</v>
      </c>
      <c r="C1252" t="s">
        <v>43</v>
      </c>
      <c r="D1252" t="s">
        <v>33</v>
      </c>
      <c r="E1252" t="s">
        <v>56</v>
      </c>
      <c r="F1252" t="s">
        <v>67</v>
      </c>
      <c r="G1252" t="s">
        <v>38</v>
      </c>
      <c r="H1252" t="s">
        <v>37</v>
      </c>
      <c r="I1252" t="s">
        <v>50</v>
      </c>
      <c r="J1252" t="s">
        <v>57</v>
      </c>
      <c r="K1252">
        <v>4</v>
      </c>
      <c r="L1252">
        <v>3</v>
      </c>
      <c r="M1252" t="s">
        <v>60</v>
      </c>
      <c r="N1252" t="s">
        <v>61</v>
      </c>
      <c r="O1252" t="s">
        <v>36</v>
      </c>
      <c r="P1252" t="s">
        <v>32</v>
      </c>
      <c r="Q1252">
        <v>14</v>
      </c>
      <c r="R1252">
        <v>1</v>
      </c>
      <c r="S1252">
        <v>18</v>
      </c>
      <c r="T1252">
        <v>4</v>
      </c>
      <c r="U1252">
        <v>11</v>
      </c>
      <c r="V1252">
        <v>1</v>
      </c>
      <c r="W1252">
        <v>56</v>
      </c>
      <c r="X1252">
        <v>928</v>
      </c>
      <c r="Y1252">
        <v>2823</v>
      </c>
      <c r="Z1252">
        <v>6201</v>
      </c>
      <c r="AA1252">
        <v>1</v>
      </c>
      <c r="AB1252">
        <v>31932</v>
      </c>
      <c r="AC1252" s="10">
        <v>38451</v>
      </c>
      <c r="AD1252" s="10" t="s">
        <v>72</v>
      </c>
      <c r="AE1252" t="s">
        <v>72</v>
      </c>
      <c r="AF1252" t="s">
        <v>45</v>
      </c>
    </row>
    <row r="1253" spans="1:32" x14ac:dyDescent="0.25">
      <c r="A1253">
        <v>981</v>
      </c>
      <c r="B1253">
        <v>53</v>
      </c>
      <c r="C1253" t="s">
        <v>43</v>
      </c>
      <c r="D1253" t="s">
        <v>33</v>
      </c>
      <c r="E1253" t="s">
        <v>56</v>
      </c>
      <c r="F1253" t="s">
        <v>67</v>
      </c>
      <c r="G1253" t="s">
        <v>50</v>
      </c>
      <c r="H1253" t="s">
        <v>37</v>
      </c>
      <c r="I1253" t="s">
        <v>50</v>
      </c>
      <c r="J1253" t="s">
        <v>69</v>
      </c>
      <c r="K1253">
        <v>3</v>
      </c>
      <c r="L1253">
        <v>3</v>
      </c>
      <c r="M1253" t="s">
        <v>58</v>
      </c>
      <c r="N1253" t="s">
        <v>52</v>
      </c>
      <c r="O1253" t="s">
        <v>36</v>
      </c>
      <c r="P1253" t="s">
        <v>43</v>
      </c>
      <c r="Q1253">
        <v>13</v>
      </c>
      <c r="R1253">
        <v>6</v>
      </c>
      <c r="S1253">
        <v>22</v>
      </c>
      <c r="T1253">
        <v>15</v>
      </c>
      <c r="U1253">
        <v>2</v>
      </c>
      <c r="V1253">
        <v>2</v>
      </c>
      <c r="W1253">
        <v>45</v>
      </c>
      <c r="X1253">
        <v>1376</v>
      </c>
      <c r="Y1253">
        <v>13938</v>
      </c>
      <c r="Z1253">
        <v>14852</v>
      </c>
      <c r="AA1253">
        <v>3</v>
      </c>
      <c r="AB1253">
        <v>25446</v>
      </c>
      <c r="AC1253" s="10">
        <v>38842</v>
      </c>
      <c r="AD1253" s="10" t="s">
        <v>72</v>
      </c>
      <c r="AE1253" t="s">
        <v>72</v>
      </c>
      <c r="AF1253" t="s">
        <v>45</v>
      </c>
    </row>
    <row r="1254" spans="1:32" x14ac:dyDescent="0.25">
      <c r="A1254">
        <v>307</v>
      </c>
      <c r="B1254">
        <v>38</v>
      </c>
      <c r="C1254" t="s">
        <v>43</v>
      </c>
      <c r="D1254" t="s">
        <v>33</v>
      </c>
      <c r="E1254" t="s">
        <v>56</v>
      </c>
      <c r="F1254" t="s">
        <v>49</v>
      </c>
      <c r="G1254" t="s">
        <v>36</v>
      </c>
      <c r="H1254" t="s">
        <v>37</v>
      </c>
      <c r="I1254" t="s">
        <v>50</v>
      </c>
      <c r="J1254" t="s">
        <v>57</v>
      </c>
      <c r="K1254">
        <v>3</v>
      </c>
      <c r="L1254">
        <v>3</v>
      </c>
      <c r="M1254" t="s">
        <v>60</v>
      </c>
      <c r="N1254" t="s">
        <v>52</v>
      </c>
      <c r="O1254" t="s">
        <v>53</v>
      </c>
      <c r="P1254" t="s">
        <v>43</v>
      </c>
      <c r="Q1254">
        <v>12</v>
      </c>
      <c r="R1254">
        <v>0</v>
      </c>
      <c r="S1254">
        <v>17</v>
      </c>
      <c r="T1254">
        <v>5</v>
      </c>
      <c r="U1254">
        <v>13</v>
      </c>
      <c r="V1254">
        <v>3</v>
      </c>
      <c r="W1254">
        <v>76</v>
      </c>
      <c r="X1254">
        <v>119</v>
      </c>
      <c r="Y1254">
        <v>9647</v>
      </c>
      <c r="Z1254">
        <v>10609</v>
      </c>
      <c r="AA1254">
        <v>6</v>
      </c>
      <c r="AB1254">
        <v>30950</v>
      </c>
      <c r="AC1254" s="10">
        <v>39196</v>
      </c>
      <c r="AD1254" s="10" t="s">
        <v>72</v>
      </c>
      <c r="AE1254" t="s">
        <v>72</v>
      </c>
      <c r="AF1254" t="s">
        <v>45</v>
      </c>
    </row>
    <row r="1255" spans="1:32" x14ac:dyDescent="0.25">
      <c r="A1255">
        <v>182</v>
      </c>
      <c r="B1255">
        <v>39</v>
      </c>
      <c r="C1255" t="s">
        <v>43</v>
      </c>
      <c r="D1255" t="s">
        <v>33</v>
      </c>
      <c r="E1255" t="s">
        <v>56</v>
      </c>
      <c r="F1255" t="s">
        <v>35</v>
      </c>
      <c r="G1255" t="s">
        <v>59</v>
      </c>
      <c r="H1255" t="s">
        <v>47</v>
      </c>
      <c r="I1255" t="s">
        <v>38</v>
      </c>
      <c r="J1255" t="s">
        <v>57</v>
      </c>
      <c r="K1255">
        <v>3</v>
      </c>
      <c r="L1255">
        <v>3</v>
      </c>
      <c r="M1255" t="s">
        <v>58</v>
      </c>
      <c r="N1255" t="s">
        <v>61</v>
      </c>
      <c r="O1255" t="s">
        <v>36</v>
      </c>
      <c r="P1255" t="s">
        <v>43</v>
      </c>
      <c r="Q1255">
        <v>14</v>
      </c>
      <c r="R1255">
        <v>4</v>
      </c>
      <c r="S1255">
        <v>17</v>
      </c>
      <c r="T1255">
        <v>5</v>
      </c>
      <c r="U1255">
        <v>9</v>
      </c>
      <c r="V1255">
        <v>4</v>
      </c>
      <c r="W1255">
        <v>47</v>
      </c>
      <c r="X1255">
        <v>1329</v>
      </c>
      <c r="Y1255">
        <v>14590</v>
      </c>
      <c r="Z1255">
        <v>5902</v>
      </c>
      <c r="AA1255">
        <v>1</v>
      </c>
      <c r="AB1255">
        <v>30533</v>
      </c>
      <c r="AC1255" s="10">
        <v>39291</v>
      </c>
      <c r="AD1255" s="10" t="s">
        <v>72</v>
      </c>
      <c r="AE1255" t="s">
        <v>72</v>
      </c>
      <c r="AF1255" t="s">
        <v>55</v>
      </c>
    </row>
    <row r="1256" spans="1:32" x14ac:dyDescent="0.25">
      <c r="A1256">
        <v>100</v>
      </c>
      <c r="B1256">
        <v>35</v>
      </c>
      <c r="C1256" t="s">
        <v>43</v>
      </c>
      <c r="D1256" t="s">
        <v>33</v>
      </c>
      <c r="E1256" t="s">
        <v>56</v>
      </c>
      <c r="F1256" t="s">
        <v>35</v>
      </c>
      <c r="G1256" t="s">
        <v>50</v>
      </c>
      <c r="H1256" t="s">
        <v>37</v>
      </c>
      <c r="I1256" t="s">
        <v>38</v>
      </c>
      <c r="J1256" t="s">
        <v>57</v>
      </c>
      <c r="K1256">
        <v>1</v>
      </c>
      <c r="L1256">
        <v>3</v>
      </c>
      <c r="M1256" t="s">
        <v>48</v>
      </c>
      <c r="N1256" t="s">
        <v>41</v>
      </c>
      <c r="O1256" t="s">
        <v>42</v>
      </c>
      <c r="P1256" t="s">
        <v>43</v>
      </c>
      <c r="Q1256">
        <v>14</v>
      </c>
      <c r="R1256">
        <v>0</v>
      </c>
      <c r="S1256">
        <v>16</v>
      </c>
      <c r="T1256">
        <v>2</v>
      </c>
      <c r="U1256">
        <v>8</v>
      </c>
      <c r="V1256">
        <v>1</v>
      </c>
      <c r="W1256">
        <v>32</v>
      </c>
      <c r="X1256">
        <v>776</v>
      </c>
      <c r="Y1256">
        <v>23016</v>
      </c>
      <c r="Z1256">
        <v>4312</v>
      </c>
      <c r="AA1256">
        <v>2</v>
      </c>
      <c r="AB1256">
        <v>32316</v>
      </c>
      <c r="AC1256" s="10">
        <v>39424</v>
      </c>
      <c r="AD1256" s="10" t="s">
        <v>72</v>
      </c>
      <c r="AE1256" t="s">
        <v>72</v>
      </c>
      <c r="AF1256" t="s">
        <v>55</v>
      </c>
    </row>
    <row r="1257" spans="1:32" x14ac:dyDescent="0.25">
      <c r="A1257">
        <v>1995</v>
      </c>
      <c r="B1257">
        <v>38</v>
      </c>
      <c r="C1257" t="s">
        <v>43</v>
      </c>
      <c r="D1257" t="s">
        <v>33</v>
      </c>
      <c r="E1257" t="s">
        <v>56</v>
      </c>
      <c r="F1257" t="s">
        <v>35</v>
      </c>
      <c r="G1257" t="s">
        <v>59</v>
      </c>
      <c r="H1257" t="s">
        <v>37</v>
      </c>
      <c r="I1257" t="s">
        <v>50</v>
      </c>
      <c r="J1257" t="s">
        <v>57</v>
      </c>
      <c r="K1257">
        <v>2</v>
      </c>
      <c r="L1257">
        <v>3</v>
      </c>
      <c r="M1257" t="s">
        <v>48</v>
      </c>
      <c r="N1257" t="s">
        <v>61</v>
      </c>
      <c r="O1257" t="s">
        <v>53</v>
      </c>
      <c r="P1257" t="s">
        <v>43</v>
      </c>
      <c r="Q1257">
        <v>15</v>
      </c>
      <c r="R1257">
        <v>0</v>
      </c>
      <c r="S1257">
        <v>16</v>
      </c>
      <c r="T1257">
        <v>5</v>
      </c>
      <c r="U1257">
        <v>8</v>
      </c>
      <c r="V1257">
        <v>1</v>
      </c>
      <c r="W1257">
        <v>86</v>
      </c>
      <c r="X1257">
        <v>1321</v>
      </c>
      <c r="Y1257">
        <v>7636</v>
      </c>
      <c r="Z1257">
        <v>4440</v>
      </c>
      <c r="AA1257">
        <v>3</v>
      </c>
      <c r="AB1257">
        <v>31181</v>
      </c>
      <c r="AC1257" s="10">
        <v>39544</v>
      </c>
      <c r="AD1257" s="10" t="s">
        <v>72</v>
      </c>
      <c r="AE1257" t="s">
        <v>72</v>
      </c>
      <c r="AF1257" t="s">
        <v>45</v>
      </c>
    </row>
    <row r="1258" spans="1:32" x14ac:dyDescent="0.25">
      <c r="A1258">
        <v>2016</v>
      </c>
      <c r="B1258">
        <v>32</v>
      </c>
      <c r="C1258" t="s">
        <v>43</v>
      </c>
      <c r="D1258" t="s">
        <v>33</v>
      </c>
      <c r="E1258" t="s">
        <v>56</v>
      </c>
      <c r="F1258" t="s">
        <v>35</v>
      </c>
      <c r="G1258" t="s">
        <v>50</v>
      </c>
      <c r="H1258" t="s">
        <v>47</v>
      </c>
      <c r="I1258" t="s">
        <v>50</v>
      </c>
      <c r="J1258" t="s">
        <v>57</v>
      </c>
      <c r="K1258">
        <v>4</v>
      </c>
      <c r="L1258">
        <v>3</v>
      </c>
      <c r="M1258" t="s">
        <v>48</v>
      </c>
      <c r="N1258" t="s">
        <v>61</v>
      </c>
      <c r="O1258" t="s">
        <v>53</v>
      </c>
      <c r="P1258" t="s">
        <v>43</v>
      </c>
      <c r="Q1258">
        <v>19</v>
      </c>
      <c r="R1258">
        <v>1</v>
      </c>
      <c r="S1258">
        <v>14</v>
      </c>
      <c r="T1258">
        <v>5</v>
      </c>
      <c r="U1258">
        <v>7</v>
      </c>
      <c r="V1258">
        <v>1</v>
      </c>
      <c r="W1258">
        <v>48</v>
      </c>
      <c r="X1258">
        <v>801</v>
      </c>
      <c r="Y1258">
        <v>24032</v>
      </c>
      <c r="Z1258">
        <v>10422</v>
      </c>
      <c r="AA1258">
        <v>3</v>
      </c>
      <c r="AB1258">
        <v>33289</v>
      </c>
      <c r="AC1258" s="10">
        <v>39738</v>
      </c>
      <c r="AD1258" s="10" t="s">
        <v>72</v>
      </c>
      <c r="AE1258" t="s">
        <v>72</v>
      </c>
      <c r="AF1258" t="s">
        <v>45</v>
      </c>
    </row>
    <row r="1259" spans="1:32" x14ac:dyDescent="0.25">
      <c r="A1259">
        <v>1710</v>
      </c>
      <c r="B1259">
        <v>36</v>
      </c>
      <c r="C1259" t="s">
        <v>43</v>
      </c>
      <c r="D1259" t="s">
        <v>33</v>
      </c>
      <c r="E1259" t="s">
        <v>56</v>
      </c>
      <c r="F1259" t="s">
        <v>35</v>
      </c>
      <c r="G1259" t="s">
        <v>50</v>
      </c>
      <c r="H1259" t="s">
        <v>47</v>
      </c>
      <c r="I1259" t="s">
        <v>50</v>
      </c>
      <c r="J1259" t="s">
        <v>66</v>
      </c>
      <c r="K1259">
        <v>4</v>
      </c>
      <c r="L1259">
        <v>3</v>
      </c>
      <c r="M1259" t="s">
        <v>60</v>
      </c>
      <c r="N1259" t="s">
        <v>41</v>
      </c>
      <c r="O1259" t="s">
        <v>42</v>
      </c>
      <c r="P1259" t="s">
        <v>43</v>
      </c>
      <c r="Q1259">
        <v>15</v>
      </c>
      <c r="R1259">
        <v>3</v>
      </c>
      <c r="S1259">
        <v>17</v>
      </c>
      <c r="T1259">
        <v>6</v>
      </c>
      <c r="U1259">
        <v>7</v>
      </c>
      <c r="V1259">
        <v>2</v>
      </c>
      <c r="W1259">
        <v>51</v>
      </c>
      <c r="X1259">
        <v>530</v>
      </c>
      <c r="Y1259">
        <v>7439</v>
      </c>
      <c r="Z1259">
        <v>4502</v>
      </c>
      <c r="AA1259">
        <v>2</v>
      </c>
      <c r="AB1259">
        <v>31667</v>
      </c>
      <c r="AC1259" s="10">
        <v>40021</v>
      </c>
      <c r="AD1259" s="10" t="s">
        <v>72</v>
      </c>
      <c r="AE1259" t="s">
        <v>72</v>
      </c>
      <c r="AF1259" t="s">
        <v>45</v>
      </c>
    </row>
    <row r="1260" spans="1:32" x14ac:dyDescent="0.25">
      <c r="A1260">
        <v>1527</v>
      </c>
      <c r="B1260">
        <v>46</v>
      </c>
      <c r="C1260" t="s">
        <v>43</v>
      </c>
      <c r="D1260" t="s">
        <v>33</v>
      </c>
      <c r="E1260" t="s">
        <v>56</v>
      </c>
      <c r="F1260" t="s">
        <v>49</v>
      </c>
      <c r="G1260" t="s">
        <v>50</v>
      </c>
      <c r="H1260" t="s">
        <v>47</v>
      </c>
      <c r="I1260" t="s">
        <v>50</v>
      </c>
      <c r="J1260" t="s">
        <v>69</v>
      </c>
      <c r="K1260">
        <v>2</v>
      </c>
      <c r="L1260">
        <v>3</v>
      </c>
      <c r="M1260" t="s">
        <v>58</v>
      </c>
      <c r="N1260" t="s">
        <v>61</v>
      </c>
      <c r="O1260" t="s">
        <v>36</v>
      </c>
      <c r="P1260" t="s">
        <v>43</v>
      </c>
      <c r="Q1260">
        <v>12</v>
      </c>
      <c r="R1260">
        <v>8</v>
      </c>
      <c r="S1260">
        <v>23</v>
      </c>
      <c r="T1260">
        <v>5</v>
      </c>
      <c r="U1260">
        <v>1</v>
      </c>
      <c r="V1260">
        <v>3</v>
      </c>
      <c r="W1260">
        <v>51</v>
      </c>
      <c r="X1260">
        <v>228</v>
      </c>
      <c r="Y1260">
        <v>11380</v>
      </c>
      <c r="Z1260">
        <v>16606</v>
      </c>
      <c r="AA1260">
        <v>2</v>
      </c>
      <c r="AB1260">
        <v>28141</v>
      </c>
      <c r="AC1260" s="10">
        <v>40035</v>
      </c>
      <c r="AD1260" s="10" t="s">
        <v>72</v>
      </c>
      <c r="AE1260" t="s">
        <v>72</v>
      </c>
      <c r="AF1260" t="s">
        <v>45</v>
      </c>
    </row>
    <row r="1261" spans="1:32" x14ac:dyDescent="0.25">
      <c r="A1261">
        <v>420</v>
      </c>
      <c r="B1261">
        <v>32</v>
      </c>
      <c r="C1261" t="s">
        <v>43</v>
      </c>
      <c r="D1261" t="s">
        <v>33</v>
      </c>
      <c r="E1261" t="s">
        <v>56</v>
      </c>
      <c r="F1261" t="s">
        <v>49</v>
      </c>
      <c r="G1261" t="s">
        <v>59</v>
      </c>
      <c r="H1261" t="s">
        <v>37</v>
      </c>
      <c r="I1261" t="s">
        <v>38</v>
      </c>
      <c r="J1261" t="s">
        <v>57</v>
      </c>
      <c r="K1261">
        <v>3</v>
      </c>
      <c r="L1261">
        <v>3</v>
      </c>
      <c r="M1261" t="s">
        <v>60</v>
      </c>
      <c r="N1261" t="s">
        <v>61</v>
      </c>
      <c r="O1261" t="s">
        <v>36</v>
      </c>
      <c r="P1261" t="s">
        <v>43</v>
      </c>
      <c r="Q1261">
        <v>14</v>
      </c>
      <c r="R1261">
        <v>1</v>
      </c>
      <c r="S1261">
        <v>13</v>
      </c>
      <c r="T1261">
        <v>4</v>
      </c>
      <c r="U1261">
        <v>8</v>
      </c>
      <c r="V1261">
        <v>7</v>
      </c>
      <c r="W1261">
        <v>91</v>
      </c>
      <c r="X1261">
        <v>906</v>
      </c>
      <c r="Y1261">
        <v>16985</v>
      </c>
      <c r="Z1261">
        <v>5484</v>
      </c>
      <c r="AA1261">
        <v>3</v>
      </c>
      <c r="AB1261">
        <v>33166</v>
      </c>
      <c r="AC1261" s="10">
        <v>40132</v>
      </c>
      <c r="AD1261" s="10" t="s">
        <v>72</v>
      </c>
      <c r="AE1261" t="s">
        <v>72</v>
      </c>
      <c r="AF1261" t="s">
        <v>45</v>
      </c>
    </row>
    <row r="1262" spans="1:32" x14ac:dyDescent="0.25">
      <c r="A1262">
        <v>1478</v>
      </c>
      <c r="B1262">
        <v>34</v>
      </c>
      <c r="C1262" t="s">
        <v>43</v>
      </c>
      <c r="D1262" t="s">
        <v>33</v>
      </c>
      <c r="E1262" t="s">
        <v>56</v>
      </c>
      <c r="F1262" t="s">
        <v>49</v>
      </c>
      <c r="G1262" t="s">
        <v>59</v>
      </c>
      <c r="H1262" t="s">
        <v>37</v>
      </c>
      <c r="I1262" t="s">
        <v>36</v>
      </c>
      <c r="J1262" t="s">
        <v>57</v>
      </c>
      <c r="K1262">
        <v>1</v>
      </c>
      <c r="L1262">
        <v>3</v>
      </c>
      <c r="M1262" t="s">
        <v>48</v>
      </c>
      <c r="N1262" t="s">
        <v>41</v>
      </c>
      <c r="O1262" t="s">
        <v>42</v>
      </c>
      <c r="P1262" t="s">
        <v>43</v>
      </c>
      <c r="Q1262">
        <v>18</v>
      </c>
      <c r="R1262">
        <v>3</v>
      </c>
      <c r="S1262">
        <v>15</v>
      </c>
      <c r="T1262">
        <v>3</v>
      </c>
      <c r="U1262">
        <v>12</v>
      </c>
      <c r="V1262">
        <v>3</v>
      </c>
      <c r="W1262">
        <v>81</v>
      </c>
      <c r="X1262">
        <v>1326</v>
      </c>
      <c r="Y1262">
        <v>15891</v>
      </c>
      <c r="Z1262">
        <v>4759</v>
      </c>
      <c r="AA1262">
        <v>2</v>
      </c>
      <c r="AB1262">
        <v>32579</v>
      </c>
      <c r="AC1262" s="10">
        <v>40223</v>
      </c>
      <c r="AD1262" s="10" t="s">
        <v>72</v>
      </c>
      <c r="AE1262" t="s">
        <v>72</v>
      </c>
      <c r="AF1262" t="s">
        <v>45</v>
      </c>
    </row>
    <row r="1263" spans="1:32" x14ac:dyDescent="0.25">
      <c r="A1263">
        <v>1453</v>
      </c>
      <c r="B1263">
        <v>31</v>
      </c>
      <c r="C1263" t="s">
        <v>43</v>
      </c>
      <c r="D1263" t="s">
        <v>33</v>
      </c>
      <c r="E1263" t="s">
        <v>56</v>
      </c>
      <c r="F1263" t="s">
        <v>67</v>
      </c>
      <c r="G1263" t="s">
        <v>36</v>
      </c>
      <c r="H1263" t="s">
        <v>37</v>
      </c>
      <c r="I1263" t="s">
        <v>50</v>
      </c>
      <c r="J1263" t="s">
        <v>57</v>
      </c>
      <c r="K1263">
        <v>4</v>
      </c>
      <c r="L1263">
        <v>3</v>
      </c>
      <c r="M1263" t="s">
        <v>48</v>
      </c>
      <c r="N1263" t="s">
        <v>52</v>
      </c>
      <c r="O1263" t="s">
        <v>36</v>
      </c>
      <c r="P1263" t="s">
        <v>43</v>
      </c>
      <c r="Q1263">
        <v>18</v>
      </c>
      <c r="R1263">
        <v>1</v>
      </c>
      <c r="S1263">
        <v>13</v>
      </c>
      <c r="T1263">
        <v>9</v>
      </c>
      <c r="U1263">
        <v>9</v>
      </c>
      <c r="V1263">
        <v>8</v>
      </c>
      <c r="W1263">
        <v>31</v>
      </c>
      <c r="X1263">
        <v>326</v>
      </c>
      <c r="Y1263">
        <v>8386</v>
      </c>
      <c r="Z1263">
        <v>10793</v>
      </c>
      <c r="AA1263">
        <v>5</v>
      </c>
      <c r="AB1263">
        <v>33744</v>
      </c>
      <c r="AC1263" s="10">
        <v>40279</v>
      </c>
      <c r="AD1263" s="10" t="s">
        <v>72</v>
      </c>
      <c r="AE1263" t="s">
        <v>72</v>
      </c>
      <c r="AF1263" t="s">
        <v>45</v>
      </c>
    </row>
    <row r="1264" spans="1:32" x14ac:dyDescent="0.25">
      <c r="A1264">
        <v>436</v>
      </c>
      <c r="B1264">
        <v>32</v>
      </c>
      <c r="C1264" t="s">
        <v>43</v>
      </c>
      <c r="D1264" t="s">
        <v>33</v>
      </c>
      <c r="E1264" t="s">
        <v>56</v>
      </c>
      <c r="F1264" t="s">
        <v>67</v>
      </c>
      <c r="G1264" t="s">
        <v>50</v>
      </c>
      <c r="H1264" t="s">
        <v>47</v>
      </c>
      <c r="I1264" t="s">
        <v>38</v>
      </c>
      <c r="J1264" t="s">
        <v>57</v>
      </c>
      <c r="K1264">
        <v>2</v>
      </c>
      <c r="L1264">
        <v>3</v>
      </c>
      <c r="M1264" t="s">
        <v>48</v>
      </c>
      <c r="N1264" t="s">
        <v>61</v>
      </c>
      <c r="O1264" t="s">
        <v>42</v>
      </c>
      <c r="P1264" t="s">
        <v>32</v>
      </c>
      <c r="Q1264">
        <v>11</v>
      </c>
      <c r="R1264">
        <v>1</v>
      </c>
      <c r="S1264">
        <v>13</v>
      </c>
      <c r="T1264">
        <v>11</v>
      </c>
      <c r="U1264">
        <v>9</v>
      </c>
      <c r="V1264">
        <v>8</v>
      </c>
      <c r="W1264">
        <v>65</v>
      </c>
      <c r="X1264">
        <v>588</v>
      </c>
      <c r="Y1264">
        <v>24624</v>
      </c>
      <c r="Z1264">
        <v>5228</v>
      </c>
      <c r="AA1264">
        <v>2</v>
      </c>
      <c r="AB1264">
        <v>33095</v>
      </c>
      <c r="AC1264" s="10">
        <v>40345</v>
      </c>
      <c r="AD1264" s="10" t="s">
        <v>72</v>
      </c>
      <c r="AE1264" t="s">
        <v>72</v>
      </c>
      <c r="AF1264" t="s">
        <v>45</v>
      </c>
    </row>
    <row r="1265" spans="1:32" x14ac:dyDescent="0.25">
      <c r="A1265">
        <v>1039</v>
      </c>
      <c r="B1265">
        <v>44</v>
      </c>
      <c r="C1265" t="s">
        <v>43</v>
      </c>
      <c r="D1265" t="s">
        <v>33</v>
      </c>
      <c r="E1265" t="s">
        <v>56</v>
      </c>
      <c r="F1265" t="s">
        <v>49</v>
      </c>
      <c r="G1265" t="s">
        <v>59</v>
      </c>
      <c r="H1265" t="s">
        <v>47</v>
      </c>
      <c r="I1265" t="s">
        <v>59</v>
      </c>
      <c r="J1265" t="s">
        <v>57</v>
      </c>
      <c r="K1265">
        <v>4</v>
      </c>
      <c r="L1265">
        <v>3</v>
      </c>
      <c r="M1265" t="s">
        <v>48</v>
      </c>
      <c r="N1265" t="s">
        <v>61</v>
      </c>
      <c r="O1265" t="s">
        <v>36</v>
      </c>
      <c r="P1265" t="s">
        <v>32</v>
      </c>
      <c r="Q1265">
        <v>18</v>
      </c>
      <c r="R1265">
        <v>3</v>
      </c>
      <c r="S1265">
        <v>23</v>
      </c>
      <c r="T1265">
        <v>11</v>
      </c>
      <c r="U1265">
        <v>11</v>
      </c>
      <c r="V1265">
        <v>28</v>
      </c>
      <c r="W1265">
        <v>53</v>
      </c>
      <c r="X1265">
        <v>1448</v>
      </c>
      <c r="Y1265">
        <v>11737</v>
      </c>
      <c r="Z1265">
        <v>13320</v>
      </c>
      <c r="AA1265">
        <v>2</v>
      </c>
      <c r="AB1265">
        <v>28852</v>
      </c>
      <c r="AC1265" s="10">
        <v>40560</v>
      </c>
      <c r="AD1265" s="10" t="s">
        <v>72</v>
      </c>
      <c r="AE1265" t="s">
        <v>72</v>
      </c>
      <c r="AF1265" t="s">
        <v>45</v>
      </c>
    </row>
    <row r="1266" spans="1:32" x14ac:dyDescent="0.25">
      <c r="A1266">
        <v>215</v>
      </c>
      <c r="B1266">
        <v>40</v>
      </c>
      <c r="C1266" t="s">
        <v>43</v>
      </c>
      <c r="D1266" t="s">
        <v>33</v>
      </c>
      <c r="E1266" t="s">
        <v>56</v>
      </c>
      <c r="F1266" t="s">
        <v>35</v>
      </c>
      <c r="G1266" t="s">
        <v>50</v>
      </c>
      <c r="H1266" t="s">
        <v>37</v>
      </c>
      <c r="I1266" t="s">
        <v>38</v>
      </c>
      <c r="J1266" t="s">
        <v>57</v>
      </c>
      <c r="K1266">
        <v>4</v>
      </c>
      <c r="L1266">
        <v>3</v>
      </c>
      <c r="M1266" t="s">
        <v>60</v>
      </c>
      <c r="N1266" t="s">
        <v>61</v>
      </c>
      <c r="O1266" t="s">
        <v>36</v>
      </c>
      <c r="P1266" t="s">
        <v>43</v>
      </c>
      <c r="Q1266">
        <v>11</v>
      </c>
      <c r="R1266">
        <v>7</v>
      </c>
      <c r="S1266">
        <v>15</v>
      </c>
      <c r="T1266">
        <v>2</v>
      </c>
      <c r="U1266">
        <v>11</v>
      </c>
      <c r="V1266">
        <v>4</v>
      </c>
      <c r="W1266">
        <v>67</v>
      </c>
      <c r="X1266">
        <v>630</v>
      </c>
      <c r="Y1266">
        <v>8552</v>
      </c>
      <c r="Z1266">
        <v>10855</v>
      </c>
      <c r="AA1266">
        <v>2</v>
      </c>
      <c r="AB1266">
        <v>30452</v>
      </c>
      <c r="AC1266" s="10">
        <v>40567</v>
      </c>
      <c r="AD1266" s="10" t="s">
        <v>72</v>
      </c>
      <c r="AE1266" t="s">
        <v>72</v>
      </c>
      <c r="AF1266" t="s">
        <v>45</v>
      </c>
    </row>
    <row r="1267" spans="1:32" x14ac:dyDescent="0.25">
      <c r="A1267">
        <v>1784</v>
      </c>
      <c r="B1267">
        <v>31</v>
      </c>
      <c r="C1267" t="s">
        <v>43</v>
      </c>
      <c r="D1267" t="s">
        <v>33</v>
      </c>
      <c r="E1267" t="s">
        <v>56</v>
      </c>
      <c r="F1267" t="s">
        <v>35</v>
      </c>
      <c r="G1267" t="s">
        <v>36</v>
      </c>
      <c r="H1267" t="s">
        <v>47</v>
      </c>
      <c r="I1267" t="s">
        <v>38</v>
      </c>
      <c r="J1267" t="s">
        <v>57</v>
      </c>
      <c r="K1267">
        <v>4</v>
      </c>
      <c r="L1267">
        <v>3</v>
      </c>
      <c r="M1267" t="s">
        <v>48</v>
      </c>
      <c r="N1267" t="s">
        <v>61</v>
      </c>
      <c r="O1267" t="s">
        <v>53</v>
      </c>
      <c r="P1267" t="s">
        <v>43</v>
      </c>
      <c r="Q1267">
        <v>14</v>
      </c>
      <c r="R1267">
        <v>1</v>
      </c>
      <c r="S1267">
        <v>13</v>
      </c>
      <c r="T1267">
        <v>5</v>
      </c>
      <c r="U1267">
        <v>7</v>
      </c>
      <c r="V1267">
        <v>29</v>
      </c>
      <c r="W1267">
        <v>91</v>
      </c>
      <c r="X1267">
        <v>196</v>
      </c>
      <c r="Y1267">
        <v>13402</v>
      </c>
      <c r="Z1267">
        <v>5468</v>
      </c>
      <c r="AA1267">
        <v>3</v>
      </c>
      <c r="AB1267">
        <v>33671</v>
      </c>
      <c r="AC1267" s="10">
        <v>40719</v>
      </c>
      <c r="AD1267" s="10" t="s">
        <v>72</v>
      </c>
      <c r="AE1267" t="s">
        <v>72</v>
      </c>
      <c r="AF1267" t="s">
        <v>45</v>
      </c>
    </row>
    <row r="1268" spans="1:32" x14ac:dyDescent="0.25">
      <c r="A1268">
        <v>1124</v>
      </c>
      <c r="B1268">
        <v>46</v>
      </c>
      <c r="C1268" t="s">
        <v>43</v>
      </c>
      <c r="D1268" t="s">
        <v>33</v>
      </c>
      <c r="E1268" t="s">
        <v>56</v>
      </c>
      <c r="F1268" t="s">
        <v>64</v>
      </c>
      <c r="G1268" t="s">
        <v>36</v>
      </c>
      <c r="H1268" t="s">
        <v>37</v>
      </c>
      <c r="I1268" t="s">
        <v>50</v>
      </c>
      <c r="J1268" t="s">
        <v>69</v>
      </c>
      <c r="K1268">
        <v>3</v>
      </c>
      <c r="L1268">
        <v>3</v>
      </c>
      <c r="M1268" t="s">
        <v>48</v>
      </c>
      <c r="N1268" t="s">
        <v>61</v>
      </c>
      <c r="O1268" t="s">
        <v>36</v>
      </c>
      <c r="P1268" t="s">
        <v>43</v>
      </c>
      <c r="Q1268">
        <v>12</v>
      </c>
      <c r="R1268">
        <v>3</v>
      </c>
      <c r="S1268">
        <v>23</v>
      </c>
      <c r="T1268">
        <v>4</v>
      </c>
      <c r="U1268">
        <v>9</v>
      </c>
      <c r="V1268">
        <v>3</v>
      </c>
      <c r="W1268">
        <v>52</v>
      </c>
      <c r="X1268">
        <v>406</v>
      </c>
      <c r="Y1268">
        <v>15596</v>
      </c>
      <c r="Z1268">
        <v>17465</v>
      </c>
      <c r="AA1268">
        <v>3</v>
      </c>
      <c r="AB1268">
        <v>28174</v>
      </c>
      <c r="AC1268" s="10">
        <v>40735</v>
      </c>
      <c r="AD1268" s="10" t="s">
        <v>72</v>
      </c>
      <c r="AE1268" t="s">
        <v>72</v>
      </c>
      <c r="AF1268" t="s">
        <v>45</v>
      </c>
    </row>
    <row r="1269" spans="1:32" x14ac:dyDescent="0.25">
      <c r="A1269">
        <v>406</v>
      </c>
      <c r="B1269">
        <v>35</v>
      </c>
      <c r="C1269" t="s">
        <v>43</v>
      </c>
      <c r="D1269" t="s">
        <v>33</v>
      </c>
      <c r="E1269" t="s">
        <v>56</v>
      </c>
      <c r="F1269" t="s">
        <v>49</v>
      </c>
      <c r="G1269" t="s">
        <v>50</v>
      </c>
      <c r="H1269" t="s">
        <v>37</v>
      </c>
      <c r="I1269" t="s">
        <v>50</v>
      </c>
      <c r="J1269" t="s">
        <v>57</v>
      </c>
      <c r="K1269">
        <v>2</v>
      </c>
      <c r="L1269">
        <v>3</v>
      </c>
      <c r="M1269" t="s">
        <v>60</v>
      </c>
      <c r="N1269" t="s">
        <v>61</v>
      </c>
      <c r="O1269" t="s">
        <v>53</v>
      </c>
      <c r="P1269" t="s">
        <v>43</v>
      </c>
      <c r="Q1269">
        <v>15</v>
      </c>
      <c r="R1269">
        <v>0</v>
      </c>
      <c r="S1269">
        <v>12</v>
      </c>
      <c r="T1269">
        <v>6</v>
      </c>
      <c r="U1269">
        <v>9</v>
      </c>
      <c r="V1269">
        <v>16</v>
      </c>
      <c r="W1269">
        <v>96</v>
      </c>
      <c r="X1269">
        <v>1232</v>
      </c>
      <c r="Y1269">
        <v>5100</v>
      </c>
      <c r="Z1269">
        <v>8020</v>
      </c>
      <c r="AA1269">
        <v>3</v>
      </c>
      <c r="AB1269">
        <v>32082</v>
      </c>
      <c r="AC1269" s="10">
        <v>40795</v>
      </c>
      <c r="AD1269" s="10" t="s">
        <v>72</v>
      </c>
      <c r="AE1269" t="s">
        <v>72</v>
      </c>
      <c r="AF1269" t="s">
        <v>45</v>
      </c>
    </row>
    <row r="1270" spans="1:32" x14ac:dyDescent="0.25">
      <c r="A1270">
        <v>600</v>
      </c>
      <c r="B1270">
        <v>35</v>
      </c>
      <c r="C1270" t="s">
        <v>43</v>
      </c>
      <c r="D1270" t="s">
        <v>33</v>
      </c>
      <c r="E1270" t="s">
        <v>56</v>
      </c>
      <c r="F1270" t="s">
        <v>49</v>
      </c>
      <c r="G1270" t="s">
        <v>38</v>
      </c>
      <c r="H1270" t="s">
        <v>37</v>
      </c>
      <c r="I1270" t="s">
        <v>50</v>
      </c>
      <c r="J1270" t="s">
        <v>57</v>
      </c>
      <c r="K1270">
        <v>3</v>
      </c>
      <c r="L1270">
        <v>3</v>
      </c>
      <c r="M1270" t="s">
        <v>48</v>
      </c>
      <c r="N1270" t="s">
        <v>61</v>
      </c>
      <c r="O1270" t="s">
        <v>42</v>
      </c>
      <c r="P1270" t="s">
        <v>43</v>
      </c>
      <c r="Q1270">
        <v>11</v>
      </c>
      <c r="R1270">
        <v>9</v>
      </c>
      <c r="S1270">
        <v>15</v>
      </c>
      <c r="T1270">
        <v>6</v>
      </c>
      <c r="U1270">
        <v>9</v>
      </c>
      <c r="V1270">
        <v>1</v>
      </c>
      <c r="W1270">
        <v>85</v>
      </c>
      <c r="X1270">
        <v>619</v>
      </c>
      <c r="Y1270">
        <v>18659</v>
      </c>
      <c r="Z1270">
        <v>4717</v>
      </c>
      <c r="AA1270">
        <v>2</v>
      </c>
      <c r="AB1270">
        <v>32089</v>
      </c>
      <c r="AC1270" s="10">
        <v>40910</v>
      </c>
      <c r="AD1270" s="10" t="s">
        <v>72</v>
      </c>
      <c r="AE1270" t="s">
        <v>72</v>
      </c>
      <c r="AF1270" t="s">
        <v>45</v>
      </c>
    </row>
    <row r="1271" spans="1:32" x14ac:dyDescent="0.25">
      <c r="A1271">
        <v>121</v>
      </c>
      <c r="B1271">
        <v>30</v>
      </c>
      <c r="C1271" t="s">
        <v>43</v>
      </c>
      <c r="D1271" t="s">
        <v>33</v>
      </c>
      <c r="E1271" t="s">
        <v>56</v>
      </c>
      <c r="F1271" t="s">
        <v>67</v>
      </c>
      <c r="G1271" t="s">
        <v>50</v>
      </c>
      <c r="H1271" t="s">
        <v>47</v>
      </c>
      <c r="I1271" t="s">
        <v>38</v>
      </c>
      <c r="J1271" t="s">
        <v>57</v>
      </c>
      <c r="K1271">
        <v>2</v>
      </c>
      <c r="L1271">
        <v>3</v>
      </c>
      <c r="M1271" t="s">
        <v>60</v>
      </c>
      <c r="N1271" t="s">
        <v>52</v>
      </c>
      <c r="O1271" t="s">
        <v>50</v>
      </c>
      <c r="P1271" t="s">
        <v>32</v>
      </c>
      <c r="Q1271">
        <v>12</v>
      </c>
      <c r="R1271">
        <v>1</v>
      </c>
      <c r="S1271">
        <v>11</v>
      </c>
      <c r="T1271">
        <v>2</v>
      </c>
      <c r="U1271">
        <v>7</v>
      </c>
      <c r="V1271">
        <v>4</v>
      </c>
      <c r="W1271">
        <v>63</v>
      </c>
      <c r="X1271">
        <v>1334</v>
      </c>
      <c r="Y1271">
        <v>19760</v>
      </c>
      <c r="Z1271">
        <v>5209</v>
      </c>
      <c r="AA1271">
        <v>4</v>
      </c>
      <c r="AB1271">
        <v>33931</v>
      </c>
      <c r="AC1271" s="10">
        <v>41054</v>
      </c>
      <c r="AD1271" s="10" t="s">
        <v>72</v>
      </c>
      <c r="AE1271" t="s">
        <v>72</v>
      </c>
      <c r="AF1271" t="s">
        <v>45</v>
      </c>
    </row>
    <row r="1272" spans="1:32" x14ac:dyDescent="0.25">
      <c r="A1272">
        <v>184</v>
      </c>
      <c r="B1272">
        <v>30</v>
      </c>
      <c r="C1272" t="s">
        <v>43</v>
      </c>
      <c r="D1272" t="s">
        <v>33</v>
      </c>
      <c r="E1272" t="s">
        <v>68</v>
      </c>
      <c r="F1272" t="s">
        <v>49</v>
      </c>
      <c r="G1272" t="s">
        <v>50</v>
      </c>
      <c r="H1272" t="s">
        <v>37</v>
      </c>
      <c r="I1272" t="s">
        <v>50</v>
      </c>
      <c r="J1272" t="s">
        <v>68</v>
      </c>
      <c r="K1272">
        <v>4</v>
      </c>
      <c r="L1272">
        <v>3</v>
      </c>
      <c r="M1272" t="s">
        <v>40</v>
      </c>
      <c r="N1272" t="s">
        <v>61</v>
      </c>
      <c r="O1272" t="s">
        <v>42</v>
      </c>
      <c r="P1272" t="s">
        <v>32</v>
      </c>
      <c r="Q1272">
        <v>19</v>
      </c>
      <c r="R1272">
        <v>0</v>
      </c>
      <c r="S1272">
        <v>12</v>
      </c>
      <c r="T1272">
        <v>4</v>
      </c>
      <c r="U1272">
        <v>7</v>
      </c>
      <c r="V1272">
        <v>9</v>
      </c>
      <c r="W1272">
        <v>48</v>
      </c>
      <c r="X1272">
        <v>1240</v>
      </c>
      <c r="Y1272">
        <v>13982</v>
      </c>
      <c r="Z1272">
        <v>6347</v>
      </c>
      <c r="AA1272">
        <v>2</v>
      </c>
      <c r="AB1272">
        <v>33939</v>
      </c>
      <c r="AC1272" s="10">
        <v>41056</v>
      </c>
      <c r="AD1272" s="10" t="s">
        <v>72</v>
      </c>
      <c r="AE1272" t="s">
        <v>72</v>
      </c>
      <c r="AF1272" t="s">
        <v>45</v>
      </c>
    </row>
    <row r="1273" spans="1:32" x14ac:dyDescent="0.25">
      <c r="A1273">
        <v>1986</v>
      </c>
      <c r="B1273">
        <v>40</v>
      </c>
      <c r="C1273" t="s">
        <v>43</v>
      </c>
      <c r="D1273" t="s">
        <v>33</v>
      </c>
      <c r="E1273" t="s">
        <v>56</v>
      </c>
      <c r="F1273" t="s">
        <v>67</v>
      </c>
      <c r="G1273" t="s">
        <v>38</v>
      </c>
      <c r="H1273" t="s">
        <v>47</v>
      </c>
      <c r="I1273" t="s">
        <v>50</v>
      </c>
      <c r="J1273" t="s">
        <v>57</v>
      </c>
      <c r="K1273">
        <v>2</v>
      </c>
      <c r="L1273">
        <v>3</v>
      </c>
      <c r="M1273" t="s">
        <v>48</v>
      </c>
      <c r="N1273" t="s">
        <v>61</v>
      </c>
      <c r="O1273" t="s">
        <v>36</v>
      </c>
      <c r="P1273" t="s">
        <v>43</v>
      </c>
      <c r="Q1273">
        <v>14</v>
      </c>
      <c r="R1273">
        <v>3</v>
      </c>
      <c r="S1273">
        <v>15</v>
      </c>
      <c r="T1273">
        <v>5</v>
      </c>
      <c r="U1273">
        <v>10</v>
      </c>
      <c r="V1273">
        <v>2</v>
      </c>
      <c r="W1273">
        <v>92</v>
      </c>
      <c r="X1273">
        <v>444</v>
      </c>
      <c r="Y1273">
        <v>4258</v>
      </c>
      <c r="Z1273">
        <v>5677</v>
      </c>
      <c r="AA1273">
        <v>4</v>
      </c>
      <c r="AB1273">
        <v>30240</v>
      </c>
      <c r="AC1273" s="10">
        <v>41075</v>
      </c>
      <c r="AD1273" s="10" t="s">
        <v>72</v>
      </c>
      <c r="AE1273" t="s">
        <v>72</v>
      </c>
      <c r="AF1273" t="s">
        <v>55</v>
      </c>
    </row>
    <row r="1274" spans="1:32" x14ac:dyDescent="0.25">
      <c r="A1274">
        <v>125</v>
      </c>
      <c r="B1274">
        <v>32</v>
      </c>
      <c r="C1274" t="s">
        <v>43</v>
      </c>
      <c r="D1274" t="s">
        <v>33</v>
      </c>
      <c r="E1274" t="s">
        <v>56</v>
      </c>
      <c r="F1274" t="s">
        <v>35</v>
      </c>
      <c r="G1274" t="s">
        <v>38</v>
      </c>
      <c r="H1274" t="s">
        <v>37</v>
      </c>
      <c r="I1274" t="s">
        <v>50</v>
      </c>
      <c r="J1274" t="s">
        <v>57</v>
      </c>
      <c r="K1274">
        <v>3</v>
      </c>
      <c r="L1274">
        <v>3</v>
      </c>
      <c r="M1274" t="s">
        <v>48</v>
      </c>
      <c r="N1274" t="s">
        <v>41</v>
      </c>
      <c r="O1274" t="s">
        <v>42</v>
      </c>
      <c r="P1274" t="s">
        <v>43</v>
      </c>
      <c r="Q1274">
        <v>16</v>
      </c>
      <c r="R1274">
        <v>1</v>
      </c>
      <c r="S1274">
        <v>12</v>
      </c>
      <c r="T1274">
        <v>5</v>
      </c>
      <c r="U1274">
        <v>7</v>
      </c>
      <c r="V1274">
        <v>6</v>
      </c>
      <c r="W1274">
        <v>87</v>
      </c>
      <c r="X1274">
        <v>1093</v>
      </c>
      <c r="Y1274">
        <v>24301</v>
      </c>
      <c r="Z1274">
        <v>5010</v>
      </c>
      <c r="AA1274">
        <v>0</v>
      </c>
      <c r="AB1274">
        <v>33445</v>
      </c>
      <c r="AC1274" s="10">
        <v>41092</v>
      </c>
      <c r="AD1274" s="10" t="s">
        <v>72</v>
      </c>
      <c r="AE1274" t="s">
        <v>72</v>
      </c>
      <c r="AF1274" t="s">
        <v>45</v>
      </c>
    </row>
    <row r="1275" spans="1:32" x14ac:dyDescent="0.25">
      <c r="A1275">
        <v>1794</v>
      </c>
      <c r="B1275">
        <v>37</v>
      </c>
      <c r="C1275" t="s">
        <v>43</v>
      </c>
      <c r="D1275" t="s">
        <v>33</v>
      </c>
      <c r="E1275" t="s">
        <v>68</v>
      </c>
      <c r="F1275" t="s">
        <v>67</v>
      </c>
      <c r="G1275" t="s">
        <v>50</v>
      </c>
      <c r="H1275" t="s">
        <v>37</v>
      </c>
      <c r="I1275" t="s">
        <v>50</v>
      </c>
      <c r="J1275" t="s">
        <v>68</v>
      </c>
      <c r="K1275">
        <v>2</v>
      </c>
      <c r="L1275">
        <v>3</v>
      </c>
      <c r="M1275" t="s">
        <v>60</v>
      </c>
      <c r="N1275" t="s">
        <v>52</v>
      </c>
      <c r="O1275" t="s">
        <v>42</v>
      </c>
      <c r="P1275" t="s">
        <v>43</v>
      </c>
      <c r="Q1275">
        <v>13</v>
      </c>
      <c r="R1275">
        <v>2</v>
      </c>
      <c r="S1275">
        <v>19</v>
      </c>
      <c r="T1275">
        <v>4</v>
      </c>
      <c r="U1275">
        <v>7</v>
      </c>
      <c r="V1275">
        <v>8</v>
      </c>
      <c r="W1275">
        <v>89</v>
      </c>
      <c r="X1275">
        <v>1239</v>
      </c>
      <c r="Y1275">
        <v>12832</v>
      </c>
      <c r="Z1275">
        <v>4071</v>
      </c>
      <c r="AA1275">
        <v>4</v>
      </c>
      <c r="AB1275">
        <v>31264</v>
      </c>
      <c r="AC1275" s="10">
        <v>41146</v>
      </c>
      <c r="AD1275" s="10" t="s">
        <v>72</v>
      </c>
      <c r="AE1275" t="s">
        <v>72</v>
      </c>
      <c r="AF1275" t="s">
        <v>45</v>
      </c>
    </row>
    <row r="1276" spans="1:32" x14ac:dyDescent="0.25">
      <c r="A1276">
        <v>228</v>
      </c>
      <c r="B1276">
        <v>30</v>
      </c>
      <c r="C1276" t="s">
        <v>43</v>
      </c>
      <c r="D1276" t="s">
        <v>33</v>
      </c>
      <c r="E1276" t="s">
        <v>56</v>
      </c>
      <c r="F1276" t="s">
        <v>49</v>
      </c>
      <c r="G1276" t="s">
        <v>38</v>
      </c>
      <c r="H1276" t="s">
        <v>47</v>
      </c>
      <c r="I1276" t="s">
        <v>50</v>
      </c>
      <c r="J1276" t="s">
        <v>57</v>
      </c>
      <c r="K1276">
        <v>4</v>
      </c>
      <c r="L1276">
        <v>3</v>
      </c>
      <c r="M1276" t="s">
        <v>48</v>
      </c>
      <c r="N1276" t="s">
        <v>61</v>
      </c>
      <c r="O1276" t="s">
        <v>36</v>
      </c>
      <c r="P1276" t="s">
        <v>43</v>
      </c>
      <c r="Q1276">
        <v>12</v>
      </c>
      <c r="R1276">
        <v>2</v>
      </c>
      <c r="S1276">
        <v>12</v>
      </c>
      <c r="T1276">
        <v>7</v>
      </c>
      <c r="U1276">
        <v>4</v>
      </c>
      <c r="V1276">
        <v>5</v>
      </c>
      <c r="W1276">
        <v>41</v>
      </c>
      <c r="X1276">
        <v>1339</v>
      </c>
      <c r="Y1276">
        <v>8053</v>
      </c>
      <c r="Z1276">
        <v>9419</v>
      </c>
      <c r="AA1276">
        <v>2</v>
      </c>
      <c r="AB1276">
        <v>33843</v>
      </c>
      <c r="AC1276" s="10">
        <v>41197</v>
      </c>
      <c r="AD1276" s="10" t="s">
        <v>72</v>
      </c>
      <c r="AE1276" t="s">
        <v>72</v>
      </c>
      <c r="AF1276" t="s">
        <v>45</v>
      </c>
    </row>
    <row r="1277" spans="1:32" x14ac:dyDescent="0.25">
      <c r="A1277">
        <v>1356</v>
      </c>
      <c r="B1277">
        <v>34</v>
      </c>
      <c r="C1277" t="s">
        <v>43</v>
      </c>
      <c r="D1277" t="s">
        <v>33</v>
      </c>
      <c r="E1277" t="s">
        <v>56</v>
      </c>
      <c r="F1277" t="s">
        <v>67</v>
      </c>
      <c r="G1277" t="s">
        <v>50</v>
      </c>
      <c r="H1277" t="s">
        <v>47</v>
      </c>
      <c r="I1277" t="s">
        <v>50</v>
      </c>
      <c r="J1277" t="s">
        <v>57</v>
      </c>
      <c r="K1277">
        <v>1</v>
      </c>
      <c r="L1277">
        <v>3</v>
      </c>
      <c r="M1277" t="s">
        <v>58</v>
      </c>
      <c r="N1277" t="s">
        <v>41</v>
      </c>
      <c r="O1277" t="s">
        <v>42</v>
      </c>
      <c r="P1277" t="s">
        <v>43</v>
      </c>
      <c r="Q1277">
        <v>12</v>
      </c>
      <c r="R1277">
        <v>1</v>
      </c>
      <c r="S1277">
        <v>10</v>
      </c>
      <c r="T1277">
        <v>9</v>
      </c>
      <c r="U1277">
        <v>6</v>
      </c>
      <c r="V1277">
        <v>15</v>
      </c>
      <c r="W1277">
        <v>66</v>
      </c>
      <c r="X1277">
        <v>507</v>
      </c>
      <c r="Y1277">
        <v>23553</v>
      </c>
      <c r="Z1277">
        <v>6125</v>
      </c>
      <c r="AA1277">
        <v>6</v>
      </c>
      <c r="AB1277">
        <v>32454</v>
      </c>
      <c r="AC1277" s="10">
        <v>41208</v>
      </c>
      <c r="AD1277" s="10" t="s">
        <v>72</v>
      </c>
      <c r="AE1277" t="s">
        <v>72</v>
      </c>
      <c r="AF1277" t="s">
        <v>45</v>
      </c>
    </row>
    <row r="1278" spans="1:32" x14ac:dyDescent="0.25">
      <c r="A1278">
        <v>621</v>
      </c>
      <c r="B1278">
        <v>34</v>
      </c>
      <c r="C1278" t="s">
        <v>43</v>
      </c>
      <c r="D1278" t="s">
        <v>33</v>
      </c>
      <c r="E1278" t="s">
        <v>56</v>
      </c>
      <c r="F1278" t="s">
        <v>35</v>
      </c>
      <c r="G1278" t="s">
        <v>59</v>
      </c>
      <c r="H1278" t="s">
        <v>37</v>
      </c>
      <c r="I1278" t="s">
        <v>59</v>
      </c>
      <c r="J1278" t="s">
        <v>57</v>
      </c>
      <c r="K1278">
        <v>4</v>
      </c>
      <c r="L1278">
        <v>3</v>
      </c>
      <c r="M1278" t="s">
        <v>48</v>
      </c>
      <c r="N1278" t="s">
        <v>41</v>
      </c>
      <c r="O1278" t="s">
        <v>42</v>
      </c>
      <c r="P1278" t="s">
        <v>43</v>
      </c>
      <c r="Q1278">
        <v>12</v>
      </c>
      <c r="R1278">
        <v>1</v>
      </c>
      <c r="S1278">
        <v>10</v>
      </c>
      <c r="T1278">
        <v>5</v>
      </c>
      <c r="U1278">
        <v>7</v>
      </c>
      <c r="V1278">
        <v>21</v>
      </c>
      <c r="W1278">
        <v>74</v>
      </c>
      <c r="X1278">
        <v>258</v>
      </c>
      <c r="Y1278">
        <v>19921</v>
      </c>
      <c r="Z1278">
        <v>5337</v>
      </c>
      <c r="AA1278">
        <v>3</v>
      </c>
      <c r="AB1278">
        <v>32653</v>
      </c>
      <c r="AC1278" s="10">
        <v>41213</v>
      </c>
      <c r="AD1278" s="10" t="s">
        <v>72</v>
      </c>
      <c r="AE1278" t="s">
        <v>72</v>
      </c>
      <c r="AF1278" t="s">
        <v>45</v>
      </c>
    </row>
    <row r="1279" spans="1:32" x14ac:dyDescent="0.25">
      <c r="A1279">
        <v>1708</v>
      </c>
      <c r="B1279">
        <v>41</v>
      </c>
      <c r="C1279" t="s">
        <v>43</v>
      </c>
      <c r="D1279" t="s">
        <v>33</v>
      </c>
      <c r="E1279" t="s">
        <v>56</v>
      </c>
      <c r="F1279" t="s">
        <v>49</v>
      </c>
      <c r="G1279" t="s">
        <v>59</v>
      </c>
      <c r="H1279" t="s">
        <v>37</v>
      </c>
      <c r="I1279" t="s">
        <v>50</v>
      </c>
      <c r="J1279" t="s">
        <v>57</v>
      </c>
      <c r="K1279">
        <v>3</v>
      </c>
      <c r="L1279">
        <v>3</v>
      </c>
      <c r="M1279" t="s">
        <v>48</v>
      </c>
      <c r="N1279" t="s">
        <v>41</v>
      </c>
      <c r="O1279" t="s">
        <v>42</v>
      </c>
      <c r="P1279" t="s">
        <v>43</v>
      </c>
      <c r="Q1279">
        <v>12</v>
      </c>
      <c r="R1279">
        <v>1</v>
      </c>
      <c r="S1279">
        <v>10</v>
      </c>
      <c r="T1279">
        <v>8</v>
      </c>
      <c r="U1279">
        <v>7</v>
      </c>
      <c r="V1279">
        <v>6</v>
      </c>
      <c r="W1279">
        <v>35</v>
      </c>
      <c r="X1279">
        <v>918</v>
      </c>
      <c r="Y1279">
        <v>15869</v>
      </c>
      <c r="Z1279">
        <v>9241</v>
      </c>
      <c r="AA1279">
        <v>3</v>
      </c>
      <c r="AB1279">
        <v>30100</v>
      </c>
      <c r="AC1279" s="10">
        <v>41221</v>
      </c>
      <c r="AD1279" s="10" t="s">
        <v>72</v>
      </c>
      <c r="AE1279" t="s">
        <v>72</v>
      </c>
      <c r="AF1279" t="s">
        <v>45</v>
      </c>
    </row>
    <row r="1280" spans="1:32" x14ac:dyDescent="0.25">
      <c r="A1280">
        <v>1706</v>
      </c>
      <c r="B1280">
        <v>43</v>
      </c>
      <c r="C1280" t="s">
        <v>43</v>
      </c>
      <c r="D1280" t="s">
        <v>33</v>
      </c>
      <c r="E1280" t="s">
        <v>56</v>
      </c>
      <c r="F1280" t="s">
        <v>49</v>
      </c>
      <c r="G1280" t="s">
        <v>59</v>
      </c>
      <c r="H1280" t="s">
        <v>37</v>
      </c>
      <c r="I1280" t="s">
        <v>50</v>
      </c>
      <c r="J1280" t="s">
        <v>57</v>
      </c>
      <c r="K1280">
        <v>4</v>
      </c>
      <c r="L1280">
        <v>3</v>
      </c>
      <c r="M1280" t="s">
        <v>48</v>
      </c>
      <c r="N1280" t="s">
        <v>61</v>
      </c>
      <c r="O1280" t="s">
        <v>36</v>
      </c>
      <c r="P1280" t="s">
        <v>32</v>
      </c>
      <c r="Q1280">
        <v>17</v>
      </c>
      <c r="R1280">
        <v>1</v>
      </c>
      <c r="S1280">
        <v>10</v>
      </c>
      <c r="T1280">
        <v>8</v>
      </c>
      <c r="U1280">
        <v>8</v>
      </c>
      <c r="V1280">
        <v>2</v>
      </c>
      <c r="W1280">
        <v>73</v>
      </c>
      <c r="X1280">
        <v>1179</v>
      </c>
      <c r="Y1280">
        <v>6069</v>
      </c>
      <c r="Z1280">
        <v>7847</v>
      </c>
      <c r="AA1280">
        <v>3</v>
      </c>
      <c r="AB1280">
        <v>29256</v>
      </c>
      <c r="AC1280" s="10">
        <v>41223</v>
      </c>
      <c r="AD1280" s="10" t="s">
        <v>72</v>
      </c>
      <c r="AE1280" t="s">
        <v>72</v>
      </c>
      <c r="AF1280" t="s">
        <v>45</v>
      </c>
    </row>
    <row r="1281" spans="1:32" x14ac:dyDescent="0.25">
      <c r="A1281">
        <v>513</v>
      </c>
      <c r="B1281">
        <v>36</v>
      </c>
      <c r="C1281" t="s">
        <v>43</v>
      </c>
      <c r="D1281" t="s">
        <v>33</v>
      </c>
      <c r="E1281" t="s">
        <v>56</v>
      </c>
      <c r="F1281" t="s">
        <v>67</v>
      </c>
      <c r="G1281" t="s">
        <v>38</v>
      </c>
      <c r="H1281" t="s">
        <v>37</v>
      </c>
      <c r="I1281" t="s">
        <v>38</v>
      </c>
      <c r="J1281" t="s">
        <v>57</v>
      </c>
      <c r="K1281">
        <v>3</v>
      </c>
      <c r="L1281">
        <v>3</v>
      </c>
      <c r="M1281" t="s">
        <v>48</v>
      </c>
      <c r="N1281" t="s">
        <v>61</v>
      </c>
      <c r="O1281" t="s">
        <v>53</v>
      </c>
      <c r="P1281" t="s">
        <v>43</v>
      </c>
      <c r="Q1281">
        <v>13</v>
      </c>
      <c r="R1281">
        <v>1</v>
      </c>
      <c r="S1281">
        <v>10</v>
      </c>
      <c r="T1281">
        <v>9</v>
      </c>
      <c r="U1281">
        <v>0</v>
      </c>
      <c r="V1281">
        <v>2</v>
      </c>
      <c r="W1281">
        <v>61</v>
      </c>
      <c r="X1281">
        <v>164</v>
      </c>
      <c r="Y1281">
        <v>3809</v>
      </c>
      <c r="Z1281">
        <v>7596</v>
      </c>
      <c r="AA1281">
        <v>2</v>
      </c>
      <c r="AB1281">
        <v>31936</v>
      </c>
      <c r="AC1281" s="10">
        <v>41453</v>
      </c>
      <c r="AD1281" s="10" t="s">
        <v>72</v>
      </c>
      <c r="AE1281" t="s">
        <v>72</v>
      </c>
      <c r="AF1281" t="s">
        <v>45</v>
      </c>
    </row>
    <row r="1282" spans="1:32" x14ac:dyDescent="0.25">
      <c r="A1282">
        <v>1535</v>
      </c>
      <c r="B1282">
        <v>34</v>
      </c>
      <c r="C1282" t="s">
        <v>43</v>
      </c>
      <c r="D1282" t="s">
        <v>33</v>
      </c>
      <c r="E1282" t="s">
        <v>56</v>
      </c>
      <c r="F1282" t="s">
        <v>49</v>
      </c>
      <c r="G1282" t="s">
        <v>59</v>
      </c>
      <c r="H1282" t="s">
        <v>37</v>
      </c>
      <c r="I1282" t="s">
        <v>38</v>
      </c>
      <c r="J1282" t="s">
        <v>57</v>
      </c>
      <c r="K1282">
        <v>3</v>
      </c>
      <c r="L1282">
        <v>3</v>
      </c>
      <c r="M1282" t="s">
        <v>48</v>
      </c>
      <c r="N1282" t="s">
        <v>61</v>
      </c>
      <c r="O1282" t="s">
        <v>42</v>
      </c>
      <c r="P1282" t="s">
        <v>32</v>
      </c>
      <c r="Q1282">
        <v>14</v>
      </c>
      <c r="R1282">
        <v>1</v>
      </c>
      <c r="S1282">
        <v>10</v>
      </c>
      <c r="T1282">
        <v>8</v>
      </c>
      <c r="U1282">
        <v>6</v>
      </c>
      <c r="V1282">
        <v>1</v>
      </c>
      <c r="W1282">
        <v>64</v>
      </c>
      <c r="X1282">
        <v>971</v>
      </c>
      <c r="Y1282">
        <v>12288</v>
      </c>
      <c r="Z1282">
        <v>7083</v>
      </c>
      <c r="AA1282">
        <v>3</v>
      </c>
      <c r="AB1282">
        <v>32638</v>
      </c>
      <c r="AC1282" s="10">
        <v>41462</v>
      </c>
      <c r="AD1282" s="10" t="s">
        <v>72</v>
      </c>
      <c r="AE1282" t="s">
        <v>72</v>
      </c>
      <c r="AF1282" t="s">
        <v>45</v>
      </c>
    </row>
    <row r="1283" spans="1:32" x14ac:dyDescent="0.25">
      <c r="A1283">
        <v>1138</v>
      </c>
      <c r="B1283">
        <v>49</v>
      </c>
      <c r="C1283" t="s">
        <v>43</v>
      </c>
      <c r="D1283" t="s">
        <v>33</v>
      </c>
      <c r="E1283" t="s">
        <v>56</v>
      </c>
      <c r="F1283" t="s">
        <v>35</v>
      </c>
      <c r="G1283" t="s">
        <v>59</v>
      </c>
      <c r="H1283" t="s">
        <v>37</v>
      </c>
      <c r="I1283" t="s">
        <v>38</v>
      </c>
      <c r="J1283" t="s">
        <v>57</v>
      </c>
      <c r="K1283">
        <v>2</v>
      </c>
      <c r="L1283">
        <v>3</v>
      </c>
      <c r="M1283" t="s">
        <v>48</v>
      </c>
      <c r="N1283" t="s">
        <v>61</v>
      </c>
      <c r="O1283" t="s">
        <v>36</v>
      </c>
      <c r="P1283" t="s">
        <v>43</v>
      </c>
      <c r="Q1283">
        <v>17</v>
      </c>
      <c r="R1283">
        <v>6</v>
      </c>
      <c r="S1283">
        <v>22</v>
      </c>
      <c r="T1283">
        <v>2</v>
      </c>
      <c r="U1283">
        <v>3</v>
      </c>
      <c r="V1283">
        <v>8</v>
      </c>
      <c r="W1283">
        <v>56</v>
      </c>
      <c r="X1283">
        <v>174</v>
      </c>
      <c r="Y1283">
        <v>11879</v>
      </c>
      <c r="Z1283">
        <v>13120</v>
      </c>
      <c r="AA1283">
        <v>3</v>
      </c>
      <c r="AB1283">
        <v>27001</v>
      </c>
      <c r="AC1283" s="10">
        <v>41592</v>
      </c>
      <c r="AD1283" s="10" t="s">
        <v>72</v>
      </c>
      <c r="AE1283" t="s">
        <v>72</v>
      </c>
      <c r="AF1283" t="s">
        <v>45</v>
      </c>
    </row>
    <row r="1284" spans="1:32" x14ac:dyDescent="0.25">
      <c r="A1284">
        <v>1070</v>
      </c>
      <c r="B1284">
        <v>54</v>
      </c>
      <c r="C1284" t="s">
        <v>43</v>
      </c>
      <c r="D1284" t="s">
        <v>33</v>
      </c>
      <c r="E1284" t="s">
        <v>56</v>
      </c>
      <c r="F1284" t="s">
        <v>35</v>
      </c>
      <c r="G1284" t="s">
        <v>50</v>
      </c>
      <c r="H1284" t="s">
        <v>47</v>
      </c>
      <c r="I1284" t="s">
        <v>38</v>
      </c>
      <c r="J1284" t="s">
        <v>57</v>
      </c>
      <c r="K1284">
        <v>3</v>
      </c>
      <c r="L1284">
        <v>3</v>
      </c>
      <c r="M1284" t="s">
        <v>48</v>
      </c>
      <c r="N1284" t="s">
        <v>61</v>
      </c>
      <c r="O1284" t="s">
        <v>36</v>
      </c>
      <c r="P1284" t="s">
        <v>43</v>
      </c>
      <c r="Q1284">
        <v>11</v>
      </c>
      <c r="R1284">
        <v>6</v>
      </c>
      <c r="S1284">
        <v>13</v>
      </c>
      <c r="T1284">
        <v>7</v>
      </c>
      <c r="U1284">
        <v>0</v>
      </c>
      <c r="V1284">
        <v>2</v>
      </c>
      <c r="W1284">
        <v>41</v>
      </c>
      <c r="X1284">
        <v>1082</v>
      </c>
      <c r="Y1284">
        <v>8392</v>
      </c>
      <c r="Z1284">
        <v>10686</v>
      </c>
      <c r="AA1284">
        <v>4</v>
      </c>
      <c r="AB1284">
        <v>25265</v>
      </c>
      <c r="AC1284" s="10">
        <v>41641</v>
      </c>
      <c r="AD1284" s="10" t="s">
        <v>72</v>
      </c>
      <c r="AE1284" t="s">
        <v>72</v>
      </c>
      <c r="AF1284" t="s">
        <v>45</v>
      </c>
    </row>
    <row r="1285" spans="1:32" x14ac:dyDescent="0.25">
      <c r="A1285">
        <v>698</v>
      </c>
      <c r="B1285">
        <v>54</v>
      </c>
      <c r="C1285" t="s">
        <v>43</v>
      </c>
      <c r="D1285" t="s">
        <v>33</v>
      </c>
      <c r="E1285" t="s">
        <v>68</v>
      </c>
      <c r="F1285" t="s">
        <v>35</v>
      </c>
      <c r="G1285" t="s">
        <v>50</v>
      </c>
      <c r="H1285" t="s">
        <v>37</v>
      </c>
      <c r="I1285" t="s">
        <v>50</v>
      </c>
      <c r="J1285" t="s">
        <v>68</v>
      </c>
      <c r="K1285">
        <v>2</v>
      </c>
      <c r="L1285">
        <v>3</v>
      </c>
      <c r="M1285" t="s">
        <v>58</v>
      </c>
      <c r="N1285" t="s">
        <v>61</v>
      </c>
      <c r="O1285" t="s">
        <v>36</v>
      </c>
      <c r="P1285" t="s">
        <v>43</v>
      </c>
      <c r="Q1285">
        <v>15</v>
      </c>
      <c r="R1285">
        <v>2</v>
      </c>
      <c r="S1285">
        <v>16</v>
      </c>
      <c r="T1285">
        <v>7</v>
      </c>
      <c r="U1285">
        <v>1</v>
      </c>
      <c r="V1285">
        <v>19</v>
      </c>
      <c r="W1285">
        <v>88</v>
      </c>
      <c r="X1285">
        <v>397</v>
      </c>
      <c r="Y1285">
        <v>6729</v>
      </c>
      <c r="Z1285">
        <v>10725</v>
      </c>
      <c r="AA1285">
        <v>1</v>
      </c>
      <c r="AB1285">
        <v>25311</v>
      </c>
      <c r="AC1285" s="10">
        <v>41719</v>
      </c>
      <c r="AD1285" s="10" t="s">
        <v>72</v>
      </c>
      <c r="AE1285" t="s">
        <v>72</v>
      </c>
      <c r="AF1285" t="s">
        <v>45</v>
      </c>
    </row>
    <row r="1286" spans="1:32" x14ac:dyDescent="0.25">
      <c r="A1286">
        <v>2024</v>
      </c>
      <c r="B1286">
        <v>36</v>
      </c>
      <c r="C1286" t="s">
        <v>43</v>
      </c>
      <c r="D1286" t="s">
        <v>33</v>
      </c>
      <c r="E1286" t="s">
        <v>56</v>
      </c>
      <c r="F1286" t="s">
        <v>49</v>
      </c>
      <c r="G1286" t="s">
        <v>36</v>
      </c>
      <c r="H1286" t="s">
        <v>47</v>
      </c>
      <c r="I1286" t="s">
        <v>38</v>
      </c>
      <c r="J1286" t="s">
        <v>57</v>
      </c>
      <c r="K1286">
        <v>4</v>
      </c>
      <c r="L1286">
        <v>3</v>
      </c>
      <c r="M1286" t="s">
        <v>48</v>
      </c>
      <c r="N1286" t="s">
        <v>61</v>
      </c>
      <c r="O1286" t="s">
        <v>53</v>
      </c>
      <c r="P1286" t="s">
        <v>43</v>
      </c>
      <c r="Q1286">
        <v>19</v>
      </c>
      <c r="R1286">
        <v>0</v>
      </c>
      <c r="S1286">
        <v>10</v>
      </c>
      <c r="T1286">
        <v>3</v>
      </c>
      <c r="U1286">
        <v>4</v>
      </c>
      <c r="V1286">
        <v>3</v>
      </c>
      <c r="W1286">
        <v>94</v>
      </c>
      <c r="X1286">
        <v>557</v>
      </c>
      <c r="Y1286">
        <v>12695</v>
      </c>
      <c r="Z1286">
        <v>7644</v>
      </c>
      <c r="AA1286">
        <v>2</v>
      </c>
      <c r="AB1286">
        <v>31960</v>
      </c>
      <c r="AC1286" s="10">
        <v>41807</v>
      </c>
      <c r="AD1286" s="10" t="s">
        <v>72</v>
      </c>
      <c r="AE1286" t="s">
        <v>72</v>
      </c>
      <c r="AF1286" t="s">
        <v>45</v>
      </c>
    </row>
    <row r="1287" spans="1:32" x14ac:dyDescent="0.25">
      <c r="A1287">
        <v>595</v>
      </c>
      <c r="B1287">
        <v>48</v>
      </c>
      <c r="C1287" t="s">
        <v>43</v>
      </c>
      <c r="D1287" t="s">
        <v>33</v>
      </c>
      <c r="E1287" t="s">
        <v>56</v>
      </c>
      <c r="F1287" t="s">
        <v>70</v>
      </c>
      <c r="G1287" t="s">
        <v>38</v>
      </c>
      <c r="H1287" t="s">
        <v>47</v>
      </c>
      <c r="I1287" t="s">
        <v>50</v>
      </c>
      <c r="J1287" t="s">
        <v>57</v>
      </c>
      <c r="K1287">
        <v>4</v>
      </c>
      <c r="L1287">
        <v>3</v>
      </c>
      <c r="M1287" t="s">
        <v>48</v>
      </c>
      <c r="N1287" t="s">
        <v>61</v>
      </c>
      <c r="O1287" t="s">
        <v>36</v>
      </c>
      <c r="P1287" t="s">
        <v>43</v>
      </c>
      <c r="Q1287">
        <v>14</v>
      </c>
      <c r="R1287">
        <v>2</v>
      </c>
      <c r="S1287">
        <v>14</v>
      </c>
      <c r="T1287">
        <v>6</v>
      </c>
      <c r="U1287">
        <v>7</v>
      </c>
      <c r="V1287">
        <v>2</v>
      </c>
      <c r="W1287">
        <v>37</v>
      </c>
      <c r="X1287">
        <v>163</v>
      </c>
      <c r="Y1287">
        <v>19658</v>
      </c>
      <c r="Z1287">
        <v>4051</v>
      </c>
      <c r="AA1287">
        <v>2</v>
      </c>
      <c r="AB1287">
        <v>27447</v>
      </c>
      <c r="AC1287" s="10">
        <v>41808</v>
      </c>
      <c r="AD1287" s="10" t="s">
        <v>72</v>
      </c>
      <c r="AE1287" t="s">
        <v>72</v>
      </c>
      <c r="AF1287" t="s">
        <v>55</v>
      </c>
    </row>
    <row r="1288" spans="1:32" x14ac:dyDescent="0.25">
      <c r="A1288">
        <v>1582</v>
      </c>
      <c r="B1288">
        <v>38</v>
      </c>
      <c r="C1288" t="s">
        <v>43</v>
      </c>
      <c r="D1288" t="s">
        <v>33</v>
      </c>
      <c r="E1288" t="s">
        <v>56</v>
      </c>
      <c r="F1288" t="s">
        <v>49</v>
      </c>
      <c r="G1288" t="s">
        <v>50</v>
      </c>
      <c r="H1288" t="s">
        <v>37</v>
      </c>
      <c r="I1288" t="s">
        <v>50</v>
      </c>
      <c r="J1288" t="s">
        <v>57</v>
      </c>
      <c r="K1288">
        <v>2</v>
      </c>
      <c r="L1288">
        <v>3</v>
      </c>
      <c r="M1288" t="s">
        <v>48</v>
      </c>
      <c r="N1288" t="s">
        <v>61</v>
      </c>
      <c r="O1288" t="s">
        <v>36</v>
      </c>
      <c r="P1288" t="s">
        <v>43</v>
      </c>
      <c r="Q1288">
        <v>11</v>
      </c>
      <c r="R1288">
        <v>0</v>
      </c>
      <c r="S1288">
        <v>10</v>
      </c>
      <c r="T1288">
        <v>7</v>
      </c>
      <c r="U1288">
        <v>7</v>
      </c>
      <c r="V1288">
        <v>14</v>
      </c>
      <c r="W1288">
        <v>80</v>
      </c>
      <c r="X1288">
        <v>1245</v>
      </c>
      <c r="Y1288">
        <v>12355</v>
      </c>
      <c r="Z1288">
        <v>9924</v>
      </c>
      <c r="AA1288">
        <v>3</v>
      </c>
      <c r="AB1288">
        <v>31129</v>
      </c>
      <c r="AC1288" s="10">
        <v>41827</v>
      </c>
      <c r="AD1288" s="10" t="s">
        <v>72</v>
      </c>
      <c r="AE1288" t="s">
        <v>72</v>
      </c>
      <c r="AF1288" t="s">
        <v>45</v>
      </c>
    </row>
    <row r="1289" spans="1:32" x14ac:dyDescent="0.25">
      <c r="A1289">
        <v>35</v>
      </c>
      <c r="B1289">
        <v>42</v>
      </c>
      <c r="C1289" t="s">
        <v>43</v>
      </c>
      <c r="D1289" t="s">
        <v>33</v>
      </c>
      <c r="E1289" t="s">
        <v>56</v>
      </c>
      <c r="F1289" t="s">
        <v>35</v>
      </c>
      <c r="G1289" t="s">
        <v>50</v>
      </c>
      <c r="H1289" t="s">
        <v>37</v>
      </c>
      <c r="I1289" t="s">
        <v>50</v>
      </c>
      <c r="J1289" t="s">
        <v>57</v>
      </c>
      <c r="K1289">
        <v>2</v>
      </c>
      <c r="L1289">
        <v>3</v>
      </c>
      <c r="M1289" t="s">
        <v>48</v>
      </c>
      <c r="N1289" t="s">
        <v>61</v>
      </c>
      <c r="O1289" t="s">
        <v>36</v>
      </c>
      <c r="P1289" t="s">
        <v>43</v>
      </c>
      <c r="Q1289">
        <v>11</v>
      </c>
      <c r="R1289">
        <v>0</v>
      </c>
      <c r="S1289">
        <v>10</v>
      </c>
      <c r="T1289">
        <v>4</v>
      </c>
      <c r="U1289">
        <v>2</v>
      </c>
      <c r="V1289">
        <v>8</v>
      </c>
      <c r="W1289">
        <v>48</v>
      </c>
      <c r="X1289">
        <v>691</v>
      </c>
      <c r="Y1289">
        <v>21173</v>
      </c>
      <c r="Z1289">
        <v>6825</v>
      </c>
      <c r="AA1289">
        <v>2</v>
      </c>
      <c r="AB1289">
        <v>29634</v>
      </c>
      <c r="AC1289" s="10">
        <v>41831</v>
      </c>
      <c r="AD1289" s="10" t="s">
        <v>72</v>
      </c>
      <c r="AE1289" t="s">
        <v>72</v>
      </c>
      <c r="AF1289" t="s">
        <v>45</v>
      </c>
    </row>
    <row r="1290" spans="1:32" x14ac:dyDescent="0.25">
      <c r="A1290">
        <v>416</v>
      </c>
      <c r="B1290">
        <v>31</v>
      </c>
      <c r="C1290" t="s">
        <v>43</v>
      </c>
      <c r="D1290" t="s">
        <v>33</v>
      </c>
      <c r="E1290" t="s">
        <v>56</v>
      </c>
      <c r="F1290" t="s">
        <v>49</v>
      </c>
      <c r="G1290" t="s">
        <v>38</v>
      </c>
      <c r="H1290" t="s">
        <v>37</v>
      </c>
      <c r="I1290" t="s">
        <v>59</v>
      </c>
      <c r="J1290" t="s">
        <v>57</v>
      </c>
      <c r="K1290">
        <v>4</v>
      </c>
      <c r="L1290">
        <v>3</v>
      </c>
      <c r="M1290" t="s">
        <v>60</v>
      </c>
      <c r="N1290" t="s">
        <v>61</v>
      </c>
      <c r="O1290" t="s">
        <v>36</v>
      </c>
      <c r="P1290" t="s">
        <v>43</v>
      </c>
      <c r="Q1290">
        <v>11</v>
      </c>
      <c r="R1290">
        <v>4</v>
      </c>
      <c r="S1290">
        <v>10</v>
      </c>
      <c r="T1290">
        <v>7</v>
      </c>
      <c r="U1290">
        <v>7</v>
      </c>
      <c r="V1290">
        <v>7</v>
      </c>
      <c r="W1290">
        <v>100</v>
      </c>
      <c r="X1290">
        <v>218</v>
      </c>
      <c r="Y1290">
        <v>12241</v>
      </c>
      <c r="Z1290">
        <v>6929</v>
      </c>
      <c r="AA1290">
        <v>3</v>
      </c>
      <c r="AB1290">
        <v>33541</v>
      </c>
      <c r="AC1290" s="10">
        <v>41861</v>
      </c>
      <c r="AD1290" s="10" t="s">
        <v>72</v>
      </c>
      <c r="AE1290" t="s">
        <v>72</v>
      </c>
      <c r="AF1290" t="s">
        <v>45</v>
      </c>
    </row>
    <row r="1291" spans="1:32" x14ac:dyDescent="0.25">
      <c r="A1291">
        <v>1548</v>
      </c>
      <c r="B1291">
        <v>40</v>
      </c>
      <c r="C1291" t="s">
        <v>43</v>
      </c>
      <c r="D1291" t="s">
        <v>33</v>
      </c>
      <c r="E1291" t="s">
        <v>56</v>
      </c>
      <c r="F1291" t="s">
        <v>67</v>
      </c>
      <c r="G1291" t="s">
        <v>36</v>
      </c>
      <c r="H1291" t="s">
        <v>37</v>
      </c>
      <c r="I1291" t="s">
        <v>50</v>
      </c>
      <c r="J1291" t="s">
        <v>57</v>
      </c>
      <c r="K1291">
        <v>1</v>
      </c>
      <c r="L1291">
        <v>3</v>
      </c>
      <c r="M1291" t="s">
        <v>58</v>
      </c>
      <c r="N1291" t="s">
        <v>61</v>
      </c>
      <c r="O1291" t="s">
        <v>42</v>
      </c>
      <c r="P1291" t="s">
        <v>43</v>
      </c>
      <c r="Q1291">
        <v>12</v>
      </c>
      <c r="R1291">
        <v>0</v>
      </c>
      <c r="S1291">
        <v>9</v>
      </c>
      <c r="T1291">
        <v>7</v>
      </c>
      <c r="U1291">
        <v>1</v>
      </c>
      <c r="V1291">
        <v>9</v>
      </c>
      <c r="W1291">
        <v>47</v>
      </c>
      <c r="X1291">
        <v>1342</v>
      </c>
      <c r="Y1291">
        <v>19345</v>
      </c>
      <c r="Z1291">
        <v>5473</v>
      </c>
      <c r="AA1291">
        <v>5</v>
      </c>
      <c r="AB1291">
        <v>30522</v>
      </c>
      <c r="AC1291" s="10">
        <v>41876</v>
      </c>
      <c r="AD1291" s="10" t="s">
        <v>72</v>
      </c>
      <c r="AE1291" t="s">
        <v>72</v>
      </c>
      <c r="AF1291" t="s">
        <v>55</v>
      </c>
    </row>
    <row r="1292" spans="1:32" x14ac:dyDescent="0.25">
      <c r="A1292">
        <v>606</v>
      </c>
      <c r="B1292">
        <v>45</v>
      </c>
      <c r="C1292" t="s">
        <v>43</v>
      </c>
      <c r="D1292" t="s">
        <v>33</v>
      </c>
      <c r="E1292" t="s">
        <v>56</v>
      </c>
      <c r="F1292" t="s">
        <v>49</v>
      </c>
      <c r="G1292" t="s">
        <v>59</v>
      </c>
      <c r="H1292" t="s">
        <v>37</v>
      </c>
      <c r="I1292" t="s">
        <v>50</v>
      </c>
      <c r="J1292" t="s">
        <v>57</v>
      </c>
      <c r="K1292">
        <v>2</v>
      </c>
      <c r="L1292">
        <v>3</v>
      </c>
      <c r="M1292" t="s">
        <v>58</v>
      </c>
      <c r="N1292" t="s">
        <v>61</v>
      </c>
      <c r="O1292" t="s">
        <v>36</v>
      </c>
      <c r="P1292" t="s">
        <v>43</v>
      </c>
      <c r="Q1292">
        <v>19</v>
      </c>
      <c r="R1292">
        <v>0</v>
      </c>
      <c r="S1292">
        <v>9</v>
      </c>
      <c r="T1292">
        <v>3</v>
      </c>
      <c r="U1292">
        <v>7</v>
      </c>
      <c r="V1292">
        <v>2</v>
      </c>
      <c r="W1292">
        <v>61</v>
      </c>
      <c r="X1292">
        <v>561</v>
      </c>
      <c r="Y1292">
        <v>16177</v>
      </c>
      <c r="Z1292">
        <v>4805</v>
      </c>
      <c r="AA1292">
        <v>3</v>
      </c>
      <c r="AB1292">
        <v>28658</v>
      </c>
      <c r="AC1292" s="10">
        <v>41935</v>
      </c>
      <c r="AD1292" s="10" t="s">
        <v>72</v>
      </c>
      <c r="AE1292" t="s">
        <v>72</v>
      </c>
      <c r="AF1292" t="s">
        <v>45</v>
      </c>
    </row>
    <row r="1293" spans="1:32" x14ac:dyDescent="0.25">
      <c r="A1293">
        <v>760</v>
      </c>
      <c r="B1293">
        <v>39</v>
      </c>
      <c r="C1293" t="s">
        <v>43</v>
      </c>
      <c r="D1293" t="s">
        <v>33</v>
      </c>
      <c r="E1293" t="s">
        <v>68</v>
      </c>
      <c r="F1293" t="s">
        <v>49</v>
      </c>
      <c r="G1293" t="s">
        <v>50</v>
      </c>
      <c r="H1293" t="s">
        <v>47</v>
      </c>
      <c r="I1293" t="s">
        <v>59</v>
      </c>
      <c r="J1293" t="s">
        <v>68</v>
      </c>
      <c r="K1293">
        <v>2</v>
      </c>
      <c r="L1293">
        <v>3</v>
      </c>
      <c r="M1293" t="s">
        <v>40</v>
      </c>
      <c r="N1293" t="s">
        <v>61</v>
      </c>
      <c r="O1293" t="s">
        <v>36</v>
      </c>
      <c r="P1293" t="s">
        <v>43</v>
      </c>
      <c r="Q1293">
        <v>15</v>
      </c>
      <c r="R1293">
        <v>9</v>
      </c>
      <c r="S1293">
        <v>12</v>
      </c>
      <c r="T1293">
        <v>3</v>
      </c>
      <c r="U1293">
        <v>6</v>
      </c>
      <c r="V1293">
        <v>3</v>
      </c>
      <c r="W1293">
        <v>44</v>
      </c>
      <c r="X1293">
        <v>141</v>
      </c>
      <c r="Y1293">
        <v>18767</v>
      </c>
      <c r="Z1293">
        <v>6389</v>
      </c>
      <c r="AA1293">
        <v>3</v>
      </c>
      <c r="AB1293">
        <v>30671</v>
      </c>
      <c r="AC1293" s="10">
        <v>41938</v>
      </c>
      <c r="AD1293" s="10" t="s">
        <v>72</v>
      </c>
      <c r="AE1293" t="s">
        <v>72</v>
      </c>
      <c r="AF1293" t="s">
        <v>55</v>
      </c>
    </row>
    <row r="1294" spans="1:32" x14ac:dyDescent="0.25">
      <c r="A1294">
        <v>1557</v>
      </c>
      <c r="B1294">
        <v>48</v>
      </c>
      <c r="C1294" t="s">
        <v>43</v>
      </c>
      <c r="D1294" t="s">
        <v>33</v>
      </c>
      <c r="E1294" t="s">
        <v>56</v>
      </c>
      <c r="F1294" t="s">
        <v>35</v>
      </c>
      <c r="G1294" t="s">
        <v>50</v>
      </c>
      <c r="H1294" t="s">
        <v>47</v>
      </c>
      <c r="I1294" t="s">
        <v>50</v>
      </c>
      <c r="J1294" t="s">
        <v>57</v>
      </c>
      <c r="K1294">
        <v>3</v>
      </c>
      <c r="L1294">
        <v>3</v>
      </c>
      <c r="M1294" t="s">
        <v>48</v>
      </c>
      <c r="N1294" t="s">
        <v>52</v>
      </c>
      <c r="O1294" t="s">
        <v>36</v>
      </c>
      <c r="P1294" t="s">
        <v>43</v>
      </c>
      <c r="Q1294">
        <v>14</v>
      </c>
      <c r="R1294">
        <v>8</v>
      </c>
      <c r="S1294">
        <v>18</v>
      </c>
      <c r="T1294">
        <v>7</v>
      </c>
      <c r="U1294">
        <v>7</v>
      </c>
      <c r="V1294">
        <v>16</v>
      </c>
      <c r="W1294">
        <v>96</v>
      </c>
      <c r="X1294">
        <v>492</v>
      </c>
      <c r="Y1294">
        <v>13693</v>
      </c>
      <c r="Z1294">
        <v>6439</v>
      </c>
      <c r="AA1294">
        <v>2</v>
      </c>
      <c r="AB1294">
        <v>27402</v>
      </c>
      <c r="AC1294" s="10">
        <v>41947</v>
      </c>
      <c r="AD1294" s="10" t="s">
        <v>72</v>
      </c>
      <c r="AE1294" t="s">
        <v>72</v>
      </c>
      <c r="AF1294" t="s">
        <v>45</v>
      </c>
    </row>
    <row r="1295" spans="1:32" x14ac:dyDescent="0.25">
      <c r="A1295">
        <v>783</v>
      </c>
      <c r="B1295">
        <v>45</v>
      </c>
      <c r="C1295" t="s">
        <v>43</v>
      </c>
      <c r="D1295" t="s">
        <v>33</v>
      </c>
      <c r="E1295" t="s">
        <v>56</v>
      </c>
      <c r="F1295" t="s">
        <v>67</v>
      </c>
      <c r="G1295" t="s">
        <v>38</v>
      </c>
      <c r="H1295" t="s">
        <v>37</v>
      </c>
      <c r="I1295" t="s">
        <v>36</v>
      </c>
      <c r="J1295" t="s">
        <v>66</v>
      </c>
      <c r="K1295">
        <v>3</v>
      </c>
      <c r="L1295">
        <v>3</v>
      </c>
      <c r="M1295" t="s">
        <v>48</v>
      </c>
      <c r="N1295" t="s">
        <v>41</v>
      </c>
      <c r="O1295" t="s">
        <v>42</v>
      </c>
      <c r="P1295" t="s">
        <v>43</v>
      </c>
      <c r="Q1295">
        <v>13</v>
      </c>
      <c r="R1295">
        <v>0</v>
      </c>
      <c r="S1295">
        <v>9</v>
      </c>
      <c r="T1295">
        <v>3</v>
      </c>
      <c r="U1295">
        <v>1</v>
      </c>
      <c r="V1295">
        <v>2</v>
      </c>
      <c r="W1295">
        <v>46</v>
      </c>
      <c r="X1295">
        <v>954</v>
      </c>
      <c r="Y1295">
        <v>12388</v>
      </c>
      <c r="Z1295">
        <v>6632</v>
      </c>
      <c r="AA1295">
        <v>3</v>
      </c>
      <c r="AB1295">
        <v>28452</v>
      </c>
      <c r="AC1295" s="10">
        <v>42041</v>
      </c>
      <c r="AD1295" s="10" t="s">
        <v>72</v>
      </c>
      <c r="AE1295" t="s">
        <v>72</v>
      </c>
      <c r="AF1295" t="s">
        <v>45</v>
      </c>
    </row>
    <row r="1296" spans="1:32" x14ac:dyDescent="0.25">
      <c r="A1296">
        <v>1119</v>
      </c>
      <c r="B1296">
        <v>38</v>
      </c>
      <c r="C1296" t="s">
        <v>43</v>
      </c>
      <c r="D1296" t="s">
        <v>33</v>
      </c>
      <c r="E1296" t="s">
        <v>56</v>
      </c>
      <c r="F1296" t="s">
        <v>35</v>
      </c>
      <c r="G1296" t="s">
        <v>50</v>
      </c>
      <c r="H1296" t="s">
        <v>37</v>
      </c>
      <c r="I1296" t="s">
        <v>38</v>
      </c>
      <c r="J1296" t="s">
        <v>57</v>
      </c>
      <c r="K1296">
        <v>3</v>
      </c>
      <c r="L1296">
        <v>3</v>
      </c>
      <c r="M1296" t="s">
        <v>48</v>
      </c>
      <c r="N1296" t="s">
        <v>52</v>
      </c>
      <c r="O1296" t="s">
        <v>53</v>
      </c>
      <c r="P1296" t="s">
        <v>32</v>
      </c>
      <c r="Q1296">
        <v>14</v>
      </c>
      <c r="R1296">
        <v>0</v>
      </c>
      <c r="S1296">
        <v>9</v>
      </c>
      <c r="T1296">
        <v>2</v>
      </c>
      <c r="U1296">
        <v>7</v>
      </c>
      <c r="V1296">
        <v>10</v>
      </c>
      <c r="W1296">
        <v>73</v>
      </c>
      <c r="X1296">
        <v>770</v>
      </c>
      <c r="Y1296">
        <v>5569</v>
      </c>
      <c r="Z1296">
        <v>8740</v>
      </c>
      <c r="AA1296">
        <v>2</v>
      </c>
      <c r="AB1296">
        <v>31211</v>
      </c>
      <c r="AC1296" s="10">
        <v>42044</v>
      </c>
      <c r="AD1296" s="10" t="s">
        <v>72</v>
      </c>
      <c r="AE1296" t="s">
        <v>72</v>
      </c>
      <c r="AF1296" t="s">
        <v>45</v>
      </c>
    </row>
    <row r="1297" spans="1:32" x14ac:dyDescent="0.25">
      <c r="A1297">
        <v>476</v>
      </c>
      <c r="B1297">
        <v>26</v>
      </c>
      <c r="C1297" t="s">
        <v>43</v>
      </c>
      <c r="D1297" t="s">
        <v>33</v>
      </c>
      <c r="E1297" t="s">
        <v>56</v>
      </c>
      <c r="F1297" t="s">
        <v>49</v>
      </c>
      <c r="G1297" t="s">
        <v>50</v>
      </c>
      <c r="H1297" t="s">
        <v>37</v>
      </c>
      <c r="I1297" t="s">
        <v>50</v>
      </c>
      <c r="J1297" t="s">
        <v>57</v>
      </c>
      <c r="K1297">
        <v>3</v>
      </c>
      <c r="L1297">
        <v>3</v>
      </c>
      <c r="M1297" t="s">
        <v>48</v>
      </c>
      <c r="N1297" t="s">
        <v>61</v>
      </c>
      <c r="O1297" t="s">
        <v>36</v>
      </c>
      <c r="P1297" t="s">
        <v>43</v>
      </c>
      <c r="Q1297">
        <v>17</v>
      </c>
      <c r="R1297">
        <v>1</v>
      </c>
      <c r="S1297">
        <v>8</v>
      </c>
      <c r="T1297">
        <v>7</v>
      </c>
      <c r="U1297">
        <v>7</v>
      </c>
      <c r="V1297">
        <v>1</v>
      </c>
      <c r="W1297">
        <v>57</v>
      </c>
      <c r="X1297">
        <v>933</v>
      </c>
      <c r="Y1297">
        <v>20156</v>
      </c>
      <c r="Z1297">
        <v>5296</v>
      </c>
      <c r="AA1297">
        <v>3</v>
      </c>
      <c r="AB1297">
        <v>35368</v>
      </c>
      <c r="AC1297" s="10">
        <v>42116</v>
      </c>
      <c r="AD1297" s="10" t="s">
        <v>72</v>
      </c>
      <c r="AE1297" t="s">
        <v>72</v>
      </c>
      <c r="AF1297" t="s">
        <v>45</v>
      </c>
    </row>
    <row r="1298" spans="1:32" x14ac:dyDescent="0.25">
      <c r="A1298">
        <v>1588</v>
      </c>
      <c r="B1298">
        <v>39</v>
      </c>
      <c r="C1298" t="s">
        <v>43</v>
      </c>
      <c r="D1298" t="s">
        <v>33</v>
      </c>
      <c r="E1298" t="s">
        <v>56</v>
      </c>
      <c r="F1298" t="s">
        <v>49</v>
      </c>
      <c r="G1298" t="s">
        <v>59</v>
      </c>
      <c r="H1298" t="s">
        <v>37</v>
      </c>
      <c r="I1298" t="s">
        <v>59</v>
      </c>
      <c r="J1298" t="s">
        <v>57</v>
      </c>
      <c r="K1298">
        <v>3</v>
      </c>
      <c r="L1298">
        <v>3</v>
      </c>
      <c r="M1298" t="s">
        <v>48</v>
      </c>
      <c r="N1298" t="s">
        <v>61</v>
      </c>
      <c r="O1298" t="s">
        <v>36</v>
      </c>
      <c r="P1298" t="s">
        <v>43</v>
      </c>
      <c r="Q1298">
        <v>11</v>
      </c>
      <c r="R1298">
        <v>2</v>
      </c>
      <c r="S1298">
        <v>11</v>
      </c>
      <c r="T1298">
        <v>7</v>
      </c>
      <c r="U1298">
        <v>6</v>
      </c>
      <c r="V1298">
        <v>6</v>
      </c>
      <c r="W1298">
        <v>38</v>
      </c>
      <c r="X1298">
        <v>1462</v>
      </c>
      <c r="Y1298">
        <v>4658</v>
      </c>
      <c r="Z1298">
        <v>8237</v>
      </c>
      <c r="AA1298">
        <v>3</v>
      </c>
      <c r="AB1298">
        <v>30643</v>
      </c>
      <c r="AC1298" s="10">
        <v>42217</v>
      </c>
      <c r="AD1298" s="10" t="s">
        <v>72</v>
      </c>
      <c r="AE1298" t="s">
        <v>72</v>
      </c>
      <c r="AF1298" t="s">
        <v>45</v>
      </c>
    </row>
    <row r="1299" spans="1:32" x14ac:dyDescent="0.25">
      <c r="A1299">
        <v>1338</v>
      </c>
      <c r="B1299">
        <v>56</v>
      </c>
      <c r="C1299" t="s">
        <v>43</v>
      </c>
      <c r="D1299" t="s">
        <v>33</v>
      </c>
      <c r="E1299" t="s">
        <v>68</v>
      </c>
      <c r="F1299" t="s">
        <v>35</v>
      </c>
      <c r="G1299" t="s">
        <v>59</v>
      </c>
      <c r="H1299" t="s">
        <v>37</v>
      </c>
      <c r="I1299" t="s">
        <v>50</v>
      </c>
      <c r="J1299" t="s">
        <v>69</v>
      </c>
      <c r="K1299">
        <v>2</v>
      </c>
      <c r="L1299">
        <v>3</v>
      </c>
      <c r="M1299" t="s">
        <v>48</v>
      </c>
      <c r="N1299" t="s">
        <v>41</v>
      </c>
      <c r="O1299" t="s">
        <v>42</v>
      </c>
      <c r="P1299" t="s">
        <v>43</v>
      </c>
      <c r="Q1299">
        <v>14</v>
      </c>
      <c r="R1299">
        <v>6</v>
      </c>
      <c r="S1299">
        <v>36</v>
      </c>
      <c r="T1299">
        <v>7</v>
      </c>
      <c r="U1299">
        <v>7</v>
      </c>
      <c r="V1299">
        <v>8</v>
      </c>
      <c r="W1299">
        <v>99</v>
      </c>
      <c r="X1299">
        <v>206</v>
      </c>
      <c r="Y1299">
        <v>4022</v>
      </c>
      <c r="Z1299">
        <v>19717</v>
      </c>
      <c r="AA1299">
        <v>4</v>
      </c>
      <c r="AB1299">
        <v>24354</v>
      </c>
      <c r="AC1299" s="10">
        <v>42248</v>
      </c>
      <c r="AD1299" s="10" t="s">
        <v>72</v>
      </c>
      <c r="AE1299" t="s">
        <v>72</v>
      </c>
      <c r="AF1299" t="s">
        <v>45</v>
      </c>
    </row>
    <row r="1300" spans="1:32" x14ac:dyDescent="0.25">
      <c r="A1300">
        <v>1066</v>
      </c>
      <c r="B1300">
        <v>40</v>
      </c>
      <c r="C1300" t="s">
        <v>43</v>
      </c>
      <c r="D1300" t="s">
        <v>33</v>
      </c>
      <c r="E1300" t="s">
        <v>56</v>
      </c>
      <c r="F1300" t="s">
        <v>49</v>
      </c>
      <c r="G1300" t="s">
        <v>50</v>
      </c>
      <c r="H1300" t="s">
        <v>37</v>
      </c>
      <c r="I1300" t="s">
        <v>50</v>
      </c>
      <c r="J1300" t="s">
        <v>57</v>
      </c>
      <c r="K1300">
        <v>1</v>
      </c>
      <c r="L1300">
        <v>3</v>
      </c>
      <c r="M1300" t="s">
        <v>60</v>
      </c>
      <c r="N1300" t="s">
        <v>61</v>
      </c>
      <c r="O1300" t="s">
        <v>36</v>
      </c>
      <c r="P1300" t="s">
        <v>43</v>
      </c>
      <c r="Q1300">
        <v>14</v>
      </c>
      <c r="R1300">
        <v>1</v>
      </c>
      <c r="S1300">
        <v>8</v>
      </c>
      <c r="T1300">
        <v>7</v>
      </c>
      <c r="U1300">
        <v>5</v>
      </c>
      <c r="V1300">
        <v>26</v>
      </c>
      <c r="W1300">
        <v>74</v>
      </c>
      <c r="X1300">
        <v>300</v>
      </c>
      <c r="Y1300">
        <v>22217</v>
      </c>
      <c r="Z1300">
        <v>8396</v>
      </c>
      <c r="AA1300">
        <v>3</v>
      </c>
      <c r="AB1300">
        <v>30406</v>
      </c>
      <c r="AC1300" s="10">
        <v>42339</v>
      </c>
      <c r="AD1300" s="10" t="s">
        <v>72</v>
      </c>
      <c r="AE1300" t="s">
        <v>72</v>
      </c>
      <c r="AF1300" t="s">
        <v>45</v>
      </c>
    </row>
    <row r="1301" spans="1:32" x14ac:dyDescent="0.25">
      <c r="A1301">
        <v>363</v>
      </c>
      <c r="B1301">
        <v>46</v>
      </c>
      <c r="C1301" t="s">
        <v>43</v>
      </c>
      <c r="D1301" t="s">
        <v>33</v>
      </c>
      <c r="E1301" t="s">
        <v>56</v>
      </c>
      <c r="F1301" t="s">
        <v>49</v>
      </c>
      <c r="G1301" t="s">
        <v>50</v>
      </c>
      <c r="H1301" t="s">
        <v>47</v>
      </c>
      <c r="I1301" t="s">
        <v>36</v>
      </c>
      <c r="J1301" t="s">
        <v>69</v>
      </c>
      <c r="K1301">
        <v>2</v>
      </c>
      <c r="L1301">
        <v>3</v>
      </c>
      <c r="M1301" t="s">
        <v>60</v>
      </c>
      <c r="N1301" t="s">
        <v>61</v>
      </c>
      <c r="O1301" t="s">
        <v>36</v>
      </c>
      <c r="P1301" t="s">
        <v>32</v>
      </c>
      <c r="Q1301">
        <v>12</v>
      </c>
      <c r="R1301">
        <v>3</v>
      </c>
      <c r="S1301">
        <v>28</v>
      </c>
      <c r="T1301">
        <v>7</v>
      </c>
      <c r="U1301">
        <v>7</v>
      </c>
      <c r="V1301">
        <v>2</v>
      </c>
      <c r="W1301">
        <v>75</v>
      </c>
      <c r="X1301">
        <v>488</v>
      </c>
      <c r="Y1301">
        <v>14977</v>
      </c>
      <c r="Z1301">
        <v>16872</v>
      </c>
      <c r="AA1301">
        <v>2</v>
      </c>
      <c r="AB1301">
        <v>28226</v>
      </c>
      <c r="AC1301" s="10">
        <v>42343</v>
      </c>
      <c r="AD1301" s="10" t="s">
        <v>72</v>
      </c>
      <c r="AE1301" t="s">
        <v>72</v>
      </c>
      <c r="AF1301" t="s">
        <v>45</v>
      </c>
    </row>
    <row r="1302" spans="1:32" x14ac:dyDescent="0.25">
      <c r="A1302">
        <v>941</v>
      </c>
      <c r="B1302">
        <v>31</v>
      </c>
      <c r="C1302" t="s">
        <v>43</v>
      </c>
      <c r="D1302" t="s">
        <v>33</v>
      </c>
      <c r="E1302" t="s">
        <v>56</v>
      </c>
      <c r="F1302" t="s">
        <v>35</v>
      </c>
      <c r="G1302" t="s">
        <v>38</v>
      </c>
      <c r="H1302" t="s">
        <v>37</v>
      </c>
      <c r="I1302" t="s">
        <v>38</v>
      </c>
      <c r="J1302" t="s">
        <v>66</v>
      </c>
      <c r="K1302">
        <v>3</v>
      </c>
      <c r="L1302">
        <v>3</v>
      </c>
      <c r="M1302" t="s">
        <v>58</v>
      </c>
      <c r="N1302" t="s">
        <v>61</v>
      </c>
      <c r="O1302" t="s">
        <v>42</v>
      </c>
      <c r="P1302" t="s">
        <v>43</v>
      </c>
      <c r="Q1302">
        <v>15</v>
      </c>
      <c r="R1302">
        <v>3</v>
      </c>
      <c r="S1302">
        <v>13</v>
      </c>
      <c r="T1302">
        <v>5</v>
      </c>
      <c r="U1302">
        <v>2</v>
      </c>
      <c r="V1302">
        <v>7</v>
      </c>
      <c r="W1302">
        <v>41</v>
      </c>
      <c r="X1302">
        <v>154</v>
      </c>
      <c r="Y1302">
        <v>11737</v>
      </c>
      <c r="Z1302">
        <v>2329</v>
      </c>
      <c r="AA1302">
        <v>2</v>
      </c>
      <c r="AB1302">
        <v>33676</v>
      </c>
      <c r="AC1302" s="10">
        <v>42349</v>
      </c>
      <c r="AD1302" s="10" t="s">
        <v>72</v>
      </c>
      <c r="AE1302" t="s">
        <v>72</v>
      </c>
      <c r="AF1302" t="s">
        <v>45</v>
      </c>
    </row>
    <row r="1303" spans="1:32" x14ac:dyDescent="0.25">
      <c r="A1303">
        <v>1403</v>
      </c>
      <c r="B1303">
        <v>27</v>
      </c>
      <c r="C1303" t="s">
        <v>43</v>
      </c>
      <c r="D1303" t="s">
        <v>33</v>
      </c>
      <c r="E1303" t="s">
        <v>56</v>
      </c>
      <c r="F1303" t="s">
        <v>49</v>
      </c>
      <c r="G1303" t="s">
        <v>59</v>
      </c>
      <c r="H1303" t="s">
        <v>47</v>
      </c>
      <c r="I1303" t="s">
        <v>38</v>
      </c>
      <c r="J1303" t="s">
        <v>57</v>
      </c>
      <c r="K1303">
        <v>4</v>
      </c>
      <c r="L1303">
        <v>3</v>
      </c>
      <c r="M1303" t="s">
        <v>48</v>
      </c>
      <c r="N1303" t="s">
        <v>61</v>
      </c>
      <c r="O1303" t="s">
        <v>42</v>
      </c>
      <c r="P1303" t="s">
        <v>32</v>
      </c>
      <c r="Q1303">
        <v>11</v>
      </c>
      <c r="R1303">
        <v>1</v>
      </c>
      <c r="S1303">
        <v>6</v>
      </c>
      <c r="T1303">
        <v>4</v>
      </c>
      <c r="U1303">
        <v>4</v>
      </c>
      <c r="V1303">
        <v>10</v>
      </c>
      <c r="W1303">
        <v>98</v>
      </c>
      <c r="X1303">
        <v>205</v>
      </c>
      <c r="Y1303">
        <v>7100</v>
      </c>
      <c r="Z1303">
        <v>5769</v>
      </c>
      <c r="AA1303">
        <v>3</v>
      </c>
      <c r="AB1303">
        <v>34984</v>
      </c>
      <c r="AC1303" s="10">
        <v>42631</v>
      </c>
      <c r="AD1303" s="10" t="s">
        <v>72</v>
      </c>
      <c r="AE1303" t="s">
        <v>72</v>
      </c>
      <c r="AF1303" t="s">
        <v>45</v>
      </c>
    </row>
    <row r="1304" spans="1:32" x14ac:dyDescent="0.25">
      <c r="A1304">
        <v>533</v>
      </c>
      <c r="B1304">
        <v>30</v>
      </c>
      <c r="C1304" t="s">
        <v>43</v>
      </c>
      <c r="D1304" t="s">
        <v>33</v>
      </c>
      <c r="E1304" t="s">
        <v>56</v>
      </c>
      <c r="F1304" t="s">
        <v>49</v>
      </c>
      <c r="G1304" t="s">
        <v>38</v>
      </c>
      <c r="H1304" t="s">
        <v>47</v>
      </c>
      <c r="I1304" t="s">
        <v>50</v>
      </c>
      <c r="J1304" t="s">
        <v>57</v>
      </c>
      <c r="K1304">
        <v>3</v>
      </c>
      <c r="L1304">
        <v>3</v>
      </c>
      <c r="M1304" t="s">
        <v>48</v>
      </c>
      <c r="N1304" t="s">
        <v>41</v>
      </c>
      <c r="O1304" t="s">
        <v>42</v>
      </c>
      <c r="P1304" t="s">
        <v>43</v>
      </c>
      <c r="Q1304">
        <v>11</v>
      </c>
      <c r="R1304">
        <v>0</v>
      </c>
      <c r="S1304">
        <v>6</v>
      </c>
      <c r="T1304">
        <v>4</v>
      </c>
      <c r="U1304">
        <v>4</v>
      </c>
      <c r="V1304">
        <v>12</v>
      </c>
      <c r="W1304">
        <v>83</v>
      </c>
      <c r="X1304">
        <v>1082</v>
      </c>
      <c r="Y1304">
        <v>19558</v>
      </c>
      <c r="Z1304">
        <v>6577</v>
      </c>
      <c r="AA1304">
        <v>6</v>
      </c>
      <c r="AB1304">
        <v>33881</v>
      </c>
      <c r="AC1304" s="10">
        <v>42974</v>
      </c>
      <c r="AD1304" s="10" t="s">
        <v>72</v>
      </c>
      <c r="AE1304" t="s">
        <v>72</v>
      </c>
      <c r="AF1304" t="s">
        <v>55</v>
      </c>
    </row>
    <row r="1305" spans="1:32" x14ac:dyDescent="0.25">
      <c r="A1305">
        <v>2013</v>
      </c>
      <c r="B1305">
        <v>32</v>
      </c>
      <c r="C1305" t="s">
        <v>43</v>
      </c>
      <c r="D1305" t="s">
        <v>33</v>
      </c>
      <c r="E1305" t="s">
        <v>56</v>
      </c>
      <c r="F1305" t="s">
        <v>35</v>
      </c>
      <c r="G1305" t="s">
        <v>38</v>
      </c>
      <c r="H1305" t="s">
        <v>37</v>
      </c>
      <c r="I1305" t="s">
        <v>38</v>
      </c>
      <c r="J1305" t="s">
        <v>66</v>
      </c>
      <c r="K1305">
        <v>2</v>
      </c>
      <c r="L1305">
        <v>3</v>
      </c>
      <c r="M1305" t="s">
        <v>48</v>
      </c>
      <c r="N1305" t="s">
        <v>61</v>
      </c>
      <c r="O1305" t="s">
        <v>36</v>
      </c>
      <c r="P1305" t="s">
        <v>43</v>
      </c>
      <c r="Q1305">
        <v>14</v>
      </c>
      <c r="R1305">
        <v>0</v>
      </c>
      <c r="S1305">
        <v>3</v>
      </c>
      <c r="T1305">
        <v>2</v>
      </c>
      <c r="U1305">
        <v>2</v>
      </c>
      <c r="V1305">
        <v>1</v>
      </c>
      <c r="W1305">
        <v>68</v>
      </c>
      <c r="X1305">
        <v>234</v>
      </c>
      <c r="Y1305">
        <v>18024</v>
      </c>
      <c r="Z1305">
        <v>2269</v>
      </c>
      <c r="AA1305">
        <v>2</v>
      </c>
      <c r="AB1305">
        <v>33126</v>
      </c>
      <c r="AC1305" s="10">
        <v>44044</v>
      </c>
      <c r="AD1305" s="10" t="s">
        <v>72</v>
      </c>
      <c r="AE1305" t="s">
        <v>72</v>
      </c>
      <c r="AF1305" t="s">
        <v>45</v>
      </c>
    </row>
    <row r="1306" spans="1:32" x14ac:dyDescent="0.25">
      <c r="A1306">
        <v>1657</v>
      </c>
      <c r="B1306">
        <v>20</v>
      </c>
      <c r="C1306" t="s">
        <v>43</v>
      </c>
      <c r="D1306" t="s">
        <v>33</v>
      </c>
      <c r="E1306" t="s">
        <v>56</v>
      </c>
      <c r="F1306" t="s">
        <v>49</v>
      </c>
      <c r="G1306" t="s">
        <v>50</v>
      </c>
      <c r="H1306" t="s">
        <v>47</v>
      </c>
      <c r="I1306" t="s">
        <v>50</v>
      </c>
      <c r="J1306" t="s">
        <v>66</v>
      </c>
      <c r="K1306">
        <v>3</v>
      </c>
      <c r="L1306">
        <v>3</v>
      </c>
      <c r="M1306" t="s">
        <v>48</v>
      </c>
      <c r="N1306" t="s">
        <v>41</v>
      </c>
      <c r="O1306" t="s">
        <v>42</v>
      </c>
      <c r="P1306" t="s">
        <v>43</v>
      </c>
      <c r="Q1306">
        <v>19</v>
      </c>
      <c r="R1306">
        <v>1</v>
      </c>
      <c r="S1306">
        <v>2</v>
      </c>
      <c r="T1306">
        <v>2</v>
      </c>
      <c r="U1306">
        <v>2</v>
      </c>
      <c r="V1306">
        <v>2</v>
      </c>
      <c r="W1306">
        <v>31</v>
      </c>
      <c r="X1306">
        <v>1141</v>
      </c>
      <c r="Y1306">
        <v>13251</v>
      </c>
      <c r="Z1306">
        <v>2783</v>
      </c>
      <c r="AA1306">
        <v>3</v>
      </c>
      <c r="AB1306">
        <v>37822</v>
      </c>
      <c r="AC1306" s="10">
        <v>44045</v>
      </c>
      <c r="AD1306" s="10" t="s">
        <v>72</v>
      </c>
      <c r="AE1306" t="s">
        <v>72</v>
      </c>
      <c r="AF1306" t="s">
        <v>55</v>
      </c>
    </row>
    <row r="1307" spans="1:32" x14ac:dyDescent="0.25">
      <c r="A1307">
        <v>1226</v>
      </c>
      <c r="B1307">
        <v>20</v>
      </c>
      <c r="C1307" t="s">
        <v>43</v>
      </c>
      <c r="D1307" t="s">
        <v>33</v>
      </c>
      <c r="E1307" t="s">
        <v>56</v>
      </c>
      <c r="F1307" t="s">
        <v>49</v>
      </c>
      <c r="G1307" t="s">
        <v>50</v>
      </c>
      <c r="H1307" t="s">
        <v>37</v>
      </c>
      <c r="I1307" t="s">
        <v>59</v>
      </c>
      <c r="J1307" t="s">
        <v>66</v>
      </c>
      <c r="K1307">
        <v>4</v>
      </c>
      <c r="L1307">
        <v>3</v>
      </c>
      <c r="M1307" t="s">
        <v>48</v>
      </c>
      <c r="N1307" t="s">
        <v>41</v>
      </c>
      <c r="O1307" t="s">
        <v>42</v>
      </c>
      <c r="P1307" t="s">
        <v>43</v>
      </c>
      <c r="Q1307">
        <v>17</v>
      </c>
      <c r="R1307">
        <v>1</v>
      </c>
      <c r="S1307">
        <v>2</v>
      </c>
      <c r="T1307">
        <v>2</v>
      </c>
      <c r="U1307">
        <v>2</v>
      </c>
      <c r="V1307">
        <v>21</v>
      </c>
      <c r="W1307">
        <v>43</v>
      </c>
      <c r="X1307">
        <v>654</v>
      </c>
      <c r="Y1307">
        <v>5050</v>
      </c>
      <c r="Z1307">
        <v>2678</v>
      </c>
      <c r="AA1307">
        <v>2</v>
      </c>
      <c r="AB1307">
        <v>37665</v>
      </c>
      <c r="AC1307" s="10">
        <v>44054</v>
      </c>
      <c r="AD1307" s="10" t="s">
        <v>72</v>
      </c>
      <c r="AE1307" t="s">
        <v>72</v>
      </c>
      <c r="AF1307" t="s">
        <v>45</v>
      </c>
    </row>
    <row r="1308" spans="1:32" x14ac:dyDescent="0.25">
      <c r="A1308">
        <v>1683</v>
      </c>
      <c r="B1308">
        <v>44</v>
      </c>
      <c r="C1308" t="s">
        <v>43</v>
      </c>
      <c r="D1308" t="s">
        <v>33</v>
      </c>
      <c r="E1308" t="s">
        <v>68</v>
      </c>
      <c r="F1308" t="s">
        <v>49</v>
      </c>
      <c r="G1308" t="s">
        <v>50</v>
      </c>
      <c r="H1308" t="s">
        <v>47</v>
      </c>
      <c r="I1308" t="s">
        <v>50</v>
      </c>
      <c r="J1308" t="s">
        <v>68</v>
      </c>
      <c r="K1308">
        <v>4</v>
      </c>
      <c r="L1308">
        <v>3</v>
      </c>
      <c r="M1308" t="s">
        <v>48</v>
      </c>
      <c r="N1308" t="s">
        <v>52</v>
      </c>
      <c r="O1308" t="s">
        <v>50</v>
      </c>
      <c r="P1308" t="s">
        <v>32</v>
      </c>
      <c r="Q1308">
        <v>18</v>
      </c>
      <c r="R1308">
        <v>4</v>
      </c>
      <c r="S1308">
        <v>8</v>
      </c>
      <c r="T1308">
        <v>2</v>
      </c>
      <c r="U1308">
        <v>2</v>
      </c>
      <c r="V1308">
        <v>1</v>
      </c>
      <c r="W1308">
        <v>44</v>
      </c>
      <c r="X1308">
        <v>528</v>
      </c>
      <c r="Y1308">
        <v>4167</v>
      </c>
      <c r="Z1308">
        <v>3195</v>
      </c>
      <c r="AA1308">
        <v>2</v>
      </c>
      <c r="AB1308">
        <v>28903</v>
      </c>
      <c r="AC1308" s="10">
        <v>44162</v>
      </c>
      <c r="AD1308" s="10" t="s">
        <v>72</v>
      </c>
      <c r="AE1308" t="s">
        <v>72</v>
      </c>
      <c r="AF1308" t="s">
        <v>45</v>
      </c>
    </row>
    <row r="1309" spans="1:32" x14ac:dyDescent="0.25">
      <c r="A1309">
        <v>712</v>
      </c>
      <c r="B1309">
        <v>48</v>
      </c>
      <c r="C1309" t="s">
        <v>43</v>
      </c>
      <c r="D1309" t="s">
        <v>33</v>
      </c>
      <c r="E1309" t="s">
        <v>56</v>
      </c>
      <c r="F1309" t="s">
        <v>64</v>
      </c>
      <c r="G1309" t="s">
        <v>38</v>
      </c>
      <c r="H1309" t="s">
        <v>37</v>
      </c>
      <c r="I1309" t="s">
        <v>59</v>
      </c>
      <c r="J1309" t="s">
        <v>57</v>
      </c>
      <c r="K1309">
        <v>2</v>
      </c>
      <c r="L1309">
        <v>3</v>
      </c>
      <c r="M1309" t="s">
        <v>48</v>
      </c>
      <c r="N1309" t="s">
        <v>61</v>
      </c>
      <c r="O1309" t="s">
        <v>42</v>
      </c>
      <c r="P1309" t="s">
        <v>43</v>
      </c>
      <c r="Q1309">
        <v>12</v>
      </c>
      <c r="R1309">
        <v>3</v>
      </c>
      <c r="S1309">
        <v>12</v>
      </c>
      <c r="T1309">
        <v>2</v>
      </c>
      <c r="U1309">
        <v>2</v>
      </c>
      <c r="V1309">
        <v>2</v>
      </c>
      <c r="W1309">
        <v>56</v>
      </c>
      <c r="X1309">
        <v>817</v>
      </c>
      <c r="Y1309">
        <v>18597</v>
      </c>
      <c r="Z1309">
        <v>8120</v>
      </c>
      <c r="AA1309">
        <v>3</v>
      </c>
      <c r="AB1309">
        <v>27561</v>
      </c>
      <c r="AC1309" s="10">
        <v>44196</v>
      </c>
      <c r="AD1309" s="10" t="s">
        <v>72</v>
      </c>
      <c r="AE1309" t="s">
        <v>72</v>
      </c>
      <c r="AF1309" t="s">
        <v>45</v>
      </c>
    </row>
    <row r="1310" spans="1:32" x14ac:dyDescent="0.25">
      <c r="A1310">
        <v>1466</v>
      </c>
      <c r="B1310">
        <v>48</v>
      </c>
      <c r="C1310" t="s">
        <v>43</v>
      </c>
      <c r="D1310" t="s">
        <v>33</v>
      </c>
      <c r="E1310" t="s">
        <v>56</v>
      </c>
      <c r="F1310" t="s">
        <v>49</v>
      </c>
      <c r="G1310" t="s">
        <v>50</v>
      </c>
      <c r="H1310" t="s">
        <v>37</v>
      </c>
      <c r="I1310" t="s">
        <v>50</v>
      </c>
      <c r="J1310" t="s">
        <v>57</v>
      </c>
      <c r="K1310">
        <v>1</v>
      </c>
      <c r="L1310">
        <v>3</v>
      </c>
      <c r="M1310" t="s">
        <v>48</v>
      </c>
      <c r="N1310" t="s">
        <v>52</v>
      </c>
      <c r="O1310" t="s">
        <v>50</v>
      </c>
      <c r="P1310" t="s">
        <v>43</v>
      </c>
      <c r="Q1310">
        <v>11</v>
      </c>
      <c r="R1310">
        <v>4</v>
      </c>
      <c r="S1310">
        <v>15</v>
      </c>
      <c r="T1310">
        <v>2</v>
      </c>
      <c r="U1310">
        <v>2</v>
      </c>
      <c r="V1310">
        <v>7</v>
      </c>
      <c r="W1310">
        <v>96</v>
      </c>
      <c r="X1310">
        <v>1221</v>
      </c>
      <c r="Y1310">
        <v>24795</v>
      </c>
      <c r="Z1310">
        <v>5486</v>
      </c>
      <c r="AA1310">
        <v>3</v>
      </c>
      <c r="AB1310">
        <v>27309</v>
      </c>
      <c r="AC1310" s="10">
        <v>44196</v>
      </c>
      <c r="AD1310" s="10" t="s">
        <v>72</v>
      </c>
      <c r="AE1310" t="s">
        <v>72</v>
      </c>
      <c r="AF1310" t="s">
        <v>55</v>
      </c>
    </row>
    <row r="1311" spans="1:32" x14ac:dyDescent="0.25">
      <c r="A1311">
        <v>183</v>
      </c>
      <c r="B1311">
        <v>25</v>
      </c>
      <c r="C1311" t="s">
        <v>43</v>
      </c>
      <c r="D1311" t="s">
        <v>33</v>
      </c>
      <c r="E1311" t="s">
        <v>56</v>
      </c>
      <c r="F1311" t="s">
        <v>49</v>
      </c>
      <c r="G1311" t="s">
        <v>36</v>
      </c>
      <c r="H1311" t="s">
        <v>37</v>
      </c>
      <c r="I1311" t="s">
        <v>38</v>
      </c>
      <c r="J1311" t="s">
        <v>57</v>
      </c>
      <c r="K1311">
        <v>3</v>
      </c>
      <c r="L1311">
        <v>3</v>
      </c>
      <c r="M1311" t="s">
        <v>48</v>
      </c>
      <c r="N1311" t="s">
        <v>61</v>
      </c>
      <c r="O1311" t="s">
        <v>42</v>
      </c>
      <c r="P1311" t="s">
        <v>43</v>
      </c>
      <c r="Q1311">
        <v>18</v>
      </c>
      <c r="R1311">
        <v>2</v>
      </c>
      <c r="S1311">
        <v>6</v>
      </c>
      <c r="T1311">
        <v>2</v>
      </c>
      <c r="U1311">
        <v>2</v>
      </c>
      <c r="V1311">
        <v>28</v>
      </c>
      <c r="W1311">
        <v>41</v>
      </c>
      <c r="X1311">
        <v>959</v>
      </c>
      <c r="Y1311">
        <v>24835</v>
      </c>
      <c r="Z1311">
        <v>8639</v>
      </c>
      <c r="AA1311">
        <v>3</v>
      </c>
      <c r="AB1311">
        <v>35890</v>
      </c>
      <c r="AC1311" s="10">
        <v>44203</v>
      </c>
      <c r="AD1311" s="10" t="s">
        <v>72</v>
      </c>
      <c r="AE1311" t="s">
        <v>72</v>
      </c>
      <c r="AF1311" t="s">
        <v>45</v>
      </c>
    </row>
    <row r="1312" spans="1:32" x14ac:dyDescent="0.25">
      <c r="A1312">
        <v>766</v>
      </c>
      <c r="B1312">
        <v>29</v>
      </c>
      <c r="C1312" t="s">
        <v>43</v>
      </c>
      <c r="D1312" t="s">
        <v>33</v>
      </c>
      <c r="E1312" t="s">
        <v>56</v>
      </c>
      <c r="F1312" t="s">
        <v>49</v>
      </c>
      <c r="G1312" t="s">
        <v>59</v>
      </c>
      <c r="H1312" t="s">
        <v>37</v>
      </c>
      <c r="I1312" t="s">
        <v>50</v>
      </c>
      <c r="J1312" t="s">
        <v>66</v>
      </c>
      <c r="K1312">
        <v>2</v>
      </c>
      <c r="L1312">
        <v>3</v>
      </c>
      <c r="M1312" t="s">
        <v>48</v>
      </c>
      <c r="N1312" t="s">
        <v>52</v>
      </c>
      <c r="O1312" t="s">
        <v>53</v>
      </c>
      <c r="P1312" t="s">
        <v>43</v>
      </c>
      <c r="Q1312">
        <v>14</v>
      </c>
      <c r="R1312">
        <v>1</v>
      </c>
      <c r="S1312">
        <v>2</v>
      </c>
      <c r="T1312">
        <v>2</v>
      </c>
      <c r="U1312">
        <v>2</v>
      </c>
      <c r="V1312">
        <v>10</v>
      </c>
      <c r="W1312">
        <v>83</v>
      </c>
      <c r="X1312">
        <v>1090</v>
      </c>
      <c r="Y1312">
        <v>17967</v>
      </c>
      <c r="Z1312">
        <v>2297</v>
      </c>
      <c r="AA1312">
        <v>2</v>
      </c>
      <c r="AB1312">
        <v>34181</v>
      </c>
      <c r="AC1312" s="10">
        <v>44210</v>
      </c>
      <c r="AD1312" s="10" t="s">
        <v>72</v>
      </c>
      <c r="AE1312" t="s">
        <v>72</v>
      </c>
      <c r="AF1312" t="s">
        <v>45</v>
      </c>
    </row>
    <row r="1313" spans="1:32" x14ac:dyDescent="0.25">
      <c r="A1313">
        <v>374</v>
      </c>
      <c r="B1313">
        <v>55</v>
      </c>
      <c r="C1313" t="s">
        <v>43</v>
      </c>
      <c r="D1313" t="s">
        <v>33</v>
      </c>
      <c r="E1313" t="s">
        <v>34</v>
      </c>
      <c r="F1313" t="s">
        <v>49</v>
      </c>
      <c r="G1313" t="s">
        <v>59</v>
      </c>
      <c r="H1313" t="s">
        <v>37</v>
      </c>
      <c r="I1313" t="s">
        <v>50</v>
      </c>
      <c r="J1313" t="s">
        <v>69</v>
      </c>
      <c r="K1313">
        <v>1</v>
      </c>
      <c r="L1313">
        <v>3</v>
      </c>
      <c r="M1313" t="s">
        <v>48</v>
      </c>
      <c r="N1313" t="s">
        <v>41</v>
      </c>
      <c r="O1313" t="s">
        <v>42</v>
      </c>
      <c r="P1313" t="s">
        <v>32</v>
      </c>
      <c r="Q1313">
        <v>14</v>
      </c>
      <c r="R1313">
        <v>0</v>
      </c>
      <c r="S1313">
        <v>37</v>
      </c>
      <c r="T1313">
        <v>3</v>
      </c>
      <c r="U1313">
        <v>3</v>
      </c>
      <c r="V1313">
        <v>1</v>
      </c>
      <c r="W1313">
        <v>81</v>
      </c>
      <c r="X1313">
        <v>452</v>
      </c>
      <c r="Y1313">
        <v>18938</v>
      </c>
      <c r="Z1313">
        <v>19045</v>
      </c>
      <c r="AA1313">
        <v>2</v>
      </c>
      <c r="AB1313">
        <v>24696</v>
      </c>
      <c r="AC1313" s="10">
        <v>43778</v>
      </c>
      <c r="AD1313" s="10" t="s">
        <v>72</v>
      </c>
      <c r="AE1313" t="s">
        <v>72</v>
      </c>
      <c r="AF1313" t="s">
        <v>45</v>
      </c>
    </row>
    <row r="1314" spans="1:32" x14ac:dyDescent="0.25">
      <c r="A1314">
        <v>259</v>
      </c>
      <c r="B1314">
        <v>52</v>
      </c>
      <c r="C1314" t="s">
        <v>43</v>
      </c>
      <c r="D1314" t="s">
        <v>33</v>
      </c>
      <c r="E1314" t="s">
        <v>34</v>
      </c>
      <c r="F1314" t="s">
        <v>35</v>
      </c>
      <c r="G1314" t="s">
        <v>50</v>
      </c>
      <c r="H1314" t="s">
        <v>37</v>
      </c>
      <c r="I1314" t="s">
        <v>38</v>
      </c>
      <c r="J1314" t="s">
        <v>69</v>
      </c>
      <c r="K1314">
        <v>3</v>
      </c>
      <c r="L1314">
        <v>3</v>
      </c>
      <c r="M1314" t="s">
        <v>48</v>
      </c>
      <c r="N1314" t="s">
        <v>61</v>
      </c>
      <c r="O1314" t="s">
        <v>36</v>
      </c>
      <c r="P1314" t="s">
        <v>43</v>
      </c>
      <c r="Q1314">
        <v>14</v>
      </c>
      <c r="R1314">
        <v>0</v>
      </c>
      <c r="S1314">
        <v>34</v>
      </c>
      <c r="T1314">
        <v>11</v>
      </c>
      <c r="U1314">
        <v>9</v>
      </c>
      <c r="V1314">
        <v>1</v>
      </c>
      <c r="W1314">
        <v>65</v>
      </c>
      <c r="X1314">
        <v>699</v>
      </c>
      <c r="Y1314">
        <v>5678</v>
      </c>
      <c r="Z1314">
        <v>19999</v>
      </c>
      <c r="AA1314">
        <v>5</v>
      </c>
      <c r="AB1314">
        <v>26033</v>
      </c>
      <c r="AC1314" s="10">
        <v>32879</v>
      </c>
      <c r="AD1314" s="10" t="s">
        <v>72</v>
      </c>
      <c r="AE1314" t="s">
        <v>72</v>
      </c>
      <c r="AF1314" t="s">
        <v>45</v>
      </c>
    </row>
    <row r="1315" spans="1:32" x14ac:dyDescent="0.25">
      <c r="A1315">
        <v>549</v>
      </c>
      <c r="B1315">
        <v>60</v>
      </c>
      <c r="C1315" t="s">
        <v>43</v>
      </c>
      <c r="D1315" t="s">
        <v>33</v>
      </c>
      <c r="E1315" t="s">
        <v>34</v>
      </c>
      <c r="F1315" t="s">
        <v>49</v>
      </c>
      <c r="G1315" t="s">
        <v>36</v>
      </c>
      <c r="H1315" t="s">
        <v>47</v>
      </c>
      <c r="I1315" t="s">
        <v>50</v>
      </c>
      <c r="J1315" t="s">
        <v>69</v>
      </c>
      <c r="K1315">
        <v>1</v>
      </c>
      <c r="L1315">
        <v>3</v>
      </c>
      <c r="M1315" t="s">
        <v>40</v>
      </c>
      <c r="N1315" t="s">
        <v>61</v>
      </c>
      <c r="O1315" t="s">
        <v>42</v>
      </c>
      <c r="P1315" t="s">
        <v>43</v>
      </c>
      <c r="Q1315">
        <v>11</v>
      </c>
      <c r="R1315">
        <v>5</v>
      </c>
      <c r="S1315">
        <v>33</v>
      </c>
      <c r="T1315">
        <v>11</v>
      </c>
      <c r="U1315">
        <v>10</v>
      </c>
      <c r="V1315">
        <v>7</v>
      </c>
      <c r="W1315">
        <v>41</v>
      </c>
      <c r="X1315">
        <v>422</v>
      </c>
      <c r="Y1315">
        <v>3854</v>
      </c>
      <c r="Z1315">
        <v>19566</v>
      </c>
      <c r="AA1315">
        <v>5</v>
      </c>
      <c r="AB1315">
        <v>22925</v>
      </c>
      <c r="AC1315" s="10">
        <v>34375</v>
      </c>
      <c r="AD1315" s="10" t="s">
        <v>72</v>
      </c>
      <c r="AE1315" t="s">
        <v>72</v>
      </c>
      <c r="AF1315" t="s">
        <v>45</v>
      </c>
    </row>
    <row r="1316" spans="1:32" x14ac:dyDescent="0.25">
      <c r="A1316">
        <v>569</v>
      </c>
      <c r="B1316">
        <v>50</v>
      </c>
      <c r="C1316" t="s">
        <v>43</v>
      </c>
      <c r="D1316" t="s">
        <v>33</v>
      </c>
      <c r="E1316" t="s">
        <v>34</v>
      </c>
      <c r="F1316" t="s">
        <v>35</v>
      </c>
      <c r="G1316" t="s">
        <v>38</v>
      </c>
      <c r="H1316" t="s">
        <v>37</v>
      </c>
      <c r="I1316" t="s">
        <v>38</v>
      </c>
      <c r="J1316" t="s">
        <v>69</v>
      </c>
      <c r="K1316">
        <v>3</v>
      </c>
      <c r="L1316">
        <v>3</v>
      </c>
      <c r="M1316" t="s">
        <v>48</v>
      </c>
      <c r="N1316" t="s">
        <v>61</v>
      </c>
      <c r="O1316" t="s">
        <v>36</v>
      </c>
      <c r="P1316" t="s">
        <v>43</v>
      </c>
      <c r="Q1316">
        <v>15</v>
      </c>
      <c r="R1316">
        <v>0</v>
      </c>
      <c r="S1316">
        <v>28</v>
      </c>
      <c r="T1316">
        <v>15</v>
      </c>
      <c r="U1316">
        <v>7</v>
      </c>
      <c r="V1316">
        <v>29</v>
      </c>
      <c r="W1316">
        <v>88</v>
      </c>
      <c r="X1316">
        <v>1099</v>
      </c>
      <c r="Y1316">
        <v>9314</v>
      </c>
      <c r="Z1316">
        <v>17046</v>
      </c>
      <c r="AA1316">
        <v>2</v>
      </c>
      <c r="AB1316">
        <v>26776</v>
      </c>
      <c r="AC1316" s="10">
        <v>35022</v>
      </c>
      <c r="AD1316" s="10" t="s">
        <v>72</v>
      </c>
      <c r="AE1316" t="s">
        <v>72</v>
      </c>
      <c r="AF1316" t="s">
        <v>45</v>
      </c>
    </row>
    <row r="1317" spans="1:32" x14ac:dyDescent="0.25">
      <c r="A1317">
        <v>80</v>
      </c>
      <c r="B1317">
        <v>50</v>
      </c>
      <c r="C1317" t="s">
        <v>43</v>
      </c>
      <c r="D1317" t="s">
        <v>33</v>
      </c>
      <c r="E1317" t="s">
        <v>34</v>
      </c>
      <c r="F1317" t="s">
        <v>67</v>
      </c>
      <c r="G1317" t="s">
        <v>38</v>
      </c>
      <c r="H1317" t="s">
        <v>47</v>
      </c>
      <c r="I1317" t="s">
        <v>38</v>
      </c>
      <c r="J1317" t="s">
        <v>71</v>
      </c>
      <c r="K1317">
        <v>3</v>
      </c>
      <c r="L1317">
        <v>3</v>
      </c>
      <c r="M1317" t="s">
        <v>60</v>
      </c>
      <c r="N1317" t="s">
        <v>52</v>
      </c>
      <c r="O1317" t="s">
        <v>36</v>
      </c>
      <c r="P1317" t="s">
        <v>32</v>
      </c>
      <c r="Q1317">
        <v>12</v>
      </c>
      <c r="R1317">
        <v>5</v>
      </c>
      <c r="S1317">
        <v>29</v>
      </c>
      <c r="T1317">
        <v>13</v>
      </c>
      <c r="U1317">
        <v>8</v>
      </c>
      <c r="V1317">
        <v>7</v>
      </c>
      <c r="W1317">
        <v>43</v>
      </c>
      <c r="X1317">
        <v>989</v>
      </c>
      <c r="Y1317">
        <v>16701</v>
      </c>
      <c r="Z1317">
        <v>18740</v>
      </c>
      <c r="AA1317">
        <v>2</v>
      </c>
      <c r="AB1317">
        <v>26687</v>
      </c>
      <c r="AC1317" s="10">
        <v>35103</v>
      </c>
      <c r="AD1317" s="10" t="s">
        <v>72</v>
      </c>
      <c r="AE1317" t="s">
        <v>72</v>
      </c>
      <c r="AF1317" t="s">
        <v>45</v>
      </c>
    </row>
    <row r="1318" spans="1:32" x14ac:dyDescent="0.25">
      <c r="A1318">
        <v>820</v>
      </c>
      <c r="B1318">
        <v>47</v>
      </c>
      <c r="C1318" t="s">
        <v>43</v>
      </c>
      <c r="D1318" t="s">
        <v>33</v>
      </c>
      <c r="E1318" t="s">
        <v>34</v>
      </c>
      <c r="F1318" t="s">
        <v>67</v>
      </c>
      <c r="G1318" t="s">
        <v>50</v>
      </c>
      <c r="H1318" t="s">
        <v>47</v>
      </c>
      <c r="I1318" t="s">
        <v>50</v>
      </c>
      <c r="J1318" t="s">
        <v>69</v>
      </c>
      <c r="K1318">
        <v>4</v>
      </c>
      <c r="L1318">
        <v>3</v>
      </c>
      <c r="M1318" t="s">
        <v>60</v>
      </c>
      <c r="N1318" t="s">
        <v>61</v>
      </c>
      <c r="O1318" t="s">
        <v>36</v>
      </c>
      <c r="P1318" t="s">
        <v>32</v>
      </c>
      <c r="Q1318">
        <v>11</v>
      </c>
      <c r="R1318">
        <v>1</v>
      </c>
      <c r="S1318">
        <v>26</v>
      </c>
      <c r="T1318">
        <v>3</v>
      </c>
      <c r="U1318">
        <v>0</v>
      </c>
      <c r="V1318">
        <v>2</v>
      </c>
      <c r="W1318">
        <v>33</v>
      </c>
      <c r="X1318">
        <v>202</v>
      </c>
      <c r="Y1318">
        <v>12982</v>
      </c>
      <c r="Z1318">
        <v>16752</v>
      </c>
      <c r="AA1318">
        <v>3</v>
      </c>
      <c r="AB1318">
        <v>27700</v>
      </c>
      <c r="AC1318" s="10">
        <v>35399</v>
      </c>
      <c r="AD1318" s="10" t="s">
        <v>72</v>
      </c>
      <c r="AE1318" t="s">
        <v>72</v>
      </c>
      <c r="AF1318" t="s">
        <v>45</v>
      </c>
    </row>
    <row r="1319" spans="1:32" x14ac:dyDescent="0.25">
      <c r="A1319">
        <v>520</v>
      </c>
      <c r="B1319">
        <v>43</v>
      </c>
      <c r="C1319" t="s">
        <v>43</v>
      </c>
      <c r="D1319" t="s">
        <v>33</v>
      </c>
      <c r="E1319" t="s">
        <v>34</v>
      </c>
      <c r="F1319" t="s">
        <v>49</v>
      </c>
      <c r="G1319" t="s">
        <v>36</v>
      </c>
      <c r="H1319" t="s">
        <v>37</v>
      </c>
      <c r="I1319" t="s">
        <v>38</v>
      </c>
      <c r="J1319" t="s">
        <v>71</v>
      </c>
      <c r="K1319">
        <v>2</v>
      </c>
      <c r="L1319">
        <v>3</v>
      </c>
      <c r="M1319" t="s">
        <v>48</v>
      </c>
      <c r="N1319" t="s">
        <v>52</v>
      </c>
      <c r="O1319" t="s">
        <v>36</v>
      </c>
      <c r="P1319" t="s">
        <v>43</v>
      </c>
      <c r="Q1319">
        <v>11</v>
      </c>
      <c r="R1319">
        <v>1</v>
      </c>
      <c r="S1319">
        <v>25</v>
      </c>
      <c r="T1319">
        <v>3</v>
      </c>
      <c r="U1319">
        <v>9</v>
      </c>
      <c r="V1319">
        <v>12</v>
      </c>
      <c r="W1319">
        <v>59</v>
      </c>
      <c r="X1319">
        <v>982</v>
      </c>
      <c r="Y1319">
        <v>4345</v>
      </c>
      <c r="Z1319">
        <v>14336</v>
      </c>
      <c r="AA1319">
        <v>3</v>
      </c>
      <c r="AB1319">
        <v>29382</v>
      </c>
      <c r="AC1319" s="10">
        <v>35837</v>
      </c>
      <c r="AD1319" s="10" t="s">
        <v>72</v>
      </c>
      <c r="AE1319" t="s">
        <v>72</v>
      </c>
      <c r="AF1319" t="s">
        <v>45</v>
      </c>
    </row>
    <row r="1320" spans="1:32" x14ac:dyDescent="0.25">
      <c r="A1320">
        <v>1288</v>
      </c>
      <c r="B1320">
        <v>44</v>
      </c>
      <c r="C1320" t="s">
        <v>43</v>
      </c>
      <c r="D1320" t="s">
        <v>33</v>
      </c>
      <c r="E1320" t="s">
        <v>34</v>
      </c>
      <c r="F1320" t="s">
        <v>67</v>
      </c>
      <c r="G1320" t="s">
        <v>50</v>
      </c>
      <c r="H1320" t="s">
        <v>37</v>
      </c>
      <c r="I1320" t="s">
        <v>59</v>
      </c>
      <c r="J1320" t="s">
        <v>69</v>
      </c>
      <c r="K1320">
        <v>1</v>
      </c>
      <c r="L1320">
        <v>3</v>
      </c>
      <c r="M1320" t="s">
        <v>60</v>
      </c>
      <c r="N1320" t="s">
        <v>52</v>
      </c>
      <c r="O1320" t="s">
        <v>53</v>
      </c>
      <c r="P1320" t="s">
        <v>43</v>
      </c>
      <c r="Q1320">
        <v>14</v>
      </c>
      <c r="R1320">
        <v>1</v>
      </c>
      <c r="S1320">
        <v>26</v>
      </c>
      <c r="T1320">
        <v>14</v>
      </c>
      <c r="U1320">
        <v>13</v>
      </c>
      <c r="V1320">
        <v>4</v>
      </c>
      <c r="W1320">
        <v>92</v>
      </c>
      <c r="X1320">
        <v>1199</v>
      </c>
      <c r="Y1320">
        <v>17477</v>
      </c>
      <c r="Z1320">
        <v>19190</v>
      </c>
      <c r="AA1320">
        <v>4</v>
      </c>
      <c r="AB1320">
        <v>29038</v>
      </c>
      <c r="AC1320" s="10">
        <v>35953</v>
      </c>
      <c r="AD1320" s="10" t="s">
        <v>72</v>
      </c>
      <c r="AE1320" t="s">
        <v>72</v>
      </c>
      <c r="AF1320" t="s">
        <v>45</v>
      </c>
    </row>
    <row r="1321" spans="1:32" x14ac:dyDescent="0.25">
      <c r="A1321">
        <v>254</v>
      </c>
      <c r="B1321">
        <v>55</v>
      </c>
      <c r="C1321" t="s">
        <v>43</v>
      </c>
      <c r="D1321" t="s">
        <v>33</v>
      </c>
      <c r="E1321" t="s">
        <v>34</v>
      </c>
      <c r="F1321" t="s">
        <v>35</v>
      </c>
      <c r="G1321" t="s">
        <v>50</v>
      </c>
      <c r="H1321" t="s">
        <v>37</v>
      </c>
      <c r="I1321" t="s">
        <v>59</v>
      </c>
      <c r="J1321" t="s">
        <v>71</v>
      </c>
      <c r="K1321">
        <v>2</v>
      </c>
      <c r="L1321">
        <v>3</v>
      </c>
      <c r="M1321" t="s">
        <v>48</v>
      </c>
      <c r="N1321" t="s">
        <v>41</v>
      </c>
      <c r="O1321" t="s">
        <v>42</v>
      </c>
      <c r="P1321" t="s">
        <v>43</v>
      </c>
      <c r="Q1321">
        <v>11</v>
      </c>
      <c r="R1321">
        <v>8</v>
      </c>
      <c r="S1321">
        <v>36</v>
      </c>
      <c r="T1321">
        <v>2</v>
      </c>
      <c r="U1321">
        <v>15</v>
      </c>
      <c r="V1321">
        <v>14</v>
      </c>
      <c r="W1321">
        <v>61</v>
      </c>
      <c r="X1321">
        <v>692</v>
      </c>
      <c r="Y1321">
        <v>13339</v>
      </c>
      <c r="Z1321">
        <v>18722</v>
      </c>
      <c r="AA1321">
        <v>3</v>
      </c>
      <c r="AB1321">
        <v>24731</v>
      </c>
      <c r="AC1321" s="10">
        <v>36122</v>
      </c>
      <c r="AD1321" s="10" t="s">
        <v>72</v>
      </c>
      <c r="AE1321" t="s">
        <v>72</v>
      </c>
      <c r="AF1321" t="s">
        <v>45</v>
      </c>
    </row>
    <row r="1322" spans="1:32" x14ac:dyDescent="0.25">
      <c r="A1322">
        <v>36</v>
      </c>
      <c r="B1322">
        <v>44</v>
      </c>
      <c r="C1322" t="s">
        <v>43</v>
      </c>
      <c r="D1322" t="s">
        <v>33</v>
      </c>
      <c r="E1322" t="s">
        <v>34</v>
      </c>
      <c r="F1322" t="s">
        <v>35</v>
      </c>
      <c r="G1322" t="s">
        <v>36</v>
      </c>
      <c r="H1322" t="s">
        <v>47</v>
      </c>
      <c r="I1322" t="s">
        <v>38</v>
      </c>
      <c r="J1322" t="s">
        <v>62</v>
      </c>
      <c r="K1322">
        <v>4</v>
      </c>
      <c r="L1322">
        <v>3</v>
      </c>
      <c r="M1322" t="s">
        <v>48</v>
      </c>
      <c r="N1322" t="s">
        <v>61</v>
      </c>
      <c r="O1322" t="s">
        <v>36</v>
      </c>
      <c r="P1322" t="s">
        <v>43</v>
      </c>
      <c r="Q1322">
        <v>14</v>
      </c>
      <c r="R1322">
        <v>3</v>
      </c>
      <c r="S1322">
        <v>24</v>
      </c>
      <c r="T1322">
        <v>5</v>
      </c>
      <c r="U1322">
        <v>17</v>
      </c>
      <c r="V1322">
        <v>7</v>
      </c>
      <c r="W1322">
        <v>42</v>
      </c>
      <c r="X1322">
        <v>477</v>
      </c>
      <c r="Y1322">
        <v>2094</v>
      </c>
      <c r="Z1322">
        <v>10248</v>
      </c>
      <c r="AA1322">
        <v>4</v>
      </c>
      <c r="AB1322">
        <v>29045</v>
      </c>
      <c r="AC1322" s="10">
        <v>36879</v>
      </c>
      <c r="AD1322" s="10" t="s">
        <v>72</v>
      </c>
      <c r="AE1322" t="s">
        <v>72</v>
      </c>
      <c r="AF1322" t="s">
        <v>45</v>
      </c>
    </row>
    <row r="1323" spans="1:32" x14ac:dyDescent="0.25">
      <c r="A1323">
        <v>2031</v>
      </c>
      <c r="B1323">
        <v>42</v>
      </c>
      <c r="C1323" t="s">
        <v>43</v>
      </c>
      <c r="D1323" t="s">
        <v>33</v>
      </c>
      <c r="E1323" t="s">
        <v>34</v>
      </c>
      <c r="F1323" t="s">
        <v>49</v>
      </c>
      <c r="G1323" t="s">
        <v>36</v>
      </c>
      <c r="H1323" t="s">
        <v>37</v>
      </c>
      <c r="I1323" t="s">
        <v>50</v>
      </c>
      <c r="J1323" t="s">
        <v>69</v>
      </c>
      <c r="K1323">
        <v>3</v>
      </c>
      <c r="L1323">
        <v>3</v>
      </c>
      <c r="M1323" t="s">
        <v>60</v>
      </c>
      <c r="N1323" t="s">
        <v>61</v>
      </c>
      <c r="O1323" t="s">
        <v>42</v>
      </c>
      <c r="P1323" t="s">
        <v>43</v>
      </c>
      <c r="Q1323">
        <v>11</v>
      </c>
      <c r="R1323">
        <v>5</v>
      </c>
      <c r="S1323">
        <v>24</v>
      </c>
      <c r="T1323">
        <v>4</v>
      </c>
      <c r="U1323">
        <v>14</v>
      </c>
      <c r="V1323">
        <v>2</v>
      </c>
      <c r="W1323">
        <v>56</v>
      </c>
      <c r="X1323">
        <v>300</v>
      </c>
      <c r="Y1323">
        <v>17312</v>
      </c>
      <c r="Z1323">
        <v>18880</v>
      </c>
      <c r="AA1323">
        <v>2</v>
      </c>
      <c r="AB1323">
        <v>29700</v>
      </c>
      <c r="AC1323" s="10">
        <v>36915</v>
      </c>
      <c r="AD1323" s="10" t="s">
        <v>72</v>
      </c>
      <c r="AE1323" t="s">
        <v>72</v>
      </c>
      <c r="AF1323" t="s">
        <v>45</v>
      </c>
    </row>
    <row r="1324" spans="1:32" x14ac:dyDescent="0.25">
      <c r="A1324">
        <v>319</v>
      </c>
      <c r="B1324">
        <v>42</v>
      </c>
      <c r="C1324" t="s">
        <v>43</v>
      </c>
      <c r="D1324" t="s">
        <v>33</v>
      </c>
      <c r="E1324" t="s">
        <v>34</v>
      </c>
      <c r="F1324" t="s">
        <v>67</v>
      </c>
      <c r="G1324" t="s">
        <v>50</v>
      </c>
      <c r="H1324" t="s">
        <v>37</v>
      </c>
      <c r="I1324" t="s">
        <v>50</v>
      </c>
      <c r="J1324" t="s">
        <v>69</v>
      </c>
      <c r="K1324">
        <v>4</v>
      </c>
      <c r="L1324">
        <v>3</v>
      </c>
      <c r="M1324" t="s">
        <v>48</v>
      </c>
      <c r="N1324" t="s">
        <v>61</v>
      </c>
      <c r="O1324" t="s">
        <v>42</v>
      </c>
      <c r="P1324" t="s">
        <v>43</v>
      </c>
      <c r="Q1324">
        <v>11</v>
      </c>
      <c r="R1324">
        <v>1</v>
      </c>
      <c r="S1324">
        <v>22</v>
      </c>
      <c r="T1324">
        <v>11</v>
      </c>
      <c r="U1324">
        <v>15</v>
      </c>
      <c r="V1324">
        <v>4</v>
      </c>
      <c r="W1324">
        <v>58</v>
      </c>
      <c r="X1324">
        <v>532</v>
      </c>
      <c r="Y1324">
        <v>4933</v>
      </c>
      <c r="Z1324">
        <v>19232</v>
      </c>
      <c r="AA1324">
        <v>3</v>
      </c>
      <c r="AB1324">
        <v>29676</v>
      </c>
      <c r="AC1324" s="10">
        <v>36990</v>
      </c>
      <c r="AD1324" s="10" t="s">
        <v>72</v>
      </c>
      <c r="AE1324" t="s">
        <v>72</v>
      </c>
      <c r="AF1324" t="s">
        <v>45</v>
      </c>
    </row>
    <row r="1325" spans="1:32" x14ac:dyDescent="0.25">
      <c r="A1325">
        <v>1867</v>
      </c>
      <c r="B1325">
        <v>48</v>
      </c>
      <c r="C1325" t="s">
        <v>43</v>
      </c>
      <c r="D1325" t="s">
        <v>33</v>
      </c>
      <c r="E1325" t="s">
        <v>34</v>
      </c>
      <c r="F1325" t="s">
        <v>49</v>
      </c>
      <c r="G1325" t="s">
        <v>59</v>
      </c>
      <c r="H1325" t="s">
        <v>37</v>
      </c>
      <c r="I1325" t="s">
        <v>38</v>
      </c>
      <c r="J1325" t="s">
        <v>71</v>
      </c>
      <c r="K1325">
        <v>2</v>
      </c>
      <c r="L1325">
        <v>3</v>
      </c>
      <c r="M1325" t="s">
        <v>48</v>
      </c>
      <c r="N1325" t="s">
        <v>61</v>
      </c>
      <c r="O1325" t="s">
        <v>42</v>
      </c>
      <c r="P1325" t="s">
        <v>43</v>
      </c>
      <c r="Q1325">
        <v>12</v>
      </c>
      <c r="R1325">
        <v>4</v>
      </c>
      <c r="S1325">
        <v>29</v>
      </c>
      <c r="T1325">
        <v>12</v>
      </c>
      <c r="U1325">
        <v>9</v>
      </c>
      <c r="V1325">
        <v>10</v>
      </c>
      <c r="W1325">
        <v>91</v>
      </c>
      <c r="X1325">
        <v>1224</v>
      </c>
      <c r="Y1325">
        <v>13583</v>
      </c>
      <c r="Z1325">
        <v>19665</v>
      </c>
      <c r="AA1325">
        <v>3</v>
      </c>
      <c r="AB1325">
        <v>27490</v>
      </c>
      <c r="AC1325" s="10">
        <v>37005</v>
      </c>
      <c r="AD1325" s="10" t="s">
        <v>72</v>
      </c>
      <c r="AE1325" t="s">
        <v>72</v>
      </c>
      <c r="AF1325" t="s">
        <v>45</v>
      </c>
    </row>
    <row r="1326" spans="1:32" x14ac:dyDescent="0.25">
      <c r="A1326">
        <v>1109</v>
      </c>
      <c r="B1326">
        <v>42</v>
      </c>
      <c r="C1326" t="s">
        <v>43</v>
      </c>
      <c r="D1326" t="s">
        <v>33</v>
      </c>
      <c r="E1326" t="s">
        <v>34</v>
      </c>
      <c r="F1326" t="s">
        <v>67</v>
      </c>
      <c r="G1326" t="s">
        <v>59</v>
      </c>
      <c r="H1326" t="s">
        <v>37</v>
      </c>
      <c r="I1326" t="s">
        <v>50</v>
      </c>
      <c r="J1326" t="s">
        <v>69</v>
      </c>
      <c r="K1326">
        <v>1</v>
      </c>
      <c r="L1326">
        <v>3</v>
      </c>
      <c r="M1326" t="s">
        <v>48</v>
      </c>
      <c r="N1326" t="s">
        <v>61</v>
      </c>
      <c r="O1326" t="s">
        <v>36</v>
      </c>
      <c r="P1326" t="s">
        <v>43</v>
      </c>
      <c r="Q1326">
        <v>17</v>
      </c>
      <c r="R1326">
        <v>0</v>
      </c>
      <c r="S1326">
        <v>23</v>
      </c>
      <c r="T1326">
        <v>13</v>
      </c>
      <c r="U1326">
        <v>7</v>
      </c>
      <c r="V1326">
        <v>2</v>
      </c>
      <c r="W1326">
        <v>35</v>
      </c>
      <c r="X1326">
        <v>469</v>
      </c>
      <c r="Y1326">
        <v>14399</v>
      </c>
      <c r="Z1326">
        <v>17665</v>
      </c>
      <c r="AA1326">
        <v>3</v>
      </c>
      <c r="AB1326">
        <v>29719</v>
      </c>
      <c r="AC1326" s="10">
        <v>37043</v>
      </c>
      <c r="AD1326" s="10" t="s">
        <v>72</v>
      </c>
      <c r="AE1326" t="s">
        <v>72</v>
      </c>
      <c r="AF1326" t="s">
        <v>45</v>
      </c>
    </row>
    <row r="1327" spans="1:32" x14ac:dyDescent="0.25">
      <c r="A1327">
        <v>1827</v>
      </c>
      <c r="B1327">
        <v>47</v>
      </c>
      <c r="C1327" t="s">
        <v>43</v>
      </c>
      <c r="D1327" t="s">
        <v>33</v>
      </c>
      <c r="E1327" t="s">
        <v>34</v>
      </c>
      <c r="F1327" t="s">
        <v>49</v>
      </c>
      <c r="G1327" t="s">
        <v>50</v>
      </c>
      <c r="H1327" t="s">
        <v>47</v>
      </c>
      <c r="I1327" t="s">
        <v>38</v>
      </c>
      <c r="J1327" t="s">
        <v>65</v>
      </c>
      <c r="K1327">
        <v>2</v>
      </c>
      <c r="L1327">
        <v>3</v>
      </c>
      <c r="M1327" t="s">
        <v>48</v>
      </c>
      <c r="N1327" t="s">
        <v>52</v>
      </c>
      <c r="O1327" t="s">
        <v>36</v>
      </c>
      <c r="P1327" t="s">
        <v>32</v>
      </c>
      <c r="Q1327">
        <v>12</v>
      </c>
      <c r="R1327">
        <v>8</v>
      </c>
      <c r="S1327">
        <v>28</v>
      </c>
      <c r="T1327">
        <v>14</v>
      </c>
      <c r="U1327">
        <v>10</v>
      </c>
      <c r="V1327">
        <v>4</v>
      </c>
      <c r="W1327">
        <v>92</v>
      </c>
      <c r="X1327">
        <v>1001</v>
      </c>
      <c r="Y1327">
        <v>19271</v>
      </c>
      <c r="Z1327">
        <v>10333</v>
      </c>
      <c r="AA1327">
        <v>4</v>
      </c>
      <c r="AB1327">
        <v>27905</v>
      </c>
      <c r="AC1327" s="10">
        <v>37098</v>
      </c>
      <c r="AD1327" s="10" t="s">
        <v>72</v>
      </c>
      <c r="AE1327" t="s">
        <v>72</v>
      </c>
      <c r="AF1327" t="s">
        <v>45</v>
      </c>
    </row>
    <row r="1328" spans="1:32" x14ac:dyDescent="0.25">
      <c r="A1328">
        <v>1026</v>
      </c>
      <c r="B1328">
        <v>39</v>
      </c>
      <c r="C1328" t="s">
        <v>43</v>
      </c>
      <c r="D1328" t="s">
        <v>33</v>
      </c>
      <c r="E1328" t="s">
        <v>34</v>
      </c>
      <c r="F1328" t="s">
        <v>64</v>
      </c>
      <c r="G1328" t="s">
        <v>59</v>
      </c>
      <c r="H1328" t="s">
        <v>47</v>
      </c>
      <c r="I1328" t="s">
        <v>38</v>
      </c>
      <c r="J1328" t="s">
        <v>65</v>
      </c>
      <c r="K1328">
        <v>4</v>
      </c>
      <c r="L1328">
        <v>3</v>
      </c>
      <c r="M1328" t="s">
        <v>48</v>
      </c>
      <c r="N1328" t="s">
        <v>61</v>
      </c>
      <c r="O1328" t="s">
        <v>36</v>
      </c>
      <c r="P1328" t="s">
        <v>43</v>
      </c>
      <c r="Q1328">
        <v>16</v>
      </c>
      <c r="R1328">
        <v>1</v>
      </c>
      <c r="S1328">
        <v>21</v>
      </c>
      <c r="T1328">
        <v>11</v>
      </c>
      <c r="U1328">
        <v>8</v>
      </c>
      <c r="V1328">
        <v>1</v>
      </c>
      <c r="W1328">
        <v>65</v>
      </c>
      <c r="X1328">
        <v>466</v>
      </c>
      <c r="Y1328">
        <v>7060</v>
      </c>
      <c r="Z1328">
        <v>12742</v>
      </c>
      <c r="AA1328">
        <v>3</v>
      </c>
      <c r="AB1328">
        <v>30770</v>
      </c>
      <c r="AC1328" s="10">
        <v>37147</v>
      </c>
      <c r="AD1328" s="10" t="s">
        <v>72</v>
      </c>
      <c r="AE1328" t="s">
        <v>72</v>
      </c>
      <c r="AF1328" t="s">
        <v>55</v>
      </c>
    </row>
    <row r="1329" spans="1:32" x14ac:dyDescent="0.25">
      <c r="A1329">
        <v>1719</v>
      </c>
      <c r="B1329">
        <v>45</v>
      </c>
      <c r="C1329" t="s">
        <v>43</v>
      </c>
      <c r="D1329" t="s">
        <v>33</v>
      </c>
      <c r="E1329" t="s">
        <v>34</v>
      </c>
      <c r="F1329" t="s">
        <v>67</v>
      </c>
      <c r="G1329" t="s">
        <v>59</v>
      </c>
      <c r="H1329" t="s">
        <v>47</v>
      </c>
      <c r="I1329" t="s">
        <v>38</v>
      </c>
      <c r="J1329" t="s">
        <v>71</v>
      </c>
      <c r="K1329">
        <v>2</v>
      </c>
      <c r="L1329">
        <v>3</v>
      </c>
      <c r="M1329" t="s">
        <v>48</v>
      </c>
      <c r="N1329" t="s">
        <v>41</v>
      </c>
      <c r="O1329" t="s">
        <v>42</v>
      </c>
      <c r="P1329" t="s">
        <v>43</v>
      </c>
      <c r="Q1329">
        <v>11</v>
      </c>
      <c r="R1329">
        <v>1</v>
      </c>
      <c r="S1329">
        <v>21</v>
      </c>
      <c r="T1329">
        <v>8</v>
      </c>
      <c r="U1329">
        <v>6</v>
      </c>
      <c r="V1329">
        <v>28</v>
      </c>
      <c r="W1329">
        <v>48</v>
      </c>
      <c r="X1329">
        <v>1005</v>
      </c>
      <c r="Y1329">
        <v>17119</v>
      </c>
      <c r="Z1329">
        <v>16704</v>
      </c>
      <c r="AA1329">
        <v>2</v>
      </c>
      <c r="AB1329">
        <v>28617</v>
      </c>
      <c r="AC1329" s="10">
        <v>37161</v>
      </c>
      <c r="AD1329" s="10" t="s">
        <v>72</v>
      </c>
      <c r="AE1329" t="s">
        <v>72</v>
      </c>
      <c r="AF1329" t="s">
        <v>45</v>
      </c>
    </row>
    <row r="1330" spans="1:32" x14ac:dyDescent="0.25">
      <c r="A1330">
        <v>429</v>
      </c>
      <c r="B1330">
        <v>39</v>
      </c>
      <c r="C1330" t="s">
        <v>43</v>
      </c>
      <c r="D1330" t="s">
        <v>33</v>
      </c>
      <c r="E1330" t="s">
        <v>34</v>
      </c>
      <c r="F1330" t="s">
        <v>64</v>
      </c>
      <c r="G1330" t="s">
        <v>50</v>
      </c>
      <c r="H1330" t="s">
        <v>37</v>
      </c>
      <c r="I1330" t="s">
        <v>50</v>
      </c>
      <c r="J1330" t="s">
        <v>69</v>
      </c>
      <c r="K1330">
        <v>1</v>
      </c>
      <c r="L1330">
        <v>3</v>
      </c>
      <c r="M1330" t="s">
        <v>48</v>
      </c>
      <c r="N1330" t="s">
        <v>61</v>
      </c>
      <c r="O1330" t="s">
        <v>42</v>
      </c>
      <c r="P1330" t="s">
        <v>32</v>
      </c>
      <c r="Q1330">
        <v>14</v>
      </c>
      <c r="R1330">
        <v>1</v>
      </c>
      <c r="S1330">
        <v>21</v>
      </c>
      <c r="T1330">
        <v>11</v>
      </c>
      <c r="U1330">
        <v>10</v>
      </c>
      <c r="V1330">
        <v>10</v>
      </c>
      <c r="W1330">
        <v>99</v>
      </c>
      <c r="X1330">
        <v>117</v>
      </c>
      <c r="Y1330">
        <v>5355</v>
      </c>
      <c r="Z1330">
        <v>17068</v>
      </c>
      <c r="AA1330">
        <v>3</v>
      </c>
      <c r="AB1330">
        <v>30761</v>
      </c>
      <c r="AC1330" s="10">
        <v>37224</v>
      </c>
      <c r="AD1330" s="10" t="s">
        <v>72</v>
      </c>
      <c r="AE1330" t="s">
        <v>72</v>
      </c>
      <c r="AF1330" t="s">
        <v>45</v>
      </c>
    </row>
    <row r="1331" spans="1:32" x14ac:dyDescent="0.25">
      <c r="A1331">
        <v>352</v>
      </c>
      <c r="B1331">
        <v>40</v>
      </c>
      <c r="C1331" t="s">
        <v>43</v>
      </c>
      <c r="D1331" t="s">
        <v>33</v>
      </c>
      <c r="E1331" t="s">
        <v>34</v>
      </c>
      <c r="F1331" t="s">
        <v>67</v>
      </c>
      <c r="G1331" t="s">
        <v>36</v>
      </c>
      <c r="H1331" t="s">
        <v>37</v>
      </c>
      <c r="I1331" t="s">
        <v>50</v>
      </c>
      <c r="J1331" t="s">
        <v>71</v>
      </c>
      <c r="K1331">
        <v>3</v>
      </c>
      <c r="L1331">
        <v>3</v>
      </c>
      <c r="M1331" t="s">
        <v>48</v>
      </c>
      <c r="N1331" t="s">
        <v>52</v>
      </c>
      <c r="O1331" t="s">
        <v>36</v>
      </c>
      <c r="P1331" t="s">
        <v>43</v>
      </c>
      <c r="Q1331">
        <v>19</v>
      </c>
      <c r="R1331">
        <v>0</v>
      </c>
      <c r="S1331">
        <v>22</v>
      </c>
      <c r="T1331">
        <v>3</v>
      </c>
      <c r="U1331">
        <v>9</v>
      </c>
      <c r="V1331">
        <v>2</v>
      </c>
      <c r="W1331">
        <v>49</v>
      </c>
      <c r="X1331">
        <v>1416</v>
      </c>
      <c r="Y1331">
        <v>5949</v>
      </c>
      <c r="Z1331">
        <v>19436</v>
      </c>
      <c r="AA1331">
        <v>5</v>
      </c>
      <c r="AB1331">
        <v>30221</v>
      </c>
      <c r="AC1331" s="10">
        <v>37404</v>
      </c>
      <c r="AD1331" s="10" t="s">
        <v>72</v>
      </c>
      <c r="AE1331" t="s">
        <v>72</v>
      </c>
      <c r="AF1331" t="s">
        <v>45</v>
      </c>
    </row>
    <row r="1332" spans="1:32" x14ac:dyDescent="0.25">
      <c r="A1332">
        <v>1422</v>
      </c>
      <c r="B1332">
        <v>54</v>
      </c>
      <c r="C1332" t="s">
        <v>43</v>
      </c>
      <c r="D1332" t="s">
        <v>33</v>
      </c>
      <c r="E1332" t="s">
        <v>34</v>
      </c>
      <c r="F1332" t="s">
        <v>49</v>
      </c>
      <c r="G1332" t="s">
        <v>59</v>
      </c>
      <c r="H1332" t="s">
        <v>47</v>
      </c>
      <c r="I1332" t="s">
        <v>50</v>
      </c>
      <c r="J1332" t="s">
        <v>71</v>
      </c>
      <c r="K1332">
        <v>4</v>
      </c>
      <c r="L1332">
        <v>3</v>
      </c>
      <c r="M1332" t="s">
        <v>60</v>
      </c>
      <c r="N1332" t="s">
        <v>41</v>
      </c>
      <c r="O1332" t="s">
        <v>42</v>
      </c>
      <c r="P1332" t="s">
        <v>43</v>
      </c>
      <c r="Q1332">
        <v>19</v>
      </c>
      <c r="R1332">
        <v>6</v>
      </c>
      <c r="S1332">
        <v>29</v>
      </c>
      <c r="T1332">
        <v>12</v>
      </c>
      <c r="U1332">
        <v>7</v>
      </c>
      <c r="V1332">
        <v>1</v>
      </c>
      <c r="W1332">
        <v>54</v>
      </c>
      <c r="X1332">
        <v>971</v>
      </c>
      <c r="Y1332">
        <v>5652</v>
      </c>
      <c r="Z1332">
        <v>17328</v>
      </c>
      <c r="AA1332">
        <v>3</v>
      </c>
      <c r="AB1332">
        <v>25123</v>
      </c>
      <c r="AC1332" s="10">
        <v>37480</v>
      </c>
      <c r="AD1332" s="10" t="s">
        <v>72</v>
      </c>
      <c r="AE1332" t="s">
        <v>72</v>
      </c>
      <c r="AF1332" t="s">
        <v>45</v>
      </c>
    </row>
    <row r="1333" spans="1:32" x14ac:dyDescent="0.25">
      <c r="A1333">
        <v>162</v>
      </c>
      <c r="B1333">
        <v>51</v>
      </c>
      <c r="C1333" t="s">
        <v>43</v>
      </c>
      <c r="D1333" t="s">
        <v>33</v>
      </c>
      <c r="E1333" t="s">
        <v>34</v>
      </c>
      <c r="F1333" t="s">
        <v>49</v>
      </c>
      <c r="G1333" t="s">
        <v>36</v>
      </c>
      <c r="H1333" t="s">
        <v>37</v>
      </c>
      <c r="I1333" t="s">
        <v>50</v>
      </c>
      <c r="J1333" t="s">
        <v>71</v>
      </c>
      <c r="K1333">
        <v>3</v>
      </c>
      <c r="L1333">
        <v>3</v>
      </c>
      <c r="M1333" t="s">
        <v>48</v>
      </c>
      <c r="N1333" t="s">
        <v>41</v>
      </c>
      <c r="O1333" t="s">
        <v>42</v>
      </c>
      <c r="P1333" t="s">
        <v>43</v>
      </c>
      <c r="Q1333">
        <v>13</v>
      </c>
      <c r="R1333">
        <v>7</v>
      </c>
      <c r="S1333">
        <v>23</v>
      </c>
      <c r="T1333">
        <v>15</v>
      </c>
      <c r="U1333">
        <v>15</v>
      </c>
      <c r="V1333">
        <v>6</v>
      </c>
      <c r="W1333">
        <v>51</v>
      </c>
      <c r="X1333">
        <v>684</v>
      </c>
      <c r="Y1333">
        <v>6462</v>
      </c>
      <c r="Z1333">
        <v>19537</v>
      </c>
      <c r="AA1333">
        <v>5</v>
      </c>
      <c r="AB1333">
        <v>26180</v>
      </c>
      <c r="AC1333" s="10">
        <v>37535</v>
      </c>
      <c r="AD1333" s="10" t="s">
        <v>72</v>
      </c>
      <c r="AE1333" t="s">
        <v>72</v>
      </c>
      <c r="AF1333" t="s">
        <v>45</v>
      </c>
    </row>
    <row r="1334" spans="1:32" x14ac:dyDescent="0.25">
      <c r="A1334">
        <v>253</v>
      </c>
      <c r="B1334">
        <v>40</v>
      </c>
      <c r="C1334" t="s">
        <v>43</v>
      </c>
      <c r="D1334" t="s">
        <v>33</v>
      </c>
      <c r="E1334" t="s">
        <v>34</v>
      </c>
      <c r="F1334" t="s">
        <v>64</v>
      </c>
      <c r="G1334" t="s">
        <v>59</v>
      </c>
      <c r="H1334" t="s">
        <v>47</v>
      </c>
      <c r="I1334" t="s">
        <v>50</v>
      </c>
      <c r="J1334" t="s">
        <v>69</v>
      </c>
      <c r="K1334">
        <v>3</v>
      </c>
      <c r="L1334">
        <v>3</v>
      </c>
      <c r="M1334" t="s">
        <v>48</v>
      </c>
      <c r="N1334" t="s">
        <v>61</v>
      </c>
      <c r="O1334" t="s">
        <v>36</v>
      </c>
      <c r="P1334" t="s">
        <v>43</v>
      </c>
      <c r="Q1334">
        <v>14</v>
      </c>
      <c r="R1334">
        <v>1</v>
      </c>
      <c r="S1334">
        <v>21</v>
      </c>
      <c r="T1334">
        <v>9</v>
      </c>
      <c r="U1334">
        <v>9</v>
      </c>
      <c r="V1334">
        <v>4</v>
      </c>
      <c r="W1334">
        <v>46</v>
      </c>
      <c r="X1334">
        <v>989</v>
      </c>
      <c r="Y1334">
        <v>6499</v>
      </c>
      <c r="Z1334">
        <v>19033</v>
      </c>
      <c r="AA1334">
        <v>2</v>
      </c>
      <c r="AB1334">
        <v>30517</v>
      </c>
      <c r="AC1334" s="10">
        <v>37546</v>
      </c>
      <c r="AD1334" s="10" t="s">
        <v>72</v>
      </c>
      <c r="AE1334" t="s">
        <v>72</v>
      </c>
      <c r="AF1334" t="s">
        <v>45</v>
      </c>
    </row>
    <row r="1335" spans="1:32" x14ac:dyDescent="0.25">
      <c r="A1335">
        <v>1128</v>
      </c>
      <c r="B1335">
        <v>40</v>
      </c>
      <c r="C1335" t="s">
        <v>43</v>
      </c>
      <c r="D1335" t="s">
        <v>33</v>
      </c>
      <c r="E1335" t="s">
        <v>34</v>
      </c>
      <c r="F1335" t="s">
        <v>49</v>
      </c>
      <c r="G1335" t="s">
        <v>50</v>
      </c>
      <c r="H1335" t="s">
        <v>37</v>
      </c>
      <c r="I1335" t="s">
        <v>38</v>
      </c>
      <c r="J1335" t="s">
        <v>71</v>
      </c>
      <c r="K1335">
        <v>3</v>
      </c>
      <c r="L1335">
        <v>3</v>
      </c>
      <c r="M1335" t="s">
        <v>58</v>
      </c>
      <c r="N1335" t="s">
        <v>41</v>
      </c>
      <c r="O1335" t="s">
        <v>42</v>
      </c>
      <c r="P1335" t="s">
        <v>43</v>
      </c>
      <c r="Q1335">
        <v>14</v>
      </c>
      <c r="R1335">
        <v>1</v>
      </c>
      <c r="S1335">
        <v>21</v>
      </c>
      <c r="T1335">
        <v>4</v>
      </c>
      <c r="U1335">
        <v>9</v>
      </c>
      <c r="V1335">
        <v>14</v>
      </c>
      <c r="W1335">
        <v>44</v>
      </c>
      <c r="X1335">
        <v>1308</v>
      </c>
      <c r="Y1335">
        <v>17544</v>
      </c>
      <c r="Z1335">
        <v>19626</v>
      </c>
      <c r="AA1335">
        <v>2</v>
      </c>
      <c r="AB1335">
        <v>30401</v>
      </c>
      <c r="AC1335" s="10">
        <v>37557</v>
      </c>
      <c r="AD1335" s="10" t="s">
        <v>72</v>
      </c>
      <c r="AE1335" t="s">
        <v>72</v>
      </c>
      <c r="AF1335" t="s">
        <v>55</v>
      </c>
    </row>
    <row r="1336" spans="1:32" x14ac:dyDescent="0.25">
      <c r="A1336">
        <v>372</v>
      </c>
      <c r="B1336">
        <v>45</v>
      </c>
      <c r="C1336" t="s">
        <v>43</v>
      </c>
      <c r="D1336" t="s">
        <v>33</v>
      </c>
      <c r="E1336" t="s">
        <v>34</v>
      </c>
      <c r="F1336" t="s">
        <v>67</v>
      </c>
      <c r="G1336" t="s">
        <v>50</v>
      </c>
      <c r="H1336" t="s">
        <v>37</v>
      </c>
      <c r="I1336" t="s">
        <v>50</v>
      </c>
      <c r="J1336" t="s">
        <v>62</v>
      </c>
      <c r="K1336">
        <v>4</v>
      </c>
      <c r="L1336">
        <v>3</v>
      </c>
      <c r="M1336" t="s">
        <v>48</v>
      </c>
      <c r="N1336" t="s">
        <v>61</v>
      </c>
      <c r="O1336" t="s">
        <v>42</v>
      </c>
      <c r="P1336" t="s">
        <v>32</v>
      </c>
      <c r="Q1336">
        <v>14</v>
      </c>
      <c r="R1336">
        <v>0</v>
      </c>
      <c r="S1336">
        <v>21</v>
      </c>
      <c r="T1336">
        <v>4</v>
      </c>
      <c r="U1336">
        <v>10</v>
      </c>
      <c r="V1336">
        <v>20</v>
      </c>
      <c r="W1336">
        <v>79</v>
      </c>
      <c r="X1336">
        <v>1385</v>
      </c>
      <c r="Y1336">
        <v>7501</v>
      </c>
      <c r="Z1336">
        <v>13496</v>
      </c>
      <c r="AA1336">
        <v>2</v>
      </c>
      <c r="AB1336">
        <v>28363</v>
      </c>
      <c r="AC1336" s="10">
        <v>37718</v>
      </c>
      <c r="AD1336" s="10" t="s">
        <v>72</v>
      </c>
      <c r="AE1336" t="s">
        <v>72</v>
      </c>
      <c r="AF1336" t="s">
        <v>45</v>
      </c>
    </row>
    <row r="1337" spans="1:32" x14ac:dyDescent="0.25">
      <c r="A1337">
        <v>601</v>
      </c>
      <c r="B1337">
        <v>40</v>
      </c>
      <c r="C1337" t="s">
        <v>43</v>
      </c>
      <c r="D1337" t="s">
        <v>33</v>
      </c>
      <c r="E1337" t="s">
        <v>34</v>
      </c>
      <c r="F1337" t="s">
        <v>49</v>
      </c>
      <c r="G1337" t="s">
        <v>38</v>
      </c>
      <c r="H1337" t="s">
        <v>47</v>
      </c>
      <c r="I1337" t="s">
        <v>50</v>
      </c>
      <c r="J1337" t="s">
        <v>65</v>
      </c>
      <c r="K1337">
        <v>3</v>
      </c>
      <c r="L1337">
        <v>3</v>
      </c>
      <c r="M1337" t="s">
        <v>48</v>
      </c>
      <c r="N1337" t="s">
        <v>41</v>
      </c>
      <c r="O1337" t="s">
        <v>42</v>
      </c>
      <c r="P1337" t="s">
        <v>43</v>
      </c>
      <c r="Q1337">
        <v>15</v>
      </c>
      <c r="R1337">
        <v>7</v>
      </c>
      <c r="S1337">
        <v>22</v>
      </c>
      <c r="T1337">
        <v>5</v>
      </c>
      <c r="U1337">
        <v>13</v>
      </c>
      <c r="V1337">
        <v>6</v>
      </c>
      <c r="W1337">
        <v>75</v>
      </c>
      <c r="X1337">
        <v>302</v>
      </c>
      <c r="Y1337">
        <v>20364</v>
      </c>
      <c r="Z1337">
        <v>13237</v>
      </c>
      <c r="AA1337">
        <v>3</v>
      </c>
      <c r="AB1337">
        <v>30357</v>
      </c>
      <c r="AC1337" s="10">
        <v>37727</v>
      </c>
      <c r="AD1337" s="10" t="s">
        <v>72</v>
      </c>
      <c r="AE1337" t="s">
        <v>72</v>
      </c>
      <c r="AF1337" t="s">
        <v>45</v>
      </c>
    </row>
    <row r="1338" spans="1:32" x14ac:dyDescent="0.25">
      <c r="A1338">
        <v>1523</v>
      </c>
      <c r="B1338">
        <v>44</v>
      </c>
      <c r="C1338" t="s">
        <v>43</v>
      </c>
      <c r="D1338" t="s">
        <v>33</v>
      </c>
      <c r="E1338" t="s">
        <v>34</v>
      </c>
      <c r="F1338" t="s">
        <v>49</v>
      </c>
      <c r="G1338" t="s">
        <v>59</v>
      </c>
      <c r="H1338" t="s">
        <v>37</v>
      </c>
      <c r="I1338" t="s">
        <v>50</v>
      </c>
      <c r="J1338" t="s">
        <v>71</v>
      </c>
      <c r="K1338">
        <v>1</v>
      </c>
      <c r="L1338">
        <v>3</v>
      </c>
      <c r="M1338" t="s">
        <v>58</v>
      </c>
      <c r="N1338" t="s">
        <v>61</v>
      </c>
      <c r="O1338" t="s">
        <v>36</v>
      </c>
      <c r="P1338" t="s">
        <v>43</v>
      </c>
      <c r="Q1338">
        <v>13</v>
      </c>
      <c r="R1338">
        <v>3</v>
      </c>
      <c r="S1338">
        <v>24</v>
      </c>
      <c r="T1338">
        <v>14</v>
      </c>
      <c r="U1338">
        <v>17</v>
      </c>
      <c r="V1338">
        <v>28</v>
      </c>
      <c r="W1338">
        <v>32</v>
      </c>
      <c r="X1338">
        <v>136</v>
      </c>
      <c r="Y1338">
        <v>22074</v>
      </c>
      <c r="Z1338">
        <v>16328</v>
      </c>
      <c r="AA1338">
        <v>1</v>
      </c>
      <c r="AB1338">
        <v>28796</v>
      </c>
      <c r="AC1338" s="10">
        <v>37739</v>
      </c>
      <c r="AD1338" s="10" t="s">
        <v>72</v>
      </c>
      <c r="AE1338" t="s">
        <v>72</v>
      </c>
      <c r="AF1338" t="s">
        <v>45</v>
      </c>
    </row>
    <row r="1339" spans="1:32" x14ac:dyDescent="0.25">
      <c r="A1339">
        <v>1443</v>
      </c>
      <c r="B1339">
        <v>47</v>
      </c>
      <c r="C1339" t="s">
        <v>43</v>
      </c>
      <c r="D1339" t="s">
        <v>33</v>
      </c>
      <c r="E1339" t="s">
        <v>34</v>
      </c>
      <c r="F1339" t="s">
        <v>35</v>
      </c>
      <c r="G1339" t="s">
        <v>36</v>
      </c>
      <c r="H1339" t="s">
        <v>47</v>
      </c>
      <c r="I1339" t="s">
        <v>50</v>
      </c>
      <c r="J1339" t="s">
        <v>71</v>
      </c>
      <c r="K1339">
        <v>3</v>
      </c>
      <c r="L1339">
        <v>3</v>
      </c>
      <c r="M1339" t="s">
        <v>58</v>
      </c>
      <c r="N1339" t="s">
        <v>61</v>
      </c>
      <c r="O1339" t="s">
        <v>53</v>
      </c>
      <c r="P1339" t="s">
        <v>43</v>
      </c>
      <c r="Q1339">
        <v>19</v>
      </c>
      <c r="R1339">
        <v>3</v>
      </c>
      <c r="S1339">
        <v>26</v>
      </c>
      <c r="T1339">
        <v>5</v>
      </c>
      <c r="U1339">
        <v>6</v>
      </c>
      <c r="V1339">
        <v>2</v>
      </c>
      <c r="W1339">
        <v>82</v>
      </c>
      <c r="X1339">
        <v>359</v>
      </c>
      <c r="Y1339">
        <v>26703</v>
      </c>
      <c r="Z1339">
        <v>17169</v>
      </c>
      <c r="AA1339">
        <v>2</v>
      </c>
      <c r="AB1339">
        <v>27757</v>
      </c>
      <c r="AC1339" s="10">
        <v>37782</v>
      </c>
      <c r="AD1339" s="10" t="s">
        <v>72</v>
      </c>
      <c r="AE1339" t="s">
        <v>72</v>
      </c>
      <c r="AF1339" t="s">
        <v>55</v>
      </c>
    </row>
    <row r="1340" spans="1:32" x14ac:dyDescent="0.25">
      <c r="A1340">
        <v>716</v>
      </c>
      <c r="B1340">
        <v>50</v>
      </c>
      <c r="C1340" t="s">
        <v>43</v>
      </c>
      <c r="D1340" t="s">
        <v>33</v>
      </c>
      <c r="E1340" t="s">
        <v>34</v>
      </c>
      <c r="F1340" t="s">
        <v>64</v>
      </c>
      <c r="G1340" t="s">
        <v>59</v>
      </c>
      <c r="H1340" t="s">
        <v>37</v>
      </c>
      <c r="I1340" t="s">
        <v>59</v>
      </c>
      <c r="J1340" t="s">
        <v>51</v>
      </c>
      <c r="K1340">
        <v>3</v>
      </c>
      <c r="L1340">
        <v>3</v>
      </c>
      <c r="M1340" t="s">
        <v>48</v>
      </c>
      <c r="N1340" t="s">
        <v>61</v>
      </c>
      <c r="O1340" t="s">
        <v>50</v>
      </c>
      <c r="P1340" t="s">
        <v>32</v>
      </c>
      <c r="Q1340">
        <v>11</v>
      </c>
      <c r="R1340">
        <v>1</v>
      </c>
      <c r="S1340">
        <v>20</v>
      </c>
      <c r="T1340">
        <v>3</v>
      </c>
      <c r="U1340">
        <v>8</v>
      </c>
      <c r="V1340">
        <v>28</v>
      </c>
      <c r="W1340">
        <v>74</v>
      </c>
      <c r="X1340">
        <v>1207</v>
      </c>
      <c r="Y1340">
        <v>3297</v>
      </c>
      <c r="Z1340">
        <v>3221</v>
      </c>
      <c r="AA1340">
        <v>3</v>
      </c>
      <c r="AB1340">
        <v>26795</v>
      </c>
      <c r="AC1340" s="10">
        <v>37795</v>
      </c>
      <c r="AD1340" s="10" t="s">
        <v>72</v>
      </c>
      <c r="AE1340" t="s">
        <v>72</v>
      </c>
      <c r="AF1340" t="s">
        <v>45</v>
      </c>
    </row>
    <row r="1341" spans="1:32" x14ac:dyDescent="0.25">
      <c r="A1341">
        <v>721</v>
      </c>
      <c r="B1341">
        <v>39</v>
      </c>
      <c r="C1341" t="s">
        <v>43</v>
      </c>
      <c r="D1341" t="s">
        <v>33</v>
      </c>
      <c r="E1341" t="s">
        <v>34</v>
      </c>
      <c r="F1341" t="s">
        <v>35</v>
      </c>
      <c r="G1341" t="s">
        <v>59</v>
      </c>
      <c r="H1341" t="s">
        <v>47</v>
      </c>
      <c r="I1341" t="s">
        <v>38</v>
      </c>
      <c r="J1341" t="s">
        <v>62</v>
      </c>
      <c r="K1341">
        <v>3</v>
      </c>
      <c r="L1341">
        <v>3</v>
      </c>
      <c r="M1341" t="s">
        <v>48</v>
      </c>
      <c r="N1341" t="s">
        <v>41</v>
      </c>
      <c r="O1341" t="s">
        <v>42</v>
      </c>
      <c r="P1341" t="s">
        <v>43</v>
      </c>
      <c r="Q1341">
        <v>11</v>
      </c>
      <c r="R1341">
        <v>1</v>
      </c>
      <c r="S1341">
        <v>20</v>
      </c>
      <c r="T1341">
        <v>11</v>
      </c>
      <c r="U1341">
        <v>10</v>
      </c>
      <c r="V1341">
        <v>2</v>
      </c>
      <c r="W1341">
        <v>80</v>
      </c>
      <c r="X1341">
        <v>408</v>
      </c>
      <c r="Y1341">
        <v>20978</v>
      </c>
      <c r="Z1341">
        <v>4553</v>
      </c>
      <c r="AA1341">
        <v>4</v>
      </c>
      <c r="AB1341">
        <v>30566</v>
      </c>
      <c r="AC1341" s="10">
        <v>37813</v>
      </c>
      <c r="AD1341" s="10" t="s">
        <v>72</v>
      </c>
      <c r="AE1341" t="s">
        <v>72</v>
      </c>
      <c r="AF1341" t="s">
        <v>45</v>
      </c>
    </row>
    <row r="1342" spans="1:32" x14ac:dyDescent="0.25">
      <c r="A1342">
        <v>1373</v>
      </c>
      <c r="B1342">
        <v>56</v>
      </c>
      <c r="C1342" t="s">
        <v>43</v>
      </c>
      <c r="D1342" t="s">
        <v>33</v>
      </c>
      <c r="E1342" t="s">
        <v>34</v>
      </c>
      <c r="F1342" t="s">
        <v>49</v>
      </c>
      <c r="G1342" t="s">
        <v>59</v>
      </c>
      <c r="H1342" t="s">
        <v>37</v>
      </c>
      <c r="I1342" t="s">
        <v>50</v>
      </c>
      <c r="J1342" t="s">
        <v>65</v>
      </c>
      <c r="K1342">
        <v>2</v>
      </c>
      <c r="L1342">
        <v>3</v>
      </c>
      <c r="M1342" t="s">
        <v>48</v>
      </c>
      <c r="N1342" t="s">
        <v>61</v>
      </c>
      <c r="O1342" t="s">
        <v>36</v>
      </c>
      <c r="P1342" t="s">
        <v>32</v>
      </c>
      <c r="Q1342">
        <v>12</v>
      </c>
      <c r="R1342">
        <v>4</v>
      </c>
      <c r="S1342">
        <v>33</v>
      </c>
      <c r="T1342">
        <v>15</v>
      </c>
      <c r="U1342">
        <v>9</v>
      </c>
      <c r="V1342">
        <v>23</v>
      </c>
      <c r="W1342">
        <v>68</v>
      </c>
      <c r="X1342">
        <v>1369</v>
      </c>
      <c r="Y1342">
        <v>18235</v>
      </c>
      <c r="Z1342">
        <v>13402</v>
      </c>
      <c r="AA1342">
        <v>0</v>
      </c>
      <c r="AB1342">
        <v>24673</v>
      </c>
      <c r="AC1342" s="10">
        <v>37882</v>
      </c>
      <c r="AD1342" s="10" t="s">
        <v>72</v>
      </c>
      <c r="AE1342" t="s">
        <v>72</v>
      </c>
      <c r="AF1342" t="s">
        <v>45</v>
      </c>
    </row>
    <row r="1343" spans="1:32" x14ac:dyDescent="0.25">
      <c r="A1343">
        <v>1307</v>
      </c>
      <c r="B1343">
        <v>39</v>
      </c>
      <c r="C1343" t="s">
        <v>43</v>
      </c>
      <c r="D1343" t="s">
        <v>33</v>
      </c>
      <c r="E1343" t="s">
        <v>34</v>
      </c>
      <c r="F1343" t="s">
        <v>35</v>
      </c>
      <c r="G1343" t="s">
        <v>50</v>
      </c>
      <c r="H1343" t="s">
        <v>47</v>
      </c>
      <c r="I1343" t="s">
        <v>38</v>
      </c>
      <c r="J1343" t="s">
        <v>69</v>
      </c>
      <c r="K1343">
        <v>2</v>
      </c>
      <c r="L1343">
        <v>3</v>
      </c>
      <c r="M1343" t="s">
        <v>48</v>
      </c>
      <c r="N1343" t="s">
        <v>52</v>
      </c>
      <c r="O1343" t="s">
        <v>53</v>
      </c>
      <c r="P1343" t="s">
        <v>32</v>
      </c>
      <c r="Q1343">
        <v>13</v>
      </c>
      <c r="R1343">
        <v>6</v>
      </c>
      <c r="S1343">
        <v>21</v>
      </c>
      <c r="T1343">
        <v>15</v>
      </c>
      <c r="U1343">
        <v>2</v>
      </c>
      <c r="V1343">
        <v>13</v>
      </c>
      <c r="W1343">
        <v>94</v>
      </c>
      <c r="X1343">
        <v>412</v>
      </c>
      <c r="Y1343">
        <v>17334</v>
      </c>
      <c r="Z1343">
        <v>17123</v>
      </c>
      <c r="AA1343">
        <v>4</v>
      </c>
      <c r="AB1343">
        <v>30576</v>
      </c>
      <c r="AC1343" s="10">
        <v>37891</v>
      </c>
      <c r="AD1343" s="10" t="s">
        <v>72</v>
      </c>
      <c r="AE1343" t="s">
        <v>72</v>
      </c>
      <c r="AF1343" t="s">
        <v>45</v>
      </c>
    </row>
    <row r="1344" spans="1:32" x14ac:dyDescent="0.25">
      <c r="A1344">
        <v>1892</v>
      </c>
      <c r="B1344">
        <v>40</v>
      </c>
      <c r="C1344" t="s">
        <v>43</v>
      </c>
      <c r="D1344" t="s">
        <v>33</v>
      </c>
      <c r="E1344" t="s">
        <v>34</v>
      </c>
      <c r="F1344" t="s">
        <v>35</v>
      </c>
      <c r="G1344" t="s">
        <v>36</v>
      </c>
      <c r="H1344" t="s">
        <v>37</v>
      </c>
      <c r="I1344" t="s">
        <v>50</v>
      </c>
      <c r="J1344" t="s">
        <v>69</v>
      </c>
      <c r="K1344">
        <v>1</v>
      </c>
      <c r="L1344">
        <v>3</v>
      </c>
      <c r="M1344" t="s">
        <v>48</v>
      </c>
      <c r="N1344" t="s">
        <v>52</v>
      </c>
      <c r="O1344" t="s">
        <v>36</v>
      </c>
      <c r="P1344" t="s">
        <v>43</v>
      </c>
      <c r="Q1344">
        <v>11</v>
      </c>
      <c r="R1344">
        <v>2</v>
      </c>
      <c r="S1344">
        <v>22</v>
      </c>
      <c r="T1344">
        <v>11</v>
      </c>
      <c r="U1344">
        <v>16</v>
      </c>
      <c r="V1344">
        <v>1</v>
      </c>
      <c r="W1344">
        <v>98</v>
      </c>
      <c r="X1344">
        <v>1137</v>
      </c>
      <c r="Y1344">
        <v>18991</v>
      </c>
      <c r="Z1344">
        <v>16823</v>
      </c>
      <c r="AA1344">
        <v>3</v>
      </c>
      <c r="AB1344">
        <v>30272</v>
      </c>
      <c r="AC1344" s="10">
        <v>38052</v>
      </c>
      <c r="AD1344" s="10" t="s">
        <v>72</v>
      </c>
      <c r="AE1344" t="s">
        <v>72</v>
      </c>
      <c r="AF1344" t="s">
        <v>45</v>
      </c>
    </row>
    <row r="1345" spans="1:32" x14ac:dyDescent="0.25">
      <c r="A1345">
        <v>1336</v>
      </c>
      <c r="B1345">
        <v>55</v>
      </c>
      <c r="C1345" t="s">
        <v>43</v>
      </c>
      <c r="D1345" t="s">
        <v>33</v>
      </c>
      <c r="E1345" t="s">
        <v>34</v>
      </c>
      <c r="F1345" t="s">
        <v>67</v>
      </c>
      <c r="G1345" t="s">
        <v>59</v>
      </c>
      <c r="H1345" t="s">
        <v>47</v>
      </c>
      <c r="I1345" t="s">
        <v>36</v>
      </c>
      <c r="J1345" t="s">
        <v>69</v>
      </c>
      <c r="K1345">
        <v>3</v>
      </c>
      <c r="L1345">
        <v>3</v>
      </c>
      <c r="M1345" t="s">
        <v>48</v>
      </c>
      <c r="N1345" t="s">
        <v>61</v>
      </c>
      <c r="O1345" t="s">
        <v>36</v>
      </c>
      <c r="P1345" t="s">
        <v>43</v>
      </c>
      <c r="Q1345">
        <v>14</v>
      </c>
      <c r="R1345">
        <v>4</v>
      </c>
      <c r="S1345">
        <v>23</v>
      </c>
      <c r="T1345">
        <v>9</v>
      </c>
      <c r="U1345">
        <v>11</v>
      </c>
      <c r="V1345">
        <v>2</v>
      </c>
      <c r="W1345">
        <v>58</v>
      </c>
      <c r="X1345">
        <v>282</v>
      </c>
      <c r="Y1345">
        <v>6992</v>
      </c>
      <c r="Z1345">
        <v>19187</v>
      </c>
      <c r="AA1345">
        <v>5</v>
      </c>
      <c r="AB1345">
        <v>24963</v>
      </c>
      <c r="AC1345" s="10">
        <v>38093</v>
      </c>
      <c r="AD1345" s="10" t="s">
        <v>72</v>
      </c>
      <c r="AE1345" t="s">
        <v>72</v>
      </c>
      <c r="AF1345" t="s">
        <v>45</v>
      </c>
    </row>
    <row r="1346" spans="1:32" x14ac:dyDescent="0.25">
      <c r="A1346">
        <v>417</v>
      </c>
      <c r="B1346">
        <v>39</v>
      </c>
      <c r="C1346" t="s">
        <v>43</v>
      </c>
      <c r="D1346" t="s">
        <v>33</v>
      </c>
      <c r="E1346" t="s">
        <v>34</v>
      </c>
      <c r="F1346" t="s">
        <v>49</v>
      </c>
      <c r="G1346" t="s">
        <v>50</v>
      </c>
      <c r="H1346" t="s">
        <v>37</v>
      </c>
      <c r="I1346" t="s">
        <v>59</v>
      </c>
      <c r="J1346" t="s">
        <v>62</v>
      </c>
      <c r="K1346">
        <v>4</v>
      </c>
      <c r="L1346">
        <v>3</v>
      </c>
      <c r="M1346" t="s">
        <v>60</v>
      </c>
      <c r="N1346" t="s">
        <v>52</v>
      </c>
      <c r="O1346" t="s">
        <v>50</v>
      </c>
      <c r="P1346" t="s">
        <v>43</v>
      </c>
      <c r="Q1346">
        <v>17</v>
      </c>
      <c r="R1346">
        <v>0</v>
      </c>
      <c r="S1346">
        <v>19</v>
      </c>
      <c r="T1346">
        <v>3</v>
      </c>
      <c r="U1346">
        <v>7</v>
      </c>
      <c r="V1346">
        <v>1</v>
      </c>
      <c r="W1346">
        <v>48</v>
      </c>
      <c r="X1346">
        <v>1132</v>
      </c>
      <c r="Y1346">
        <v>10942</v>
      </c>
      <c r="Z1346">
        <v>9613</v>
      </c>
      <c r="AA1346">
        <v>5</v>
      </c>
      <c r="AB1346">
        <v>30599</v>
      </c>
      <c r="AC1346" s="10">
        <v>38227</v>
      </c>
      <c r="AD1346" s="10" t="s">
        <v>72</v>
      </c>
      <c r="AE1346" t="s">
        <v>72</v>
      </c>
      <c r="AF1346" t="s">
        <v>45</v>
      </c>
    </row>
    <row r="1347" spans="1:32" x14ac:dyDescent="0.25">
      <c r="A1347">
        <v>515</v>
      </c>
      <c r="B1347">
        <v>37</v>
      </c>
      <c r="C1347" t="s">
        <v>43</v>
      </c>
      <c r="D1347" t="s">
        <v>33</v>
      </c>
      <c r="E1347" t="s">
        <v>34</v>
      </c>
      <c r="F1347" t="s">
        <v>49</v>
      </c>
      <c r="G1347" t="s">
        <v>59</v>
      </c>
      <c r="H1347" t="s">
        <v>47</v>
      </c>
      <c r="I1347" t="s">
        <v>50</v>
      </c>
      <c r="J1347" t="s">
        <v>51</v>
      </c>
      <c r="K1347">
        <v>1</v>
      </c>
      <c r="L1347">
        <v>3</v>
      </c>
      <c r="M1347" t="s">
        <v>60</v>
      </c>
      <c r="N1347" t="s">
        <v>52</v>
      </c>
      <c r="O1347" t="s">
        <v>36</v>
      </c>
      <c r="P1347" t="s">
        <v>43</v>
      </c>
      <c r="Q1347">
        <v>12</v>
      </c>
      <c r="R1347">
        <v>1</v>
      </c>
      <c r="S1347">
        <v>18</v>
      </c>
      <c r="T1347">
        <v>12</v>
      </c>
      <c r="U1347">
        <v>17</v>
      </c>
      <c r="V1347">
        <v>14</v>
      </c>
      <c r="W1347">
        <v>95</v>
      </c>
      <c r="X1347">
        <v>1107</v>
      </c>
      <c r="Y1347">
        <v>26914</v>
      </c>
      <c r="Z1347">
        <v>3034</v>
      </c>
      <c r="AA1347">
        <v>2</v>
      </c>
      <c r="AB1347">
        <v>31380</v>
      </c>
      <c r="AC1347" s="10">
        <v>38229</v>
      </c>
      <c r="AD1347" s="10" t="s">
        <v>72</v>
      </c>
      <c r="AE1347" t="s">
        <v>72</v>
      </c>
      <c r="AF1347" t="s">
        <v>45</v>
      </c>
    </row>
    <row r="1348" spans="1:32" x14ac:dyDescent="0.25">
      <c r="A1348">
        <v>957</v>
      </c>
      <c r="B1348">
        <v>41</v>
      </c>
      <c r="C1348" t="s">
        <v>43</v>
      </c>
      <c r="D1348" t="s">
        <v>33</v>
      </c>
      <c r="E1348" t="s">
        <v>34</v>
      </c>
      <c r="F1348" t="s">
        <v>49</v>
      </c>
      <c r="G1348" t="s">
        <v>59</v>
      </c>
      <c r="H1348" t="s">
        <v>37</v>
      </c>
      <c r="I1348" t="s">
        <v>50</v>
      </c>
      <c r="J1348" t="s">
        <v>51</v>
      </c>
      <c r="K1348">
        <v>1</v>
      </c>
      <c r="L1348">
        <v>3</v>
      </c>
      <c r="M1348" t="s">
        <v>48</v>
      </c>
      <c r="N1348" t="s">
        <v>41</v>
      </c>
      <c r="O1348" t="s">
        <v>42</v>
      </c>
      <c r="P1348" t="s">
        <v>32</v>
      </c>
      <c r="Q1348">
        <v>13</v>
      </c>
      <c r="R1348">
        <v>2</v>
      </c>
      <c r="S1348">
        <v>20</v>
      </c>
      <c r="T1348">
        <v>2</v>
      </c>
      <c r="U1348">
        <v>17</v>
      </c>
      <c r="V1348">
        <v>6</v>
      </c>
      <c r="W1348">
        <v>59</v>
      </c>
      <c r="X1348">
        <v>263</v>
      </c>
      <c r="Y1348">
        <v>3119</v>
      </c>
      <c r="Z1348">
        <v>4721</v>
      </c>
      <c r="AA1348">
        <v>3</v>
      </c>
      <c r="AB1348">
        <v>29940</v>
      </c>
      <c r="AC1348" s="10">
        <v>38397</v>
      </c>
      <c r="AD1348" s="10" t="s">
        <v>72</v>
      </c>
      <c r="AE1348" t="s">
        <v>72</v>
      </c>
      <c r="AF1348" t="s">
        <v>45</v>
      </c>
    </row>
    <row r="1349" spans="1:32" x14ac:dyDescent="0.25">
      <c r="A1349">
        <v>691</v>
      </c>
      <c r="B1349">
        <v>35</v>
      </c>
      <c r="C1349" t="s">
        <v>43</v>
      </c>
      <c r="D1349" t="s">
        <v>33</v>
      </c>
      <c r="E1349" t="s">
        <v>34</v>
      </c>
      <c r="F1349" t="s">
        <v>35</v>
      </c>
      <c r="G1349" t="s">
        <v>38</v>
      </c>
      <c r="H1349" t="s">
        <v>37</v>
      </c>
      <c r="I1349" t="s">
        <v>36</v>
      </c>
      <c r="J1349" t="s">
        <v>39</v>
      </c>
      <c r="K1349">
        <v>4</v>
      </c>
      <c r="L1349">
        <v>3</v>
      </c>
      <c r="M1349" t="s">
        <v>48</v>
      </c>
      <c r="N1349" t="s">
        <v>41</v>
      </c>
      <c r="O1349" t="s">
        <v>42</v>
      </c>
      <c r="P1349" t="s">
        <v>43</v>
      </c>
      <c r="Q1349">
        <v>13</v>
      </c>
      <c r="R1349">
        <v>1</v>
      </c>
      <c r="S1349">
        <v>17</v>
      </c>
      <c r="T1349">
        <v>11</v>
      </c>
      <c r="U1349">
        <v>8</v>
      </c>
      <c r="V1349">
        <v>6</v>
      </c>
      <c r="W1349">
        <v>82</v>
      </c>
      <c r="X1349">
        <v>1017</v>
      </c>
      <c r="Y1349">
        <v>19368</v>
      </c>
      <c r="Z1349">
        <v>6646</v>
      </c>
      <c r="AA1349">
        <v>3</v>
      </c>
      <c r="AB1349">
        <v>32171</v>
      </c>
      <c r="AC1349" s="10">
        <v>38635</v>
      </c>
      <c r="AD1349" s="10" t="s">
        <v>72</v>
      </c>
      <c r="AE1349" t="s">
        <v>72</v>
      </c>
      <c r="AF1349" t="s">
        <v>55</v>
      </c>
    </row>
    <row r="1350" spans="1:32" x14ac:dyDescent="0.25">
      <c r="A1350">
        <v>391</v>
      </c>
      <c r="B1350">
        <v>37</v>
      </c>
      <c r="C1350" t="s">
        <v>43</v>
      </c>
      <c r="D1350" t="s">
        <v>33</v>
      </c>
      <c r="E1350" t="s">
        <v>34</v>
      </c>
      <c r="F1350" t="s">
        <v>49</v>
      </c>
      <c r="G1350" t="s">
        <v>59</v>
      </c>
      <c r="H1350" t="s">
        <v>47</v>
      </c>
      <c r="I1350" t="s">
        <v>50</v>
      </c>
      <c r="J1350" t="s">
        <v>39</v>
      </c>
      <c r="K1350">
        <v>4</v>
      </c>
      <c r="L1350">
        <v>3</v>
      </c>
      <c r="M1350" t="s">
        <v>48</v>
      </c>
      <c r="N1350" t="s">
        <v>41</v>
      </c>
      <c r="O1350" t="s">
        <v>42</v>
      </c>
      <c r="P1350" t="s">
        <v>43</v>
      </c>
      <c r="Q1350">
        <v>12</v>
      </c>
      <c r="R1350">
        <v>1</v>
      </c>
      <c r="S1350">
        <v>17</v>
      </c>
      <c r="T1350">
        <v>5</v>
      </c>
      <c r="U1350">
        <v>7</v>
      </c>
      <c r="V1350">
        <v>1</v>
      </c>
      <c r="W1350">
        <v>42</v>
      </c>
      <c r="X1350">
        <v>1372</v>
      </c>
      <c r="Y1350">
        <v>15881</v>
      </c>
      <c r="Z1350">
        <v>2115</v>
      </c>
      <c r="AA1350">
        <v>3</v>
      </c>
      <c r="AB1350">
        <v>31580</v>
      </c>
      <c r="AC1350" s="10">
        <v>38671</v>
      </c>
      <c r="AD1350" s="10" t="s">
        <v>72</v>
      </c>
      <c r="AE1350" t="s">
        <v>72</v>
      </c>
      <c r="AF1350" t="s">
        <v>55</v>
      </c>
    </row>
    <row r="1351" spans="1:32" x14ac:dyDescent="0.25">
      <c r="A1351">
        <v>83</v>
      </c>
      <c r="B1351">
        <v>36</v>
      </c>
      <c r="C1351" t="s">
        <v>43</v>
      </c>
      <c r="D1351" t="s">
        <v>33</v>
      </c>
      <c r="E1351" t="s">
        <v>34</v>
      </c>
      <c r="F1351" t="s">
        <v>49</v>
      </c>
      <c r="G1351" t="s">
        <v>50</v>
      </c>
      <c r="H1351" t="s">
        <v>47</v>
      </c>
      <c r="I1351" t="s">
        <v>50</v>
      </c>
      <c r="J1351" t="s">
        <v>62</v>
      </c>
      <c r="K1351">
        <v>3</v>
      </c>
      <c r="L1351">
        <v>3</v>
      </c>
      <c r="M1351" t="s">
        <v>48</v>
      </c>
      <c r="N1351" t="s">
        <v>52</v>
      </c>
      <c r="O1351" t="s">
        <v>50</v>
      </c>
      <c r="P1351" t="s">
        <v>43</v>
      </c>
      <c r="Q1351">
        <v>13</v>
      </c>
      <c r="R1351">
        <v>1</v>
      </c>
      <c r="S1351">
        <v>17</v>
      </c>
      <c r="T1351">
        <v>12</v>
      </c>
      <c r="U1351">
        <v>8</v>
      </c>
      <c r="V1351">
        <v>8</v>
      </c>
      <c r="W1351">
        <v>59</v>
      </c>
      <c r="X1351">
        <v>1223</v>
      </c>
      <c r="Y1351">
        <v>8202</v>
      </c>
      <c r="Z1351">
        <v>10096</v>
      </c>
      <c r="AA1351">
        <v>2</v>
      </c>
      <c r="AB1351">
        <v>31842</v>
      </c>
      <c r="AC1351" s="10">
        <v>38794</v>
      </c>
      <c r="AD1351" s="10" t="s">
        <v>72</v>
      </c>
      <c r="AE1351" t="s">
        <v>72</v>
      </c>
      <c r="AF1351" t="s">
        <v>45</v>
      </c>
    </row>
    <row r="1352" spans="1:32" x14ac:dyDescent="0.25">
      <c r="A1352">
        <v>1014</v>
      </c>
      <c r="B1352">
        <v>35</v>
      </c>
      <c r="C1352" t="s">
        <v>43</v>
      </c>
      <c r="D1352" t="s">
        <v>33</v>
      </c>
      <c r="E1352" t="s">
        <v>34</v>
      </c>
      <c r="F1352" t="s">
        <v>35</v>
      </c>
      <c r="G1352" t="s">
        <v>50</v>
      </c>
      <c r="H1352" t="s">
        <v>47</v>
      </c>
      <c r="I1352" t="s">
        <v>50</v>
      </c>
      <c r="J1352" t="s">
        <v>62</v>
      </c>
      <c r="K1352">
        <v>3</v>
      </c>
      <c r="L1352">
        <v>3</v>
      </c>
      <c r="M1352" t="s">
        <v>60</v>
      </c>
      <c r="N1352" t="s">
        <v>52</v>
      </c>
      <c r="O1352" t="s">
        <v>36</v>
      </c>
      <c r="P1352" t="s">
        <v>32</v>
      </c>
      <c r="Q1352">
        <v>11</v>
      </c>
      <c r="R1352">
        <v>1</v>
      </c>
      <c r="S1352">
        <v>16</v>
      </c>
      <c r="T1352">
        <v>10</v>
      </c>
      <c r="U1352">
        <v>1</v>
      </c>
      <c r="V1352">
        <v>25</v>
      </c>
      <c r="W1352">
        <v>57</v>
      </c>
      <c r="X1352">
        <v>583</v>
      </c>
      <c r="Y1352">
        <v>6975</v>
      </c>
      <c r="Z1352">
        <v>10388</v>
      </c>
      <c r="AA1352">
        <v>3</v>
      </c>
      <c r="AB1352">
        <v>32187</v>
      </c>
      <c r="AC1352" s="10">
        <v>39026</v>
      </c>
      <c r="AD1352" s="10" t="s">
        <v>72</v>
      </c>
      <c r="AE1352" t="s">
        <v>72</v>
      </c>
      <c r="AF1352" t="s">
        <v>45</v>
      </c>
    </row>
    <row r="1353" spans="1:32" x14ac:dyDescent="0.25">
      <c r="A1353">
        <v>1294</v>
      </c>
      <c r="B1353">
        <v>36</v>
      </c>
      <c r="C1353" t="s">
        <v>43</v>
      </c>
      <c r="D1353" t="s">
        <v>33</v>
      </c>
      <c r="E1353" t="s">
        <v>34</v>
      </c>
      <c r="F1353" t="s">
        <v>35</v>
      </c>
      <c r="G1353" t="s">
        <v>50</v>
      </c>
      <c r="H1353" t="s">
        <v>47</v>
      </c>
      <c r="I1353" t="s">
        <v>50</v>
      </c>
      <c r="J1353" t="s">
        <v>65</v>
      </c>
      <c r="K1353">
        <v>2</v>
      </c>
      <c r="L1353">
        <v>3</v>
      </c>
      <c r="M1353" t="s">
        <v>48</v>
      </c>
      <c r="N1353" t="s">
        <v>41</v>
      </c>
      <c r="O1353" t="s">
        <v>42</v>
      </c>
      <c r="P1353" t="s">
        <v>32</v>
      </c>
      <c r="Q1353">
        <v>11</v>
      </c>
      <c r="R1353">
        <v>9</v>
      </c>
      <c r="S1353">
        <v>18</v>
      </c>
      <c r="T1353">
        <v>5</v>
      </c>
      <c r="U1353">
        <v>12</v>
      </c>
      <c r="V1353">
        <v>2</v>
      </c>
      <c r="W1353">
        <v>53</v>
      </c>
      <c r="X1353">
        <v>429</v>
      </c>
      <c r="Y1353">
        <v>2323</v>
      </c>
      <c r="Z1353">
        <v>5410</v>
      </c>
      <c r="AA1353">
        <v>2</v>
      </c>
      <c r="AB1353">
        <v>31653</v>
      </c>
      <c r="AC1353" s="10">
        <v>39132</v>
      </c>
      <c r="AD1353" s="10" t="s">
        <v>72</v>
      </c>
      <c r="AE1353" t="s">
        <v>72</v>
      </c>
      <c r="AF1353" t="s">
        <v>45</v>
      </c>
    </row>
    <row r="1354" spans="1:32" x14ac:dyDescent="0.25">
      <c r="A1354">
        <v>138</v>
      </c>
      <c r="B1354">
        <v>34</v>
      </c>
      <c r="C1354" t="s">
        <v>43</v>
      </c>
      <c r="D1354" t="s">
        <v>33</v>
      </c>
      <c r="E1354" t="s">
        <v>34</v>
      </c>
      <c r="F1354" t="s">
        <v>35</v>
      </c>
      <c r="G1354" t="s">
        <v>36</v>
      </c>
      <c r="H1354" t="s">
        <v>47</v>
      </c>
      <c r="I1354" t="s">
        <v>50</v>
      </c>
      <c r="J1354" t="s">
        <v>39</v>
      </c>
      <c r="K1354">
        <v>3</v>
      </c>
      <c r="L1354">
        <v>3</v>
      </c>
      <c r="M1354" t="s">
        <v>48</v>
      </c>
      <c r="N1354" t="s">
        <v>41</v>
      </c>
      <c r="O1354" t="s">
        <v>42</v>
      </c>
      <c r="P1354" t="s">
        <v>43</v>
      </c>
      <c r="Q1354">
        <v>14</v>
      </c>
      <c r="R1354">
        <v>1</v>
      </c>
      <c r="S1354">
        <v>16</v>
      </c>
      <c r="T1354">
        <v>2</v>
      </c>
      <c r="U1354">
        <v>10</v>
      </c>
      <c r="V1354">
        <v>6</v>
      </c>
      <c r="W1354">
        <v>41</v>
      </c>
      <c r="X1354">
        <v>665</v>
      </c>
      <c r="Y1354">
        <v>12482</v>
      </c>
      <c r="Z1354">
        <v>4809</v>
      </c>
      <c r="AA1354">
        <v>3</v>
      </c>
      <c r="AB1354">
        <v>32418</v>
      </c>
      <c r="AC1354" s="10">
        <v>39189</v>
      </c>
      <c r="AD1354" s="10" t="s">
        <v>72</v>
      </c>
      <c r="AE1354" t="s">
        <v>72</v>
      </c>
      <c r="AF1354" t="s">
        <v>45</v>
      </c>
    </row>
    <row r="1355" spans="1:32" x14ac:dyDescent="0.25">
      <c r="A1355">
        <v>924</v>
      </c>
      <c r="B1355">
        <v>36</v>
      </c>
      <c r="C1355" t="s">
        <v>43</v>
      </c>
      <c r="D1355" t="s">
        <v>33</v>
      </c>
      <c r="E1355" t="s">
        <v>34</v>
      </c>
      <c r="F1355" t="s">
        <v>64</v>
      </c>
      <c r="G1355" t="s">
        <v>50</v>
      </c>
      <c r="H1355" t="s">
        <v>37</v>
      </c>
      <c r="I1355" t="s">
        <v>50</v>
      </c>
      <c r="J1355" t="s">
        <v>62</v>
      </c>
      <c r="K1355">
        <v>4</v>
      </c>
      <c r="L1355">
        <v>3</v>
      </c>
      <c r="M1355" t="s">
        <v>60</v>
      </c>
      <c r="N1355" t="s">
        <v>61</v>
      </c>
      <c r="O1355" t="s">
        <v>36</v>
      </c>
      <c r="P1355" t="s">
        <v>32</v>
      </c>
      <c r="Q1355">
        <v>17</v>
      </c>
      <c r="R1355">
        <v>0</v>
      </c>
      <c r="S1355">
        <v>17</v>
      </c>
      <c r="T1355">
        <v>4</v>
      </c>
      <c r="U1355">
        <v>11</v>
      </c>
      <c r="V1355">
        <v>14</v>
      </c>
      <c r="W1355">
        <v>68</v>
      </c>
      <c r="X1355">
        <v>1425</v>
      </c>
      <c r="Y1355">
        <v>4821</v>
      </c>
      <c r="Z1355">
        <v>6586</v>
      </c>
      <c r="AA1355">
        <v>2</v>
      </c>
      <c r="AB1355">
        <v>31943</v>
      </c>
      <c r="AC1355" s="10">
        <v>39243</v>
      </c>
      <c r="AD1355" s="10" t="s">
        <v>72</v>
      </c>
      <c r="AE1355" t="s">
        <v>72</v>
      </c>
      <c r="AF1355" t="s">
        <v>45</v>
      </c>
    </row>
    <row r="1356" spans="1:32" x14ac:dyDescent="0.25">
      <c r="A1356">
        <v>1024</v>
      </c>
      <c r="B1356">
        <v>48</v>
      </c>
      <c r="C1356" t="s">
        <v>43</v>
      </c>
      <c r="D1356" t="s">
        <v>33</v>
      </c>
      <c r="E1356" t="s">
        <v>34</v>
      </c>
      <c r="F1356" t="s">
        <v>35</v>
      </c>
      <c r="G1356" t="s">
        <v>50</v>
      </c>
      <c r="H1356" t="s">
        <v>37</v>
      </c>
      <c r="I1356" t="s">
        <v>38</v>
      </c>
      <c r="J1356" t="s">
        <v>62</v>
      </c>
      <c r="K1356">
        <v>3</v>
      </c>
      <c r="L1356">
        <v>3</v>
      </c>
      <c r="M1356" t="s">
        <v>48</v>
      </c>
      <c r="N1356" t="s">
        <v>41</v>
      </c>
      <c r="O1356" t="s">
        <v>42</v>
      </c>
      <c r="P1356" t="s">
        <v>43</v>
      </c>
      <c r="Q1356">
        <v>14</v>
      </c>
      <c r="R1356">
        <v>7</v>
      </c>
      <c r="S1356">
        <v>27</v>
      </c>
      <c r="T1356">
        <v>4</v>
      </c>
      <c r="U1356">
        <v>8</v>
      </c>
      <c r="V1356">
        <v>4</v>
      </c>
      <c r="W1356">
        <v>78</v>
      </c>
      <c r="X1356">
        <v>1355</v>
      </c>
      <c r="Y1356">
        <v>22245</v>
      </c>
      <c r="Z1356">
        <v>10999</v>
      </c>
      <c r="AA1356">
        <v>3</v>
      </c>
      <c r="AB1356">
        <v>27504</v>
      </c>
      <c r="AC1356" s="10">
        <v>39304</v>
      </c>
      <c r="AD1356" s="10" t="s">
        <v>72</v>
      </c>
      <c r="AE1356" t="s">
        <v>72</v>
      </c>
      <c r="AF1356" t="s">
        <v>45</v>
      </c>
    </row>
    <row r="1357" spans="1:32" x14ac:dyDescent="0.25">
      <c r="A1357">
        <v>170</v>
      </c>
      <c r="B1357">
        <v>49</v>
      </c>
      <c r="C1357" t="s">
        <v>43</v>
      </c>
      <c r="D1357" t="s">
        <v>33</v>
      </c>
      <c r="E1357" t="s">
        <v>34</v>
      </c>
      <c r="F1357" t="s">
        <v>35</v>
      </c>
      <c r="G1357" t="s">
        <v>50</v>
      </c>
      <c r="H1357" t="s">
        <v>47</v>
      </c>
      <c r="I1357" t="s">
        <v>50</v>
      </c>
      <c r="J1357" t="s">
        <v>65</v>
      </c>
      <c r="K1357">
        <v>1</v>
      </c>
      <c r="L1357">
        <v>3</v>
      </c>
      <c r="M1357" t="s">
        <v>60</v>
      </c>
      <c r="N1357" t="s">
        <v>61</v>
      </c>
      <c r="O1357" t="s">
        <v>42</v>
      </c>
      <c r="P1357" t="s">
        <v>43</v>
      </c>
      <c r="Q1357">
        <v>14</v>
      </c>
      <c r="R1357">
        <v>1</v>
      </c>
      <c r="S1357">
        <v>16</v>
      </c>
      <c r="T1357">
        <v>5</v>
      </c>
      <c r="U1357">
        <v>11</v>
      </c>
      <c r="V1357">
        <v>20</v>
      </c>
      <c r="W1357">
        <v>96</v>
      </c>
      <c r="X1357">
        <v>470</v>
      </c>
      <c r="Y1357">
        <v>5549</v>
      </c>
      <c r="Z1357">
        <v>6567</v>
      </c>
      <c r="AA1357">
        <v>2</v>
      </c>
      <c r="AB1357">
        <v>26974</v>
      </c>
      <c r="AC1357" s="10">
        <v>39389</v>
      </c>
      <c r="AD1357" s="10" t="s">
        <v>72</v>
      </c>
      <c r="AE1357" t="s">
        <v>72</v>
      </c>
      <c r="AF1357" t="s">
        <v>45</v>
      </c>
    </row>
    <row r="1358" spans="1:32" x14ac:dyDescent="0.25">
      <c r="A1358">
        <v>373</v>
      </c>
      <c r="B1358">
        <v>36</v>
      </c>
      <c r="C1358" t="s">
        <v>43</v>
      </c>
      <c r="D1358" t="s">
        <v>33</v>
      </c>
      <c r="E1358" t="s">
        <v>34</v>
      </c>
      <c r="F1358" t="s">
        <v>49</v>
      </c>
      <c r="G1358" t="s">
        <v>59</v>
      </c>
      <c r="H1358" t="s">
        <v>37</v>
      </c>
      <c r="I1358" t="s">
        <v>50</v>
      </c>
      <c r="J1358" t="s">
        <v>51</v>
      </c>
      <c r="K1358">
        <v>4</v>
      </c>
      <c r="L1358">
        <v>3</v>
      </c>
      <c r="M1358" t="s">
        <v>48</v>
      </c>
      <c r="N1358" t="s">
        <v>61</v>
      </c>
      <c r="O1358" t="s">
        <v>36</v>
      </c>
      <c r="P1358" t="s">
        <v>43</v>
      </c>
      <c r="Q1358">
        <v>11</v>
      </c>
      <c r="R1358">
        <v>0</v>
      </c>
      <c r="S1358">
        <v>16</v>
      </c>
      <c r="T1358">
        <v>10</v>
      </c>
      <c r="U1358">
        <v>11</v>
      </c>
      <c r="V1358">
        <v>6</v>
      </c>
      <c r="W1358">
        <v>47</v>
      </c>
      <c r="X1358">
        <v>1403</v>
      </c>
      <c r="Y1358">
        <v>20251</v>
      </c>
      <c r="Z1358">
        <v>3210</v>
      </c>
      <c r="AA1358">
        <v>4</v>
      </c>
      <c r="AB1358">
        <v>31963</v>
      </c>
      <c r="AC1358" s="10">
        <v>39390</v>
      </c>
      <c r="AD1358" s="10" t="s">
        <v>72</v>
      </c>
      <c r="AE1358" t="s">
        <v>72</v>
      </c>
      <c r="AF1358" t="s">
        <v>45</v>
      </c>
    </row>
    <row r="1359" spans="1:32" x14ac:dyDescent="0.25">
      <c r="A1359">
        <v>950</v>
      </c>
      <c r="B1359">
        <v>38</v>
      </c>
      <c r="C1359" t="s">
        <v>43</v>
      </c>
      <c r="D1359" t="s">
        <v>33</v>
      </c>
      <c r="E1359" t="s">
        <v>34</v>
      </c>
      <c r="F1359" t="s">
        <v>49</v>
      </c>
      <c r="G1359" t="s">
        <v>59</v>
      </c>
      <c r="H1359" t="s">
        <v>47</v>
      </c>
      <c r="I1359" t="s">
        <v>50</v>
      </c>
      <c r="J1359" t="s">
        <v>71</v>
      </c>
      <c r="K1359">
        <v>1</v>
      </c>
      <c r="L1359">
        <v>3</v>
      </c>
      <c r="M1359" t="s">
        <v>48</v>
      </c>
      <c r="N1359" t="s">
        <v>61</v>
      </c>
      <c r="O1359" t="s">
        <v>36</v>
      </c>
      <c r="P1359" t="s">
        <v>43</v>
      </c>
      <c r="Q1359">
        <v>13</v>
      </c>
      <c r="R1359">
        <v>1</v>
      </c>
      <c r="S1359">
        <v>15</v>
      </c>
      <c r="T1359">
        <v>5</v>
      </c>
      <c r="U1359">
        <v>11</v>
      </c>
      <c r="V1359">
        <v>1</v>
      </c>
      <c r="W1359">
        <v>80</v>
      </c>
      <c r="X1359">
        <v>1333</v>
      </c>
      <c r="Y1359">
        <v>16292</v>
      </c>
      <c r="Z1359">
        <v>13582</v>
      </c>
      <c r="AA1359">
        <v>3</v>
      </c>
      <c r="AB1359">
        <v>31105</v>
      </c>
      <c r="AC1359" s="10">
        <v>39394</v>
      </c>
      <c r="AD1359" s="10" t="s">
        <v>72</v>
      </c>
      <c r="AE1359" t="s">
        <v>72</v>
      </c>
      <c r="AF1359" t="s">
        <v>45</v>
      </c>
    </row>
    <row r="1360" spans="1:32" x14ac:dyDescent="0.25">
      <c r="A1360">
        <v>1661</v>
      </c>
      <c r="B1360">
        <v>49</v>
      </c>
      <c r="C1360" t="s">
        <v>43</v>
      </c>
      <c r="D1360" t="s">
        <v>33</v>
      </c>
      <c r="E1360" t="s">
        <v>34</v>
      </c>
      <c r="F1360" t="s">
        <v>64</v>
      </c>
      <c r="G1360" t="s">
        <v>50</v>
      </c>
      <c r="H1360" t="s">
        <v>47</v>
      </c>
      <c r="I1360" t="s">
        <v>38</v>
      </c>
      <c r="J1360" t="s">
        <v>62</v>
      </c>
      <c r="K1360">
        <v>3</v>
      </c>
      <c r="L1360">
        <v>3</v>
      </c>
      <c r="M1360" t="s">
        <v>48</v>
      </c>
      <c r="N1360" t="s">
        <v>61</v>
      </c>
      <c r="O1360" t="s">
        <v>36</v>
      </c>
      <c r="P1360" t="s">
        <v>32</v>
      </c>
      <c r="Q1360">
        <v>19</v>
      </c>
      <c r="R1360">
        <v>2</v>
      </c>
      <c r="S1360">
        <v>30</v>
      </c>
      <c r="T1360">
        <v>2</v>
      </c>
      <c r="U1360">
        <v>12</v>
      </c>
      <c r="V1360">
        <v>6</v>
      </c>
      <c r="W1360">
        <v>41</v>
      </c>
      <c r="X1360">
        <v>465</v>
      </c>
      <c r="Y1360">
        <v>11652</v>
      </c>
      <c r="Z1360">
        <v>13966</v>
      </c>
      <c r="AA1360">
        <v>3</v>
      </c>
      <c r="AB1360">
        <v>26919</v>
      </c>
      <c r="AC1360" s="10">
        <v>39403</v>
      </c>
      <c r="AD1360" s="10" t="s">
        <v>72</v>
      </c>
      <c r="AE1360" t="s">
        <v>72</v>
      </c>
      <c r="AF1360" t="s">
        <v>45</v>
      </c>
    </row>
    <row r="1361" spans="1:32" x14ac:dyDescent="0.25">
      <c r="A1361">
        <v>1696</v>
      </c>
      <c r="B1361">
        <v>34</v>
      </c>
      <c r="C1361" t="s">
        <v>43</v>
      </c>
      <c r="D1361" t="s">
        <v>33</v>
      </c>
      <c r="E1361" t="s">
        <v>34</v>
      </c>
      <c r="F1361" t="s">
        <v>67</v>
      </c>
      <c r="G1361" t="s">
        <v>38</v>
      </c>
      <c r="H1361" t="s">
        <v>37</v>
      </c>
      <c r="I1361" t="s">
        <v>38</v>
      </c>
      <c r="J1361" t="s">
        <v>51</v>
      </c>
      <c r="K1361">
        <v>4</v>
      </c>
      <c r="L1361">
        <v>3</v>
      </c>
      <c r="M1361" t="s">
        <v>58</v>
      </c>
      <c r="N1361" t="s">
        <v>61</v>
      </c>
      <c r="O1361" t="s">
        <v>36</v>
      </c>
      <c r="P1361" t="s">
        <v>43</v>
      </c>
      <c r="Q1361">
        <v>14</v>
      </c>
      <c r="R1361">
        <v>1</v>
      </c>
      <c r="S1361">
        <v>15</v>
      </c>
      <c r="T1361">
        <v>4</v>
      </c>
      <c r="U1361">
        <v>13</v>
      </c>
      <c r="V1361">
        <v>5</v>
      </c>
      <c r="W1361">
        <v>57</v>
      </c>
      <c r="X1361">
        <v>1157</v>
      </c>
      <c r="Y1361">
        <v>11912</v>
      </c>
      <c r="Z1361">
        <v>3986</v>
      </c>
      <c r="AA1361">
        <v>3</v>
      </c>
      <c r="AB1361">
        <v>32502</v>
      </c>
      <c r="AC1361" s="10">
        <v>39502</v>
      </c>
      <c r="AD1361" s="10" t="s">
        <v>72</v>
      </c>
      <c r="AE1361" t="s">
        <v>72</v>
      </c>
      <c r="AF1361" t="s">
        <v>45</v>
      </c>
    </row>
    <row r="1362" spans="1:32" x14ac:dyDescent="0.25">
      <c r="A1362">
        <v>1549</v>
      </c>
      <c r="B1362">
        <v>33</v>
      </c>
      <c r="C1362" t="s">
        <v>43</v>
      </c>
      <c r="D1362" t="s">
        <v>33</v>
      </c>
      <c r="E1362" t="s">
        <v>34</v>
      </c>
      <c r="F1362" t="s">
        <v>35</v>
      </c>
      <c r="G1362" t="s">
        <v>38</v>
      </c>
      <c r="H1362" t="s">
        <v>37</v>
      </c>
      <c r="I1362" t="s">
        <v>50</v>
      </c>
      <c r="J1362" t="s">
        <v>51</v>
      </c>
      <c r="K1362">
        <v>3</v>
      </c>
      <c r="L1362">
        <v>3</v>
      </c>
      <c r="M1362" t="s">
        <v>48</v>
      </c>
      <c r="N1362" t="s">
        <v>61</v>
      </c>
      <c r="O1362" t="s">
        <v>36</v>
      </c>
      <c r="P1362" t="s">
        <v>32</v>
      </c>
      <c r="Q1362">
        <v>12</v>
      </c>
      <c r="R1362">
        <v>1</v>
      </c>
      <c r="S1362">
        <v>15</v>
      </c>
      <c r="T1362">
        <v>5</v>
      </c>
      <c r="U1362">
        <v>7</v>
      </c>
      <c r="V1362">
        <v>28</v>
      </c>
      <c r="W1362">
        <v>79</v>
      </c>
      <c r="X1362">
        <v>589</v>
      </c>
      <c r="Y1362">
        <v>22949</v>
      </c>
      <c r="Z1362">
        <v>5207</v>
      </c>
      <c r="AA1362">
        <v>3</v>
      </c>
      <c r="AB1362">
        <v>32813</v>
      </c>
      <c r="AC1362" s="10">
        <v>39623</v>
      </c>
      <c r="AD1362" s="10" t="s">
        <v>72</v>
      </c>
      <c r="AE1362" t="s">
        <v>72</v>
      </c>
      <c r="AF1362" t="s">
        <v>55</v>
      </c>
    </row>
    <row r="1363" spans="1:32" x14ac:dyDescent="0.25">
      <c r="A1363">
        <v>1196</v>
      </c>
      <c r="B1363">
        <v>37</v>
      </c>
      <c r="C1363" t="s">
        <v>43</v>
      </c>
      <c r="D1363" t="s">
        <v>33</v>
      </c>
      <c r="E1363" t="s">
        <v>34</v>
      </c>
      <c r="F1363" t="s">
        <v>49</v>
      </c>
      <c r="G1363" t="s">
        <v>59</v>
      </c>
      <c r="H1363" t="s">
        <v>47</v>
      </c>
      <c r="I1363" t="s">
        <v>38</v>
      </c>
      <c r="J1363" t="s">
        <v>65</v>
      </c>
      <c r="K1363">
        <v>4</v>
      </c>
      <c r="L1363">
        <v>3</v>
      </c>
      <c r="M1363" t="s">
        <v>60</v>
      </c>
      <c r="N1363" t="s">
        <v>61</v>
      </c>
      <c r="O1363" t="s">
        <v>36</v>
      </c>
      <c r="P1363" t="s">
        <v>43</v>
      </c>
      <c r="Q1363">
        <v>13</v>
      </c>
      <c r="R1363">
        <v>1</v>
      </c>
      <c r="S1363">
        <v>14</v>
      </c>
      <c r="T1363">
        <v>3</v>
      </c>
      <c r="U1363">
        <v>11</v>
      </c>
      <c r="V1363">
        <v>1</v>
      </c>
      <c r="W1363">
        <v>56</v>
      </c>
      <c r="X1363">
        <v>977</v>
      </c>
      <c r="Y1363">
        <v>9961</v>
      </c>
      <c r="Z1363">
        <v>6474</v>
      </c>
      <c r="AA1363">
        <v>2</v>
      </c>
      <c r="AB1363">
        <v>31362</v>
      </c>
      <c r="AC1363" s="10">
        <v>39706</v>
      </c>
      <c r="AD1363" s="10" t="s">
        <v>72</v>
      </c>
      <c r="AE1363" t="s">
        <v>72</v>
      </c>
      <c r="AF1363" t="s">
        <v>45</v>
      </c>
    </row>
    <row r="1364" spans="1:32" x14ac:dyDescent="0.25">
      <c r="A1364">
        <v>32</v>
      </c>
      <c r="B1364">
        <v>53</v>
      </c>
      <c r="C1364" t="s">
        <v>43</v>
      </c>
      <c r="D1364" t="s">
        <v>33</v>
      </c>
      <c r="E1364" t="s">
        <v>34</v>
      </c>
      <c r="F1364" t="s">
        <v>49</v>
      </c>
      <c r="G1364" t="s">
        <v>50</v>
      </c>
      <c r="H1364" t="s">
        <v>47</v>
      </c>
      <c r="I1364" t="s">
        <v>50</v>
      </c>
      <c r="J1364" t="s">
        <v>69</v>
      </c>
      <c r="K1364">
        <v>3</v>
      </c>
      <c r="L1364">
        <v>3</v>
      </c>
      <c r="M1364" t="s">
        <v>60</v>
      </c>
      <c r="N1364" t="s">
        <v>52</v>
      </c>
      <c r="O1364" t="s">
        <v>36</v>
      </c>
      <c r="P1364" t="s">
        <v>43</v>
      </c>
      <c r="Q1364">
        <v>11</v>
      </c>
      <c r="R1364">
        <v>4</v>
      </c>
      <c r="S1364">
        <v>26</v>
      </c>
      <c r="T1364">
        <v>4</v>
      </c>
      <c r="U1364">
        <v>8</v>
      </c>
      <c r="V1364">
        <v>5</v>
      </c>
      <c r="W1364">
        <v>58</v>
      </c>
      <c r="X1364">
        <v>1282</v>
      </c>
      <c r="Y1364">
        <v>10735</v>
      </c>
      <c r="Z1364">
        <v>19094</v>
      </c>
      <c r="AA1364">
        <v>3</v>
      </c>
      <c r="AB1364">
        <v>25678</v>
      </c>
      <c r="AC1364" s="10">
        <v>39749</v>
      </c>
      <c r="AD1364" s="10" t="s">
        <v>72</v>
      </c>
      <c r="AE1364" t="s">
        <v>72</v>
      </c>
      <c r="AF1364" t="s">
        <v>45</v>
      </c>
    </row>
    <row r="1365" spans="1:32" x14ac:dyDescent="0.25">
      <c r="A1365">
        <v>830</v>
      </c>
      <c r="B1365">
        <v>32</v>
      </c>
      <c r="C1365" t="s">
        <v>43</v>
      </c>
      <c r="D1365" t="s">
        <v>33</v>
      </c>
      <c r="E1365" t="s">
        <v>34</v>
      </c>
      <c r="F1365" t="s">
        <v>49</v>
      </c>
      <c r="G1365" t="s">
        <v>50</v>
      </c>
      <c r="H1365" t="s">
        <v>47</v>
      </c>
      <c r="I1365" t="s">
        <v>38</v>
      </c>
      <c r="J1365" t="s">
        <v>65</v>
      </c>
      <c r="K1365">
        <v>3</v>
      </c>
      <c r="L1365">
        <v>3</v>
      </c>
      <c r="M1365" t="s">
        <v>48</v>
      </c>
      <c r="N1365" t="s">
        <v>61</v>
      </c>
      <c r="O1365" t="s">
        <v>36</v>
      </c>
      <c r="P1365" t="s">
        <v>43</v>
      </c>
      <c r="Q1365">
        <v>12</v>
      </c>
      <c r="R1365">
        <v>1</v>
      </c>
      <c r="S1365">
        <v>14</v>
      </c>
      <c r="T1365">
        <v>6</v>
      </c>
      <c r="U1365">
        <v>8</v>
      </c>
      <c r="V1365">
        <v>4</v>
      </c>
      <c r="W1365">
        <v>98</v>
      </c>
      <c r="X1365">
        <v>859</v>
      </c>
      <c r="Y1365">
        <v>19124</v>
      </c>
      <c r="Z1365">
        <v>6162</v>
      </c>
      <c r="AA1365">
        <v>3</v>
      </c>
      <c r="AB1365">
        <v>33376</v>
      </c>
      <c r="AC1365" s="10">
        <v>39753</v>
      </c>
      <c r="AD1365" s="10" t="s">
        <v>72</v>
      </c>
      <c r="AE1365" t="s">
        <v>72</v>
      </c>
      <c r="AF1365" t="s">
        <v>45</v>
      </c>
    </row>
    <row r="1366" spans="1:32" x14ac:dyDescent="0.25">
      <c r="A1366">
        <v>1383</v>
      </c>
      <c r="B1366">
        <v>34</v>
      </c>
      <c r="C1366" t="s">
        <v>43</v>
      </c>
      <c r="D1366" t="s">
        <v>33</v>
      </c>
      <c r="E1366" t="s">
        <v>34</v>
      </c>
      <c r="F1366" t="s">
        <v>35</v>
      </c>
      <c r="G1366" t="s">
        <v>50</v>
      </c>
      <c r="H1366" t="s">
        <v>47</v>
      </c>
      <c r="I1366" t="s">
        <v>50</v>
      </c>
      <c r="J1366" t="s">
        <v>62</v>
      </c>
      <c r="K1366">
        <v>4</v>
      </c>
      <c r="L1366">
        <v>3</v>
      </c>
      <c r="M1366" t="s">
        <v>58</v>
      </c>
      <c r="N1366" t="s">
        <v>41</v>
      </c>
      <c r="O1366" t="s">
        <v>42</v>
      </c>
      <c r="P1366" t="s">
        <v>43</v>
      </c>
      <c r="Q1366">
        <v>11</v>
      </c>
      <c r="R1366">
        <v>1</v>
      </c>
      <c r="S1366">
        <v>14</v>
      </c>
      <c r="T1366">
        <v>4</v>
      </c>
      <c r="U1366">
        <v>11</v>
      </c>
      <c r="V1366">
        <v>2</v>
      </c>
      <c r="W1366">
        <v>98</v>
      </c>
      <c r="X1366">
        <v>404</v>
      </c>
      <c r="Y1366">
        <v>6163</v>
      </c>
      <c r="Z1366">
        <v>6687</v>
      </c>
      <c r="AA1366">
        <v>2</v>
      </c>
      <c r="AB1366">
        <v>32446</v>
      </c>
      <c r="AC1366" s="10">
        <v>39828</v>
      </c>
      <c r="AD1366" s="10" t="s">
        <v>72</v>
      </c>
      <c r="AE1366" t="s">
        <v>72</v>
      </c>
      <c r="AF1366" t="s">
        <v>55</v>
      </c>
    </row>
    <row r="1367" spans="1:32" x14ac:dyDescent="0.25">
      <c r="A1367">
        <v>1238</v>
      </c>
      <c r="B1367">
        <v>33</v>
      </c>
      <c r="C1367" t="s">
        <v>43</v>
      </c>
      <c r="D1367" t="s">
        <v>33</v>
      </c>
      <c r="E1367" t="s">
        <v>34</v>
      </c>
      <c r="F1367" t="s">
        <v>49</v>
      </c>
      <c r="G1367" t="s">
        <v>36</v>
      </c>
      <c r="H1367" t="s">
        <v>37</v>
      </c>
      <c r="I1367" t="s">
        <v>50</v>
      </c>
      <c r="J1367" t="s">
        <v>39</v>
      </c>
      <c r="K1367">
        <v>4</v>
      </c>
      <c r="L1367">
        <v>3</v>
      </c>
      <c r="M1367" t="s">
        <v>48</v>
      </c>
      <c r="N1367" t="s">
        <v>61</v>
      </c>
      <c r="O1367" t="s">
        <v>36</v>
      </c>
      <c r="P1367" t="s">
        <v>43</v>
      </c>
      <c r="Q1367">
        <v>13</v>
      </c>
      <c r="R1367">
        <v>0</v>
      </c>
      <c r="S1367">
        <v>15</v>
      </c>
      <c r="T1367">
        <v>4</v>
      </c>
      <c r="U1367">
        <v>10</v>
      </c>
      <c r="V1367">
        <v>9</v>
      </c>
      <c r="W1367">
        <v>60</v>
      </c>
      <c r="X1367">
        <v>117</v>
      </c>
      <c r="Y1367">
        <v>6311</v>
      </c>
      <c r="Z1367">
        <v>2781</v>
      </c>
      <c r="AA1367">
        <v>5</v>
      </c>
      <c r="AB1367">
        <v>32954</v>
      </c>
      <c r="AC1367" s="10">
        <v>39913</v>
      </c>
      <c r="AD1367" s="10" t="s">
        <v>72</v>
      </c>
      <c r="AE1367" t="s">
        <v>72</v>
      </c>
      <c r="AF1367" t="s">
        <v>45</v>
      </c>
    </row>
    <row r="1368" spans="1:32" x14ac:dyDescent="0.25">
      <c r="A1368">
        <v>1698</v>
      </c>
      <c r="B1368">
        <v>33</v>
      </c>
      <c r="C1368" t="s">
        <v>43</v>
      </c>
      <c r="D1368" t="s">
        <v>33</v>
      </c>
      <c r="E1368" t="s">
        <v>34</v>
      </c>
      <c r="F1368" t="s">
        <v>49</v>
      </c>
      <c r="G1368" t="s">
        <v>38</v>
      </c>
      <c r="H1368" t="s">
        <v>37</v>
      </c>
      <c r="I1368" t="s">
        <v>59</v>
      </c>
      <c r="J1368" t="s">
        <v>51</v>
      </c>
      <c r="K1368">
        <v>2</v>
      </c>
      <c r="L1368">
        <v>3</v>
      </c>
      <c r="M1368" t="s">
        <v>48</v>
      </c>
      <c r="N1368" t="s">
        <v>61</v>
      </c>
      <c r="O1368" t="s">
        <v>50</v>
      </c>
      <c r="P1368" t="s">
        <v>43</v>
      </c>
      <c r="Q1368">
        <v>18</v>
      </c>
      <c r="R1368">
        <v>1</v>
      </c>
      <c r="S1368">
        <v>14</v>
      </c>
      <c r="T1368">
        <v>2</v>
      </c>
      <c r="U1368">
        <v>13</v>
      </c>
      <c r="V1368">
        <v>21</v>
      </c>
      <c r="W1368">
        <v>79</v>
      </c>
      <c r="X1368">
        <v>267</v>
      </c>
      <c r="Y1368">
        <v>13637</v>
      </c>
      <c r="Z1368">
        <v>2028</v>
      </c>
      <c r="AA1368">
        <v>6</v>
      </c>
      <c r="AB1368">
        <v>32852</v>
      </c>
      <c r="AC1368" s="10">
        <v>39958</v>
      </c>
      <c r="AD1368" s="10" t="s">
        <v>72</v>
      </c>
      <c r="AE1368" t="s">
        <v>72</v>
      </c>
      <c r="AF1368" t="s">
        <v>45</v>
      </c>
    </row>
    <row r="1369" spans="1:32" x14ac:dyDescent="0.25">
      <c r="A1369">
        <v>524</v>
      </c>
      <c r="B1369">
        <v>31</v>
      </c>
      <c r="C1369" t="s">
        <v>43</v>
      </c>
      <c r="D1369" t="s">
        <v>33</v>
      </c>
      <c r="E1369" t="s">
        <v>34</v>
      </c>
      <c r="F1369" t="s">
        <v>67</v>
      </c>
      <c r="G1369" t="s">
        <v>38</v>
      </c>
      <c r="H1369" t="s">
        <v>47</v>
      </c>
      <c r="I1369" t="s">
        <v>50</v>
      </c>
      <c r="J1369" t="s">
        <v>65</v>
      </c>
      <c r="K1369">
        <v>1</v>
      </c>
      <c r="L1369">
        <v>3</v>
      </c>
      <c r="M1369" t="s">
        <v>40</v>
      </c>
      <c r="N1369" t="s">
        <v>61</v>
      </c>
      <c r="O1369" t="s">
        <v>36</v>
      </c>
      <c r="P1369" t="s">
        <v>43</v>
      </c>
      <c r="Q1369">
        <v>12</v>
      </c>
      <c r="R1369">
        <v>1</v>
      </c>
      <c r="S1369">
        <v>13</v>
      </c>
      <c r="T1369">
        <v>3</v>
      </c>
      <c r="U1369">
        <v>12</v>
      </c>
      <c r="V1369">
        <v>7</v>
      </c>
      <c r="W1369">
        <v>31</v>
      </c>
      <c r="X1369">
        <v>480</v>
      </c>
      <c r="Y1369">
        <v>4156</v>
      </c>
      <c r="Z1369">
        <v>4306</v>
      </c>
      <c r="AA1369">
        <v>5</v>
      </c>
      <c r="AB1369">
        <v>33546</v>
      </c>
      <c r="AC1369" s="10">
        <v>40029</v>
      </c>
      <c r="AD1369" s="10" t="s">
        <v>72</v>
      </c>
      <c r="AE1369" t="s">
        <v>72</v>
      </c>
      <c r="AF1369" t="s">
        <v>45</v>
      </c>
    </row>
    <row r="1370" spans="1:32" x14ac:dyDescent="0.25">
      <c r="A1370">
        <v>1911</v>
      </c>
      <c r="B1370">
        <v>42</v>
      </c>
      <c r="C1370" t="s">
        <v>43</v>
      </c>
      <c r="D1370" t="s">
        <v>33</v>
      </c>
      <c r="E1370" t="s">
        <v>34</v>
      </c>
      <c r="F1370" t="s">
        <v>49</v>
      </c>
      <c r="G1370" t="s">
        <v>50</v>
      </c>
      <c r="H1370" t="s">
        <v>37</v>
      </c>
      <c r="I1370" t="s">
        <v>50</v>
      </c>
      <c r="J1370" t="s">
        <v>71</v>
      </c>
      <c r="K1370">
        <v>1</v>
      </c>
      <c r="L1370">
        <v>3</v>
      </c>
      <c r="M1370" t="s">
        <v>58</v>
      </c>
      <c r="N1370" t="s">
        <v>61</v>
      </c>
      <c r="O1370" t="s">
        <v>36</v>
      </c>
      <c r="P1370" t="s">
        <v>43</v>
      </c>
      <c r="Q1370">
        <v>13</v>
      </c>
      <c r="R1370">
        <v>9</v>
      </c>
      <c r="S1370">
        <v>18</v>
      </c>
      <c r="T1370">
        <v>5</v>
      </c>
      <c r="U1370">
        <v>7</v>
      </c>
      <c r="V1370">
        <v>6</v>
      </c>
      <c r="W1370">
        <v>83</v>
      </c>
      <c r="X1370">
        <v>1396</v>
      </c>
      <c r="Y1370">
        <v>14842</v>
      </c>
      <c r="Z1370">
        <v>13348</v>
      </c>
      <c r="AA1370">
        <v>3</v>
      </c>
      <c r="AB1370">
        <v>29591</v>
      </c>
      <c r="AC1370" s="10">
        <v>40133</v>
      </c>
      <c r="AD1370" s="10" t="s">
        <v>72</v>
      </c>
      <c r="AE1370" t="s">
        <v>72</v>
      </c>
      <c r="AF1370" t="s">
        <v>45</v>
      </c>
    </row>
    <row r="1371" spans="1:32" x14ac:dyDescent="0.25">
      <c r="A1371">
        <v>304</v>
      </c>
      <c r="B1371">
        <v>36</v>
      </c>
      <c r="C1371" t="s">
        <v>43</v>
      </c>
      <c r="D1371" t="s">
        <v>33</v>
      </c>
      <c r="E1371" t="s">
        <v>34</v>
      </c>
      <c r="F1371" t="s">
        <v>67</v>
      </c>
      <c r="G1371" t="s">
        <v>59</v>
      </c>
      <c r="H1371" t="s">
        <v>37</v>
      </c>
      <c r="I1371" t="s">
        <v>50</v>
      </c>
      <c r="J1371" t="s">
        <v>51</v>
      </c>
      <c r="K1371">
        <v>2</v>
      </c>
      <c r="L1371">
        <v>3</v>
      </c>
      <c r="M1371" t="s">
        <v>58</v>
      </c>
      <c r="N1371" t="s">
        <v>41</v>
      </c>
      <c r="O1371" t="s">
        <v>42</v>
      </c>
      <c r="P1371" t="s">
        <v>43</v>
      </c>
      <c r="Q1371">
        <v>16</v>
      </c>
      <c r="R1371">
        <v>8</v>
      </c>
      <c r="S1371">
        <v>16</v>
      </c>
      <c r="T1371">
        <v>3</v>
      </c>
      <c r="U1371">
        <v>7</v>
      </c>
      <c r="V1371">
        <v>5</v>
      </c>
      <c r="W1371">
        <v>62</v>
      </c>
      <c r="X1371">
        <v>1396</v>
      </c>
      <c r="Y1371">
        <v>9945</v>
      </c>
      <c r="Z1371">
        <v>5914</v>
      </c>
      <c r="AA1371">
        <v>3</v>
      </c>
      <c r="AB1371">
        <v>31893</v>
      </c>
      <c r="AC1371" s="10">
        <v>40189</v>
      </c>
      <c r="AD1371" s="10" t="s">
        <v>72</v>
      </c>
      <c r="AE1371" t="s">
        <v>72</v>
      </c>
      <c r="AF1371" t="s">
        <v>55</v>
      </c>
    </row>
    <row r="1372" spans="1:32" x14ac:dyDescent="0.25">
      <c r="A1372">
        <v>817</v>
      </c>
      <c r="B1372">
        <v>33</v>
      </c>
      <c r="C1372" t="s">
        <v>43</v>
      </c>
      <c r="D1372" t="s">
        <v>33</v>
      </c>
      <c r="E1372" t="s">
        <v>34</v>
      </c>
      <c r="F1372" t="s">
        <v>49</v>
      </c>
      <c r="G1372" t="s">
        <v>50</v>
      </c>
      <c r="H1372" t="s">
        <v>37</v>
      </c>
      <c r="I1372" t="s">
        <v>50</v>
      </c>
      <c r="J1372" t="s">
        <v>71</v>
      </c>
      <c r="K1372">
        <v>3</v>
      </c>
      <c r="L1372">
        <v>3</v>
      </c>
      <c r="M1372" t="s">
        <v>58</v>
      </c>
      <c r="N1372" t="s">
        <v>61</v>
      </c>
      <c r="O1372" t="s">
        <v>42</v>
      </c>
      <c r="P1372" t="s">
        <v>43</v>
      </c>
      <c r="Q1372">
        <v>11</v>
      </c>
      <c r="R1372">
        <v>0</v>
      </c>
      <c r="S1372">
        <v>14</v>
      </c>
      <c r="T1372">
        <v>3</v>
      </c>
      <c r="U1372">
        <v>7</v>
      </c>
      <c r="V1372">
        <v>7</v>
      </c>
      <c r="W1372">
        <v>49</v>
      </c>
      <c r="X1372">
        <v>213</v>
      </c>
      <c r="Y1372">
        <v>25995</v>
      </c>
      <c r="Z1372">
        <v>11691</v>
      </c>
      <c r="AA1372">
        <v>3</v>
      </c>
      <c r="AB1372">
        <v>32821</v>
      </c>
      <c r="AC1372" s="10">
        <v>40239</v>
      </c>
      <c r="AD1372" s="10" t="s">
        <v>72</v>
      </c>
      <c r="AE1372" t="s">
        <v>72</v>
      </c>
      <c r="AF1372" t="s">
        <v>45</v>
      </c>
    </row>
    <row r="1373" spans="1:32" x14ac:dyDescent="0.25">
      <c r="A1373">
        <v>1790</v>
      </c>
      <c r="B1373">
        <v>36</v>
      </c>
      <c r="C1373" t="s">
        <v>43</v>
      </c>
      <c r="D1373" t="s">
        <v>33</v>
      </c>
      <c r="E1373" t="s">
        <v>34</v>
      </c>
      <c r="F1373" t="s">
        <v>49</v>
      </c>
      <c r="G1373" t="s">
        <v>59</v>
      </c>
      <c r="H1373" t="s">
        <v>37</v>
      </c>
      <c r="I1373" t="s">
        <v>50</v>
      </c>
      <c r="J1373" t="s">
        <v>62</v>
      </c>
      <c r="K1373">
        <v>1</v>
      </c>
      <c r="L1373">
        <v>3</v>
      </c>
      <c r="M1373" t="s">
        <v>48</v>
      </c>
      <c r="N1373" t="s">
        <v>61</v>
      </c>
      <c r="O1373" t="s">
        <v>36</v>
      </c>
      <c r="P1373" t="s">
        <v>32</v>
      </c>
      <c r="Q1373">
        <v>13</v>
      </c>
      <c r="R1373">
        <v>7</v>
      </c>
      <c r="S1373">
        <v>15</v>
      </c>
      <c r="T1373">
        <v>5</v>
      </c>
      <c r="U1373">
        <v>7</v>
      </c>
      <c r="V1373">
        <v>10</v>
      </c>
      <c r="W1373">
        <v>90</v>
      </c>
      <c r="X1373">
        <v>1383</v>
      </c>
      <c r="Y1373">
        <v>25949</v>
      </c>
      <c r="Z1373">
        <v>8321</v>
      </c>
      <c r="AA1373">
        <v>1</v>
      </c>
      <c r="AB1373">
        <v>31674</v>
      </c>
      <c r="AC1373" s="10">
        <v>40469</v>
      </c>
      <c r="AD1373" s="10" t="s">
        <v>72</v>
      </c>
      <c r="AE1373" t="s">
        <v>72</v>
      </c>
      <c r="AF1373" t="s">
        <v>45</v>
      </c>
    </row>
    <row r="1374" spans="1:32" x14ac:dyDescent="0.25">
      <c r="A1374">
        <v>28</v>
      </c>
      <c r="B1374">
        <v>34</v>
      </c>
      <c r="C1374" t="s">
        <v>43</v>
      </c>
      <c r="D1374" t="s">
        <v>33</v>
      </c>
      <c r="E1374" t="s">
        <v>34</v>
      </c>
      <c r="F1374" t="s">
        <v>35</v>
      </c>
      <c r="G1374" t="s">
        <v>36</v>
      </c>
      <c r="H1374" t="s">
        <v>47</v>
      </c>
      <c r="I1374" t="s">
        <v>50</v>
      </c>
      <c r="J1374" t="s">
        <v>71</v>
      </c>
      <c r="K1374">
        <v>2</v>
      </c>
      <c r="L1374">
        <v>3</v>
      </c>
      <c r="M1374" t="s">
        <v>48</v>
      </c>
      <c r="N1374" t="s">
        <v>41</v>
      </c>
      <c r="O1374" t="s">
        <v>42</v>
      </c>
      <c r="P1374" t="s">
        <v>43</v>
      </c>
      <c r="Q1374">
        <v>11</v>
      </c>
      <c r="R1374">
        <v>0</v>
      </c>
      <c r="S1374">
        <v>13</v>
      </c>
      <c r="T1374">
        <v>2</v>
      </c>
      <c r="U1374">
        <v>11</v>
      </c>
      <c r="V1374">
        <v>7</v>
      </c>
      <c r="W1374">
        <v>53</v>
      </c>
      <c r="X1374">
        <v>419</v>
      </c>
      <c r="Y1374">
        <v>21293</v>
      </c>
      <c r="Z1374">
        <v>11994</v>
      </c>
      <c r="AA1374">
        <v>4</v>
      </c>
      <c r="AB1374">
        <v>32592</v>
      </c>
      <c r="AC1374" s="10">
        <v>40702</v>
      </c>
      <c r="AD1374" s="10" t="s">
        <v>72</v>
      </c>
      <c r="AE1374" t="s">
        <v>72</v>
      </c>
      <c r="AF1374" t="s">
        <v>45</v>
      </c>
    </row>
    <row r="1375" spans="1:32" x14ac:dyDescent="0.25">
      <c r="A1375">
        <v>901</v>
      </c>
      <c r="B1375">
        <v>53</v>
      </c>
      <c r="C1375" t="s">
        <v>43</v>
      </c>
      <c r="D1375" t="s">
        <v>33</v>
      </c>
      <c r="E1375" t="s">
        <v>34</v>
      </c>
      <c r="F1375" t="s">
        <v>35</v>
      </c>
      <c r="G1375" t="s">
        <v>59</v>
      </c>
      <c r="H1375" t="s">
        <v>47</v>
      </c>
      <c r="I1375" t="s">
        <v>50</v>
      </c>
      <c r="J1375" t="s">
        <v>71</v>
      </c>
      <c r="K1375">
        <v>4</v>
      </c>
      <c r="L1375">
        <v>3</v>
      </c>
      <c r="M1375" t="s">
        <v>48</v>
      </c>
      <c r="N1375" t="s">
        <v>41</v>
      </c>
      <c r="O1375" t="s">
        <v>42</v>
      </c>
      <c r="P1375" t="s">
        <v>43</v>
      </c>
      <c r="Q1375">
        <v>18</v>
      </c>
      <c r="R1375">
        <v>6</v>
      </c>
      <c r="S1375">
        <v>33</v>
      </c>
      <c r="T1375">
        <v>3</v>
      </c>
      <c r="U1375">
        <v>8</v>
      </c>
      <c r="V1375">
        <v>23</v>
      </c>
      <c r="W1375">
        <v>72</v>
      </c>
      <c r="X1375">
        <v>102</v>
      </c>
      <c r="Y1375">
        <v>20206</v>
      </c>
      <c r="Z1375">
        <v>14275</v>
      </c>
      <c r="AA1375">
        <v>0</v>
      </c>
      <c r="AB1375">
        <v>25571</v>
      </c>
      <c r="AC1375" s="10">
        <v>40731</v>
      </c>
      <c r="AD1375" s="10" t="s">
        <v>72</v>
      </c>
      <c r="AE1375" t="s">
        <v>72</v>
      </c>
      <c r="AF1375" t="s">
        <v>55</v>
      </c>
    </row>
    <row r="1376" spans="1:32" x14ac:dyDescent="0.25">
      <c r="A1376">
        <v>461</v>
      </c>
      <c r="B1376">
        <v>38</v>
      </c>
      <c r="C1376" t="s">
        <v>43</v>
      </c>
      <c r="D1376" t="s">
        <v>33</v>
      </c>
      <c r="E1376" t="s">
        <v>34</v>
      </c>
      <c r="F1376" t="s">
        <v>67</v>
      </c>
      <c r="G1376" t="s">
        <v>50</v>
      </c>
      <c r="H1376" t="s">
        <v>37</v>
      </c>
      <c r="I1376" t="s">
        <v>38</v>
      </c>
      <c r="J1376" t="s">
        <v>71</v>
      </c>
      <c r="K1376">
        <v>4</v>
      </c>
      <c r="L1376">
        <v>3</v>
      </c>
      <c r="M1376" t="s">
        <v>48</v>
      </c>
      <c r="N1376" t="s">
        <v>52</v>
      </c>
      <c r="O1376" t="s">
        <v>36</v>
      </c>
      <c r="P1376" t="s">
        <v>32</v>
      </c>
      <c r="Q1376">
        <v>14</v>
      </c>
      <c r="R1376">
        <v>0</v>
      </c>
      <c r="S1376">
        <v>12</v>
      </c>
      <c r="T1376">
        <v>2</v>
      </c>
      <c r="U1376">
        <v>9</v>
      </c>
      <c r="V1376">
        <v>15</v>
      </c>
      <c r="W1376">
        <v>92</v>
      </c>
      <c r="X1376">
        <v>343</v>
      </c>
      <c r="Y1376">
        <v>15682</v>
      </c>
      <c r="Z1376">
        <v>11510</v>
      </c>
      <c r="AA1376">
        <v>3</v>
      </c>
      <c r="AB1376">
        <v>31112</v>
      </c>
      <c r="AC1376" s="10">
        <v>40757</v>
      </c>
      <c r="AD1376" s="10" t="s">
        <v>72</v>
      </c>
      <c r="AE1376" t="s">
        <v>72</v>
      </c>
      <c r="AF1376" t="s">
        <v>55</v>
      </c>
    </row>
    <row r="1377" spans="1:32" x14ac:dyDescent="0.25">
      <c r="A1377">
        <v>462</v>
      </c>
      <c r="B1377">
        <v>31</v>
      </c>
      <c r="C1377" t="s">
        <v>43</v>
      </c>
      <c r="D1377" t="s">
        <v>33</v>
      </c>
      <c r="E1377" t="s">
        <v>34</v>
      </c>
      <c r="F1377" t="s">
        <v>35</v>
      </c>
      <c r="G1377" t="s">
        <v>50</v>
      </c>
      <c r="H1377" t="s">
        <v>47</v>
      </c>
      <c r="I1377" t="s">
        <v>50</v>
      </c>
      <c r="J1377" t="s">
        <v>65</v>
      </c>
      <c r="K1377">
        <v>4</v>
      </c>
      <c r="L1377">
        <v>3</v>
      </c>
      <c r="M1377" t="s">
        <v>60</v>
      </c>
      <c r="N1377" t="s">
        <v>41</v>
      </c>
      <c r="O1377" t="s">
        <v>42</v>
      </c>
      <c r="P1377" t="s">
        <v>32</v>
      </c>
      <c r="Q1377">
        <v>14</v>
      </c>
      <c r="R1377">
        <v>1</v>
      </c>
      <c r="S1377">
        <v>11</v>
      </c>
      <c r="T1377">
        <v>4</v>
      </c>
      <c r="U1377">
        <v>10</v>
      </c>
      <c r="V1377">
        <v>7</v>
      </c>
      <c r="W1377">
        <v>39</v>
      </c>
      <c r="X1377">
        <v>1232</v>
      </c>
      <c r="Y1377">
        <v>25713</v>
      </c>
      <c r="Z1377">
        <v>7143</v>
      </c>
      <c r="AA1377">
        <v>2</v>
      </c>
      <c r="AB1377">
        <v>33451</v>
      </c>
      <c r="AC1377" s="10">
        <v>40855</v>
      </c>
      <c r="AD1377" s="10" t="s">
        <v>72</v>
      </c>
      <c r="AE1377" t="s">
        <v>72</v>
      </c>
      <c r="AF1377" t="s">
        <v>45</v>
      </c>
    </row>
    <row r="1378" spans="1:32" x14ac:dyDescent="0.25">
      <c r="A1378">
        <v>1529</v>
      </c>
      <c r="B1378">
        <v>35</v>
      </c>
      <c r="C1378" t="s">
        <v>43</v>
      </c>
      <c r="D1378" t="s">
        <v>33</v>
      </c>
      <c r="E1378" t="s">
        <v>34</v>
      </c>
      <c r="F1378" t="s">
        <v>49</v>
      </c>
      <c r="G1378" t="s">
        <v>59</v>
      </c>
      <c r="H1378" t="s">
        <v>47</v>
      </c>
      <c r="I1378" t="s">
        <v>38</v>
      </c>
      <c r="J1378" t="s">
        <v>62</v>
      </c>
      <c r="K1378">
        <v>2</v>
      </c>
      <c r="L1378">
        <v>3</v>
      </c>
      <c r="M1378" t="s">
        <v>40</v>
      </c>
      <c r="N1378" t="s">
        <v>41</v>
      </c>
      <c r="O1378" t="s">
        <v>42</v>
      </c>
      <c r="P1378" t="s">
        <v>43</v>
      </c>
      <c r="Q1378">
        <v>19</v>
      </c>
      <c r="R1378">
        <v>1</v>
      </c>
      <c r="S1378">
        <v>11</v>
      </c>
      <c r="T1378">
        <v>3</v>
      </c>
      <c r="U1378">
        <v>3</v>
      </c>
      <c r="V1378">
        <v>16</v>
      </c>
      <c r="W1378">
        <v>91</v>
      </c>
      <c r="X1378">
        <v>1029</v>
      </c>
      <c r="Y1378">
        <v>21195</v>
      </c>
      <c r="Z1378">
        <v>8606</v>
      </c>
      <c r="AA1378">
        <v>3</v>
      </c>
      <c r="AB1378">
        <v>32349</v>
      </c>
      <c r="AC1378" s="10">
        <v>40901</v>
      </c>
      <c r="AD1378" s="10" t="s">
        <v>72</v>
      </c>
      <c r="AE1378" t="s">
        <v>72</v>
      </c>
      <c r="AF1378" t="s">
        <v>45</v>
      </c>
    </row>
    <row r="1379" spans="1:32" x14ac:dyDescent="0.25">
      <c r="A1379">
        <v>153</v>
      </c>
      <c r="B1379">
        <v>34</v>
      </c>
      <c r="C1379" t="s">
        <v>43</v>
      </c>
      <c r="D1379" t="s">
        <v>33</v>
      </c>
      <c r="E1379" t="s">
        <v>34</v>
      </c>
      <c r="F1379" t="s">
        <v>49</v>
      </c>
      <c r="G1379" t="s">
        <v>50</v>
      </c>
      <c r="H1379" t="s">
        <v>47</v>
      </c>
      <c r="I1379" t="s">
        <v>38</v>
      </c>
      <c r="J1379" t="s">
        <v>69</v>
      </c>
      <c r="K1379">
        <v>1</v>
      </c>
      <c r="L1379">
        <v>3</v>
      </c>
      <c r="M1379" t="s">
        <v>48</v>
      </c>
      <c r="N1379" t="s">
        <v>41</v>
      </c>
      <c r="O1379" t="s">
        <v>42</v>
      </c>
      <c r="P1379" t="s">
        <v>43</v>
      </c>
      <c r="Q1379">
        <v>12</v>
      </c>
      <c r="R1379">
        <v>2</v>
      </c>
      <c r="S1379">
        <v>14</v>
      </c>
      <c r="T1379">
        <v>5</v>
      </c>
      <c r="U1379">
        <v>8</v>
      </c>
      <c r="V1379">
        <v>5</v>
      </c>
      <c r="W1379">
        <v>45</v>
      </c>
      <c r="X1379">
        <v>1354</v>
      </c>
      <c r="Y1379">
        <v>5615</v>
      </c>
      <c r="Z1379">
        <v>11631</v>
      </c>
      <c r="AA1379">
        <v>6</v>
      </c>
      <c r="AB1379">
        <v>32668</v>
      </c>
      <c r="AC1379" s="10">
        <v>40980</v>
      </c>
      <c r="AD1379" s="10" t="s">
        <v>72</v>
      </c>
      <c r="AE1379" t="s">
        <v>72</v>
      </c>
      <c r="AF1379" t="s">
        <v>45</v>
      </c>
    </row>
    <row r="1380" spans="1:32" x14ac:dyDescent="0.25">
      <c r="A1380">
        <v>117</v>
      </c>
      <c r="B1380">
        <v>30</v>
      </c>
      <c r="C1380" t="s">
        <v>43</v>
      </c>
      <c r="D1380" t="s">
        <v>33</v>
      </c>
      <c r="E1380" t="s">
        <v>34</v>
      </c>
      <c r="F1380" t="s">
        <v>49</v>
      </c>
      <c r="G1380" t="s">
        <v>50</v>
      </c>
      <c r="H1380" t="s">
        <v>37</v>
      </c>
      <c r="I1380" t="s">
        <v>38</v>
      </c>
      <c r="J1380" t="s">
        <v>62</v>
      </c>
      <c r="K1380">
        <v>4</v>
      </c>
      <c r="L1380">
        <v>3</v>
      </c>
      <c r="M1380" t="s">
        <v>48</v>
      </c>
      <c r="N1380" t="s">
        <v>61</v>
      </c>
      <c r="O1380" t="s">
        <v>50</v>
      </c>
      <c r="P1380" t="s">
        <v>43</v>
      </c>
      <c r="Q1380">
        <v>19</v>
      </c>
      <c r="R1380">
        <v>1</v>
      </c>
      <c r="S1380">
        <v>11</v>
      </c>
      <c r="T1380">
        <v>10</v>
      </c>
      <c r="U1380">
        <v>8</v>
      </c>
      <c r="V1380">
        <v>2</v>
      </c>
      <c r="W1380">
        <v>99</v>
      </c>
      <c r="X1380">
        <v>288</v>
      </c>
      <c r="Y1380">
        <v>15830</v>
      </c>
      <c r="Z1380">
        <v>4152</v>
      </c>
      <c r="AA1380">
        <v>3</v>
      </c>
      <c r="AB1380">
        <v>34105</v>
      </c>
      <c r="AC1380" s="10">
        <v>41043</v>
      </c>
      <c r="AD1380" s="10" t="s">
        <v>72</v>
      </c>
      <c r="AE1380" t="s">
        <v>72</v>
      </c>
      <c r="AF1380" t="s">
        <v>45</v>
      </c>
    </row>
    <row r="1381" spans="1:32" x14ac:dyDescent="0.25">
      <c r="A1381">
        <v>339</v>
      </c>
      <c r="B1381">
        <v>34</v>
      </c>
      <c r="C1381" t="s">
        <v>43</v>
      </c>
      <c r="D1381" t="s">
        <v>33</v>
      </c>
      <c r="E1381" t="s">
        <v>34</v>
      </c>
      <c r="F1381" t="s">
        <v>35</v>
      </c>
      <c r="G1381" t="s">
        <v>59</v>
      </c>
      <c r="H1381" t="s">
        <v>37</v>
      </c>
      <c r="I1381" t="s">
        <v>38</v>
      </c>
      <c r="J1381" t="s">
        <v>65</v>
      </c>
      <c r="K1381">
        <v>1</v>
      </c>
      <c r="L1381">
        <v>3</v>
      </c>
      <c r="M1381" t="s">
        <v>48</v>
      </c>
      <c r="N1381" t="s">
        <v>61</v>
      </c>
      <c r="O1381" t="s">
        <v>36</v>
      </c>
      <c r="P1381" t="s">
        <v>43</v>
      </c>
      <c r="Q1381">
        <v>13</v>
      </c>
      <c r="R1381">
        <v>6</v>
      </c>
      <c r="S1381">
        <v>13</v>
      </c>
      <c r="T1381">
        <v>5</v>
      </c>
      <c r="U1381">
        <v>9</v>
      </c>
      <c r="V1381">
        <v>2</v>
      </c>
      <c r="W1381">
        <v>84</v>
      </c>
      <c r="X1381">
        <v>470</v>
      </c>
      <c r="Y1381">
        <v>23687</v>
      </c>
      <c r="Z1381">
        <v>5957</v>
      </c>
      <c r="AA1381">
        <v>3</v>
      </c>
      <c r="AB1381">
        <v>32398</v>
      </c>
      <c r="AC1381" s="10">
        <v>41045</v>
      </c>
      <c r="AD1381" s="10" t="s">
        <v>72</v>
      </c>
      <c r="AE1381" t="s">
        <v>72</v>
      </c>
      <c r="AF1381" t="s">
        <v>45</v>
      </c>
    </row>
    <row r="1382" spans="1:32" x14ac:dyDescent="0.25">
      <c r="A1382">
        <v>1658</v>
      </c>
      <c r="B1382">
        <v>34</v>
      </c>
      <c r="C1382" t="s">
        <v>43</v>
      </c>
      <c r="D1382" t="s">
        <v>33</v>
      </c>
      <c r="E1382" t="s">
        <v>34</v>
      </c>
      <c r="F1382" t="s">
        <v>49</v>
      </c>
      <c r="G1382" t="s">
        <v>59</v>
      </c>
      <c r="H1382" t="s">
        <v>47</v>
      </c>
      <c r="I1382" t="s">
        <v>50</v>
      </c>
      <c r="J1382" t="s">
        <v>39</v>
      </c>
      <c r="K1382">
        <v>2</v>
      </c>
      <c r="L1382">
        <v>3</v>
      </c>
      <c r="M1382" t="s">
        <v>48</v>
      </c>
      <c r="N1382" t="s">
        <v>52</v>
      </c>
      <c r="O1382" t="s">
        <v>36</v>
      </c>
      <c r="P1382" t="s">
        <v>43</v>
      </c>
      <c r="Q1382">
        <v>12</v>
      </c>
      <c r="R1382">
        <v>1</v>
      </c>
      <c r="S1382">
        <v>11</v>
      </c>
      <c r="T1382">
        <v>7</v>
      </c>
      <c r="U1382">
        <v>9</v>
      </c>
      <c r="V1382">
        <v>3</v>
      </c>
      <c r="W1382">
        <v>66</v>
      </c>
      <c r="X1382">
        <v>1130</v>
      </c>
      <c r="Y1382">
        <v>19332</v>
      </c>
      <c r="Z1382">
        <v>5433</v>
      </c>
      <c r="AA1382">
        <v>2</v>
      </c>
      <c r="AB1382">
        <v>32595</v>
      </c>
      <c r="AC1382" s="10">
        <v>41075</v>
      </c>
      <c r="AD1382" s="10" t="s">
        <v>72</v>
      </c>
      <c r="AE1382" t="s">
        <v>72</v>
      </c>
      <c r="AF1382" t="s">
        <v>45</v>
      </c>
    </row>
    <row r="1383" spans="1:32" x14ac:dyDescent="0.25">
      <c r="A1383">
        <v>1543</v>
      </c>
      <c r="B1383">
        <v>37</v>
      </c>
      <c r="C1383" t="s">
        <v>43</v>
      </c>
      <c r="D1383" t="s">
        <v>33</v>
      </c>
      <c r="E1383" t="s">
        <v>34</v>
      </c>
      <c r="F1383" t="s">
        <v>49</v>
      </c>
      <c r="G1383" t="s">
        <v>36</v>
      </c>
      <c r="H1383" t="s">
        <v>37</v>
      </c>
      <c r="I1383" t="s">
        <v>50</v>
      </c>
      <c r="J1383" t="s">
        <v>39</v>
      </c>
      <c r="K1383">
        <v>4</v>
      </c>
      <c r="L1383">
        <v>3</v>
      </c>
      <c r="M1383" t="s">
        <v>48</v>
      </c>
      <c r="N1383" t="s">
        <v>61</v>
      </c>
      <c r="O1383" t="s">
        <v>42</v>
      </c>
      <c r="P1383" t="s">
        <v>43</v>
      </c>
      <c r="Q1383">
        <v>17</v>
      </c>
      <c r="R1383">
        <v>1</v>
      </c>
      <c r="S1383">
        <v>10</v>
      </c>
      <c r="T1383">
        <v>3</v>
      </c>
      <c r="U1383">
        <v>7</v>
      </c>
      <c r="V1383">
        <v>13</v>
      </c>
      <c r="W1383">
        <v>47</v>
      </c>
      <c r="X1383">
        <v>674</v>
      </c>
      <c r="Y1383">
        <v>3031</v>
      </c>
      <c r="Z1383">
        <v>4285</v>
      </c>
      <c r="AA1383">
        <v>2</v>
      </c>
      <c r="AB1383">
        <v>31404</v>
      </c>
      <c r="AC1383" s="10">
        <v>41158</v>
      </c>
      <c r="AD1383" s="10" t="s">
        <v>72</v>
      </c>
      <c r="AE1383" t="s">
        <v>72</v>
      </c>
      <c r="AF1383" t="s">
        <v>55</v>
      </c>
    </row>
    <row r="1384" spans="1:32" x14ac:dyDescent="0.25">
      <c r="A1384">
        <v>689</v>
      </c>
      <c r="B1384">
        <v>37</v>
      </c>
      <c r="C1384" t="s">
        <v>43</v>
      </c>
      <c r="D1384" t="s">
        <v>33</v>
      </c>
      <c r="E1384" t="s">
        <v>34</v>
      </c>
      <c r="F1384" t="s">
        <v>49</v>
      </c>
      <c r="G1384" t="s">
        <v>50</v>
      </c>
      <c r="H1384" t="s">
        <v>37</v>
      </c>
      <c r="I1384" t="s">
        <v>50</v>
      </c>
      <c r="J1384" t="s">
        <v>65</v>
      </c>
      <c r="K1384">
        <v>3</v>
      </c>
      <c r="L1384">
        <v>3</v>
      </c>
      <c r="M1384" t="s">
        <v>48</v>
      </c>
      <c r="N1384" t="s">
        <v>61</v>
      </c>
      <c r="O1384" t="s">
        <v>36</v>
      </c>
      <c r="P1384" t="s">
        <v>43</v>
      </c>
      <c r="Q1384">
        <v>15</v>
      </c>
      <c r="R1384">
        <v>1</v>
      </c>
      <c r="S1384">
        <v>10</v>
      </c>
      <c r="T1384">
        <v>7</v>
      </c>
      <c r="U1384">
        <v>8</v>
      </c>
      <c r="V1384">
        <v>3</v>
      </c>
      <c r="W1384">
        <v>36</v>
      </c>
      <c r="X1384">
        <v>482</v>
      </c>
      <c r="Y1384">
        <v>9606</v>
      </c>
      <c r="Z1384">
        <v>9434</v>
      </c>
      <c r="AA1384">
        <v>2</v>
      </c>
      <c r="AB1384">
        <v>31270</v>
      </c>
      <c r="AC1384" s="10">
        <v>41169</v>
      </c>
      <c r="AD1384" s="10" t="s">
        <v>72</v>
      </c>
      <c r="AE1384" t="s">
        <v>72</v>
      </c>
      <c r="AF1384" t="s">
        <v>45</v>
      </c>
    </row>
    <row r="1385" spans="1:32" x14ac:dyDescent="0.25">
      <c r="A1385">
        <v>1635</v>
      </c>
      <c r="B1385">
        <v>45</v>
      </c>
      <c r="C1385" t="s">
        <v>43</v>
      </c>
      <c r="D1385" t="s">
        <v>33</v>
      </c>
      <c r="E1385" t="s">
        <v>34</v>
      </c>
      <c r="F1385" t="s">
        <v>67</v>
      </c>
      <c r="G1385" t="s">
        <v>59</v>
      </c>
      <c r="H1385" t="s">
        <v>47</v>
      </c>
      <c r="I1385" t="s">
        <v>38</v>
      </c>
      <c r="J1385" t="s">
        <v>65</v>
      </c>
      <c r="K1385">
        <v>4</v>
      </c>
      <c r="L1385">
        <v>3</v>
      </c>
      <c r="M1385" t="s">
        <v>48</v>
      </c>
      <c r="N1385" t="s">
        <v>52</v>
      </c>
      <c r="O1385" t="s">
        <v>53</v>
      </c>
      <c r="P1385" t="s">
        <v>43</v>
      </c>
      <c r="Q1385">
        <v>19</v>
      </c>
      <c r="R1385">
        <v>1</v>
      </c>
      <c r="S1385">
        <v>10</v>
      </c>
      <c r="T1385">
        <v>3</v>
      </c>
      <c r="U1385">
        <v>9</v>
      </c>
      <c r="V1385">
        <v>2</v>
      </c>
      <c r="W1385">
        <v>59</v>
      </c>
      <c r="X1385">
        <v>1329</v>
      </c>
      <c r="Y1385">
        <v>5388</v>
      </c>
      <c r="Z1385">
        <v>5770</v>
      </c>
      <c r="AA1385">
        <v>3</v>
      </c>
      <c r="AB1385">
        <v>28464</v>
      </c>
      <c r="AC1385" s="10">
        <v>41201</v>
      </c>
      <c r="AD1385" s="10" t="s">
        <v>72</v>
      </c>
      <c r="AE1385" t="s">
        <v>72</v>
      </c>
      <c r="AF1385" t="s">
        <v>45</v>
      </c>
    </row>
    <row r="1386" spans="1:32" x14ac:dyDescent="0.25">
      <c r="A1386">
        <v>20</v>
      </c>
      <c r="B1386">
        <v>29</v>
      </c>
      <c r="C1386" t="s">
        <v>43</v>
      </c>
      <c r="D1386" t="s">
        <v>33</v>
      </c>
      <c r="E1386" t="s">
        <v>34</v>
      </c>
      <c r="F1386" t="s">
        <v>35</v>
      </c>
      <c r="G1386" t="s">
        <v>38</v>
      </c>
      <c r="H1386" t="s">
        <v>47</v>
      </c>
      <c r="I1386" t="s">
        <v>59</v>
      </c>
      <c r="J1386" t="s">
        <v>65</v>
      </c>
      <c r="K1386">
        <v>1</v>
      </c>
      <c r="L1386">
        <v>3</v>
      </c>
      <c r="M1386" t="s">
        <v>48</v>
      </c>
      <c r="N1386" t="s">
        <v>52</v>
      </c>
      <c r="O1386" t="s">
        <v>36</v>
      </c>
      <c r="P1386" t="s">
        <v>43</v>
      </c>
      <c r="Q1386">
        <v>11</v>
      </c>
      <c r="R1386">
        <v>1</v>
      </c>
      <c r="S1386">
        <v>10</v>
      </c>
      <c r="T1386">
        <v>8</v>
      </c>
      <c r="U1386">
        <v>8</v>
      </c>
      <c r="V1386">
        <v>21</v>
      </c>
      <c r="W1386">
        <v>51</v>
      </c>
      <c r="X1386">
        <v>1389</v>
      </c>
      <c r="Y1386">
        <v>10195</v>
      </c>
      <c r="Z1386">
        <v>9980</v>
      </c>
      <c r="AA1386">
        <v>1</v>
      </c>
      <c r="AB1386">
        <v>34369</v>
      </c>
      <c r="AC1386" s="10">
        <v>41209</v>
      </c>
      <c r="AD1386" s="10" t="s">
        <v>72</v>
      </c>
      <c r="AE1386" t="s">
        <v>72</v>
      </c>
      <c r="AF1386" t="s">
        <v>55</v>
      </c>
    </row>
    <row r="1387" spans="1:32" x14ac:dyDescent="0.25">
      <c r="A1387">
        <v>1553</v>
      </c>
      <c r="B1387">
        <v>45</v>
      </c>
      <c r="C1387" t="s">
        <v>43</v>
      </c>
      <c r="D1387" t="s">
        <v>33</v>
      </c>
      <c r="E1387" t="s">
        <v>34</v>
      </c>
      <c r="F1387" t="s">
        <v>35</v>
      </c>
      <c r="G1387" t="s">
        <v>36</v>
      </c>
      <c r="H1387" t="s">
        <v>37</v>
      </c>
      <c r="I1387" t="s">
        <v>50</v>
      </c>
      <c r="J1387" t="s">
        <v>62</v>
      </c>
      <c r="K1387">
        <v>2</v>
      </c>
      <c r="L1387">
        <v>3</v>
      </c>
      <c r="M1387" t="s">
        <v>48</v>
      </c>
      <c r="N1387" t="s">
        <v>52</v>
      </c>
      <c r="O1387" t="s">
        <v>50</v>
      </c>
      <c r="P1387" t="s">
        <v>43</v>
      </c>
      <c r="Q1387">
        <v>12</v>
      </c>
      <c r="R1387">
        <v>1</v>
      </c>
      <c r="S1387">
        <v>10</v>
      </c>
      <c r="T1387">
        <v>7</v>
      </c>
      <c r="U1387">
        <v>7</v>
      </c>
      <c r="V1387">
        <v>1</v>
      </c>
      <c r="W1387">
        <v>66</v>
      </c>
      <c r="X1387">
        <v>538</v>
      </c>
      <c r="Y1387">
        <v>20933</v>
      </c>
      <c r="Z1387">
        <v>7441</v>
      </c>
      <c r="AA1387">
        <v>4</v>
      </c>
      <c r="AB1387">
        <v>28628</v>
      </c>
      <c r="AC1387" s="10">
        <v>41230</v>
      </c>
      <c r="AD1387" s="10" t="s">
        <v>72</v>
      </c>
      <c r="AE1387" t="s">
        <v>72</v>
      </c>
      <c r="AF1387" t="s">
        <v>45</v>
      </c>
    </row>
    <row r="1388" spans="1:32" x14ac:dyDescent="0.25">
      <c r="A1388">
        <v>1224</v>
      </c>
      <c r="B1388">
        <v>30</v>
      </c>
      <c r="C1388" t="s">
        <v>43</v>
      </c>
      <c r="D1388" t="s">
        <v>33</v>
      </c>
      <c r="E1388" t="s">
        <v>34</v>
      </c>
      <c r="F1388" t="s">
        <v>35</v>
      </c>
      <c r="G1388" t="s">
        <v>50</v>
      </c>
      <c r="H1388" t="s">
        <v>37</v>
      </c>
      <c r="I1388" t="s">
        <v>50</v>
      </c>
      <c r="J1388" t="s">
        <v>51</v>
      </c>
      <c r="K1388">
        <v>3</v>
      </c>
      <c r="L1388">
        <v>3</v>
      </c>
      <c r="M1388" t="s">
        <v>60</v>
      </c>
      <c r="N1388" t="s">
        <v>52</v>
      </c>
      <c r="O1388" t="s">
        <v>50</v>
      </c>
      <c r="P1388" t="s">
        <v>43</v>
      </c>
      <c r="Q1388">
        <v>13</v>
      </c>
      <c r="R1388">
        <v>1</v>
      </c>
      <c r="S1388">
        <v>10</v>
      </c>
      <c r="T1388">
        <v>8</v>
      </c>
      <c r="U1388">
        <v>9</v>
      </c>
      <c r="V1388">
        <v>7</v>
      </c>
      <c r="W1388">
        <v>49</v>
      </c>
      <c r="X1388">
        <v>853</v>
      </c>
      <c r="Y1388">
        <v>11309</v>
      </c>
      <c r="Z1388">
        <v>3491</v>
      </c>
      <c r="AA1388">
        <v>4</v>
      </c>
      <c r="AB1388">
        <v>33890</v>
      </c>
      <c r="AC1388" s="10">
        <v>41235</v>
      </c>
      <c r="AD1388" s="10" t="s">
        <v>72</v>
      </c>
      <c r="AE1388" t="s">
        <v>72</v>
      </c>
      <c r="AF1388" t="s">
        <v>55</v>
      </c>
    </row>
    <row r="1389" spans="1:32" x14ac:dyDescent="0.25">
      <c r="A1389">
        <v>683</v>
      </c>
      <c r="B1389">
        <v>34</v>
      </c>
      <c r="C1389" t="s">
        <v>43</v>
      </c>
      <c r="D1389" t="s">
        <v>33</v>
      </c>
      <c r="E1389" t="s">
        <v>34</v>
      </c>
      <c r="F1389" t="s">
        <v>70</v>
      </c>
      <c r="G1389" t="s">
        <v>38</v>
      </c>
      <c r="H1389" t="s">
        <v>37</v>
      </c>
      <c r="I1389" t="s">
        <v>50</v>
      </c>
      <c r="J1389" t="s">
        <v>39</v>
      </c>
      <c r="K1389">
        <v>4</v>
      </c>
      <c r="L1389">
        <v>3</v>
      </c>
      <c r="M1389" t="s">
        <v>60</v>
      </c>
      <c r="N1389" t="s">
        <v>61</v>
      </c>
      <c r="O1389" t="s">
        <v>36</v>
      </c>
      <c r="P1389" t="s">
        <v>43</v>
      </c>
      <c r="Q1389">
        <v>12</v>
      </c>
      <c r="R1389">
        <v>1</v>
      </c>
      <c r="S1389">
        <v>10</v>
      </c>
      <c r="T1389">
        <v>8</v>
      </c>
      <c r="U1389">
        <v>8</v>
      </c>
      <c r="V1389">
        <v>1</v>
      </c>
      <c r="W1389">
        <v>42</v>
      </c>
      <c r="X1389">
        <v>1397</v>
      </c>
      <c r="Y1389">
        <v>7660</v>
      </c>
      <c r="Z1389">
        <v>2691</v>
      </c>
      <c r="AA1389">
        <v>4</v>
      </c>
      <c r="AB1389">
        <v>32617</v>
      </c>
      <c r="AC1389" s="10">
        <v>41242</v>
      </c>
      <c r="AD1389" s="10" t="s">
        <v>72</v>
      </c>
      <c r="AE1389" t="s">
        <v>72</v>
      </c>
      <c r="AF1389" t="s">
        <v>45</v>
      </c>
    </row>
    <row r="1390" spans="1:32" x14ac:dyDescent="0.25">
      <c r="A1390">
        <v>104</v>
      </c>
      <c r="B1390">
        <v>30</v>
      </c>
      <c r="C1390" t="s">
        <v>43</v>
      </c>
      <c r="D1390" t="s">
        <v>33</v>
      </c>
      <c r="E1390" t="s">
        <v>34</v>
      </c>
      <c r="F1390" t="s">
        <v>64</v>
      </c>
      <c r="G1390" t="s">
        <v>59</v>
      </c>
      <c r="H1390" t="s">
        <v>37</v>
      </c>
      <c r="I1390" t="s">
        <v>38</v>
      </c>
      <c r="J1390" t="s">
        <v>51</v>
      </c>
      <c r="K1390">
        <v>4</v>
      </c>
      <c r="L1390">
        <v>3</v>
      </c>
      <c r="M1390" t="s">
        <v>60</v>
      </c>
      <c r="N1390" t="s">
        <v>61</v>
      </c>
      <c r="O1390" t="s">
        <v>53</v>
      </c>
      <c r="P1390" t="s">
        <v>32</v>
      </c>
      <c r="Q1390">
        <v>12</v>
      </c>
      <c r="R1390">
        <v>1</v>
      </c>
      <c r="S1390">
        <v>10</v>
      </c>
      <c r="T1390">
        <v>3</v>
      </c>
      <c r="U1390">
        <v>0</v>
      </c>
      <c r="V1390">
        <v>1</v>
      </c>
      <c r="W1390">
        <v>55</v>
      </c>
      <c r="X1390">
        <v>852</v>
      </c>
      <c r="Y1390">
        <v>15998</v>
      </c>
      <c r="Z1390">
        <v>5126</v>
      </c>
      <c r="AA1390">
        <v>1</v>
      </c>
      <c r="AB1390">
        <v>33915</v>
      </c>
      <c r="AC1390" s="10">
        <v>41253</v>
      </c>
      <c r="AD1390" s="10" t="s">
        <v>72</v>
      </c>
      <c r="AE1390" t="s">
        <v>72</v>
      </c>
      <c r="AF1390" t="s">
        <v>45</v>
      </c>
    </row>
    <row r="1391" spans="1:32" x14ac:dyDescent="0.25">
      <c r="A1391">
        <v>1798</v>
      </c>
      <c r="B1391">
        <v>33</v>
      </c>
      <c r="C1391" t="s">
        <v>43</v>
      </c>
      <c r="D1391" t="s">
        <v>33</v>
      </c>
      <c r="E1391" t="s">
        <v>34</v>
      </c>
      <c r="F1391" t="s">
        <v>35</v>
      </c>
      <c r="G1391" t="s">
        <v>59</v>
      </c>
      <c r="H1391" t="s">
        <v>37</v>
      </c>
      <c r="I1391" t="s">
        <v>59</v>
      </c>
      <c r="J1391" t="s">
        <v>39</v>
      </c>
      <c r="K1391">
        <v>1</v>
      </c>
      <c r="L1391">
        <v>3</v>
      </c>
      <c r="M1391" t="s">
        <v>48</v>
      </c>
      <c r="N1391" t="s">
        <v>61</v>
      </c>
      <c r="O1391" t="s">
        <v>36</v>
      </c>
      <c r="P1391" t="s">
        <v>43</v>
      </c>
      <c r="Q1391">
        <v>19</v>
      </c>
      <c r="R1391">
        <v>6</v>
      </c>
      <c r="S1391">
        <v>14</v>
      </c>
      <c r="T1391">
        <v>7</v>
      </c>
      <c r="U1391">
        <v>6</v>
      </c>
      <c r="V1391">
        <v>8</v>
      </c>
      <c r="W1391">
        <v>90</v>
      </c>
      <c r="X1391">
        <v>867</v>
      </c>
      <c r="Y1391">
        <v>6076</v>
      </c>
      <c r="Z1391">
        <v>3143</v>
      </c>
      <c r="AA1391">
        <v>1</v>
      </c>
      <c r="AB1391">
        <v>32732</v>
      </c>
      <c r="AC1391" s="10">
        <v>41280</v>
      </c>
      <c r="AD1391" s="10" t="s">
        <v>72</v>
      </c>
      <c r="AE1391" t="s">
        <v>72</v>
      </c>
      <c r="AF1391" t="s">
        <v>55</v>
      </c>
    </row>
    <row r="1392" spans="1:32" x14ac:dyDescent="0.25">
      <c r="A1392">
        <v>452</v>
      </c>
      <c r="B1392">
        <v>45</v>
      </c>
      <c r="C1392" t="s">
        <v>43</v>
      </c>
      <c r="D1392" t="s">
        <v>33</v>
      </c>
      <c r="E1392" t="s">
        <v>34</v>
      </c>
      <c r="F1392" t="s">
        <v>35</v>
      </c>
      <c r="G1392" t="s">
        <v>59</v>
      </c>
      <c r="H1392" t="s">
        <v>37</v>
      </c>
      <c r="I1392" t="s">
        <v>50</v>
      </c>
      <c r="J1392" t="s">
        <v>39</v>
      </c>
      <c r="K1392">
        <v>4</v>
      </c>
      <c r="L1392">
        <v>3</v>
      </c>
      <c r="M1392" t="s">
        <v>48</v>
      </c>
      <c r="N1392" t="s">
        <v>61</v>
      </c>
      <c r="O1392" t="s">
        <v>53</v>
      </c>
      <c r="P1392" t="s">
        <v>43</v>
      </c>
      <c r="Q1392">
        <v>14</v>
      </c>
      <c r="R1392">
        <v>9</v>
      </c>
      <c r="S1392">
        <v>12</v>
      </c>
      <c r="T1392">
        <v>9</v>
      </c>
      <c r="U1392">
        <v>8</v>
      </c>
      <c r="V1392">
        <v>8</v>
      </c>
      <c r="W1392">
        <v>75</v>
      </c>
      <c r="X1392">
        <v>549</v>
      </c>
      <c r="Y1392">
        <v>9278</v>
      </c>
      <c r="Z1392">
        <v>3697</v>
      </c>
      <c r="AA1392">
        <v>3</v>
      </c>
      <c r="AB1392">
        <v>28580</v>
      </c>
      <c r="AC1392" s="10">
        <v>41356</v>
      </c>
      <c r="AD1392" s="10" t="s">
        <v>72</v>
      </c>
      <c r="AE1392" t="s">
        <v>72</v>
      </c>
      <c r="AF1392" t="s">
        <v>45</v>
      </c>
    </row>
    <row r="1393" spans="1:32" x14ac:dyDescent="0.25">
      <c r="A1393">
        <v>1246</v>
      </c>
      <c r="B1393">
        <v>44</v>
      </c>
      <c r="C1393" t="s">
        <v>43</v>
      </c>
      <c r="D1393" t="s">
        <v>33</v>
      </c>
      <c r="E1393" t="s">
        <v>34</v>
      </c>
      <c r="F1393" t="s">
        <v>64</v>
      </c>
      <c r="G1393" t="s">
        <v>36</v>
      </c>
      <c r="H1393" t="s">
        <v>47</v>
      </c>
      <c r="I1393" t="s">
        <v>59</v>
      </c>
      <c r="J1393" t="s">
        <v>39</v>
      </c>
      <c r="K1393">
        <v>4</v>
      </c>
      <c r="L1393">
        <v>3</v>
      </c>
      <c r="M1393" t="s">
        <v>48</v>
      </c>
      <c r="N1393" t="s">
        <v>61</v>
      </c>
      <c r="O1393" t="s">
        <v>36</v>
      </c>
      <c r="P1393" t="s">
        <v>43</v>
      </c>
      <c r="Q1393">
        <v>13</v>
      </c>
      <c r="R1393">
        <v>1</v>
      </c>
      <c r="S1393">
        <v>10</v>
      </c>
      <c r="T1393">
        <v>7</v>
      </c>
      <c r="U1393">
        <v>7</v>
      </c>
      <c r="V1393">
        <v>2</v>
      </c>
      <c r="W1393">
        <v>72</v>
      </c>
      <c r="X1393">
        <v>1117</v>
      </c>
      <c r="Y1393">
        <v>19982</v>
      </c>
      <c r="Z1393">
        <v>2011</v>
      </c>
      <c r="AA1393">
        <v>5</v>
      </c>
      <c r="AB1393">
        <v>28821</v>
      </c>
      <c r="AC1393" s="10">
        <v>41371</v>
      </c>
      <c r="AD1393" s="10" t="s">
        <v>72</v>
      </c>
      <c r="AE1393" t="s">
        <v>72</v>
      </c>
      <c r="AF1393" t="s">
        <v>45</v>
      </c>
    </row>
    <row r="1394" spans="1:32" x14ac:dyDescent="0.25">
      <c r="A1394">
        <v>659</v>
      </c>
      <c r="B1394">
        <v>42</v>
      </c>
      <c r="C1394" t="s">
        <v>43</v>
      </c>
      <c r="D1394" t="s">
        <v>33</v>
      </c>
      <c r="E1394" t="s">
        <v>34</v>
      </c>
      <c r="F1394" t="s">
        <v>35</v>
      </c>
      <c r="G1394" t="s">
        <v>50</v>
      </c>
      <c r="H1394" t="s">
        <v>47</v>
      </c>
      <c r="I1394" t="s">
        <v>50</v>
      </c>
      <c r="J1394" t="s">
        <v>62</v>
      </c>
      <c r="K1394">
        <v>4</v>
      </c>
      <c r="L1394">
        <v>3</v>
      </c>
      <c r="M1394" t="s">
        <v>48</v>
      </c>
      <c r="N1394" t="s">
        <v>61</v>
      </c>
      <c r="O1394" t="s">
        <v>53</v>
      </c>
      <c r="P1394" t="s">
        <v>43</v>
      </c>
      <c r="Q1394">
        <v>13</v>
      </c>
      <c r="R1394">
        <v>1</v>
      </c>
      <c r="S1394">
        <v>10</v>
      </c>
      <c r="T1394">
        <v>2</v>
      </c>
      <c r="U1394">
        <v>2</v>
      </c>
      <c r="V1394">
        <v>2</v>
      </c>
      <c r="W1394">
        <v>81</v>
      </c>
      <c r="X1394">
        <v>622</v>
      </c>
      <c r="Y1394">
        <v>5718</v>
      </c>
      <c r="Z1394">
        <v>4089</v>
      </c>
      <c r="AA1394">
        <v>4</v>
      </c>
      <c r="AB1394">
        <v>29715</v>
      </c>
      <c r="AC1394" s="10">
        <v>41380</v>
      </c>
      <c r="AD1394" s="10" t="s">
        <v>72</v>
      </c>
      <c r="AE1394" t="s">
        <v>72</v>
      </c>
      <c r="AF1394" t="s">
        <v>45</v>
      </c>
    </row>
    <row r="1395" spans="1:32" x14ac:dyDescent="0.25">
      <c r="A1395">
        <v>1701</v>
      </c>
      <c r="B1395">
        <v>34</v>
      </c>
      <c r="C1395" t="s">
        <v>43</v>
      </c>
      <c r="D1395" t="s">
        <v>33</v>
      </c>
      <c r="E1395" t="s">
        <v>34</v>
      </c>
      <c r="F1395" t="s">
        <v>49</v>
      </c>
      <c r="G1395" t="s">
        <v>38</v>
      </c>
      <c r="H1395" t="s">
        <v>47</v>
      </c>
      <c r="I1395" t="s">
        <v>38</v>
      </c>
      <c r="J1395" t="s">
        <v>39</v>
      </c>
      <c r="K1395">
        <v>4</v>
      </c>
      <c r="L1395">
        <v>3</v>
      </c>
      <c r="M1395" t="s">
        <v>48</v>
      </c>
      <c r="N1395" t="s">
        <v>61</v>
      </c>
      <c r="O1395" t="s">
        <v>42</v>
      </c>
      <c r="P1395" t="s">
        <v>43</v>
      </c>
      <c r="Q1395">
        <v>12</v>
      </c>
      <c r="R1395">
        <v>1</v>
      </c>
      <c r="S1395">
        <v>10</v>
      </c>
      <c r="T1395">
        <v>8</v>
      </c>
      <c r="U1395">
        <v>7</v>
      </c>
      <c r="V1395">
        <v>19</v>
      </c>
      <c r="W1395">
        <v>35</v>
      </c>
      <c r="X1395">
        <v>678</v>
      </c>
      <c r="Y1395">
        <v>20338</v>
      </c>
      <c r="Z1395">
        <v>2929</v>
      </c>
      <c r="AA1395">
        <v>3</v>
      </c>
      <c r="AB1395">
        <v>32578</v>
      </c>
      <c r="AC1395" s="10">
        <v>41380</v>
      </c>
      <c r="AD1395" s="10" t="s">
        <v>72</v>
      </c>
      <c r="AE1395" t="s">
        <v>72</v>
      </c>
      <c r="AF1395" t="s">
        <v>45</v>
      </c>
    </row>
    <row r="1396" spans="1:32" x14ac:dyDescent="0.25">
      <c r="A1396">
        <v>630</v>
      </c>
      <c r="B1396">
        <v>52</v>
      </c>
      <c r="C1396" t="s">
        <v>43</v>
      </c>
      <c r="D1396" t="s">
        <v>33</v>
      </c>
      <c r="E1396" t="s">
        <v>34</v>
      </c>
      <c r="F1396" t="s">
        <v>67</v>
      </c>
      <c r="G1396" t="s">
        <v>59</v>
      </c>
      <c r="H1396" t="s">
        <v>37</v>
      </c>
      <c r="I1396" t="s">
        <v>50</v>
      </c>
      <c r="J1396" t="s">
        <v>39</v>
      </c>
      <c r="K1396">
        <v>1</v>
      </c>
      <c r="L1396">
        <v>3</v>
      </c>
      <c r="M1396" t="s">
        <v>48</v>
      </c>
      <c r="N1396" t="s">
        <v>52</v>
      </c>
      <c r="O1396" t="s">
        <v>53</v>
      </c>
      <c r="P1396" t="s">
        <v>32</v>
      </c>
      <c r="Q1396">
        <v>12</v>
      </c>
      <c r="R1396">
        <v>3</v>
      </c>
      <c r="S1396">
        <v>18</v>
      </c>
      <c r="T1396">
        <v>6</v>
      </c>
      <c r="U1396">
        <v>9</v>
      </c>
      <c r="V1396">
        <v>6</v>
      </c>
      <c r="W1396">
        <v>78</v>
      </c>
      <c r="X1396">
        <v>956</v>
      </c>
      <c r="Y1396">
        <v>22087</v>
      </c>
      <c r="Z1396">
        <v>5577</v>
      </c>
      <c r="AA1396">
        <v>3</v>
      </c>
      <c r="AB1396">
        <v>25860</v>
      </c>
      <c r="AC1396" s="10">
        <v>41409</v>
      </c>
      <c r="AD1396" s="10" t="s">
        <v>72</v>
      </c>
      <c r="AE1396" t="s">
        <v>72</v>
      </c>
      <c r="AF1396" t="s">
        <v>45</v>
      </c>
    </row>
    <row r="1397" spans="1:32" x14ac:dyDescent="0.25">
      <c r="A1397">
        <v>296</v>
      </c>
      <c r="B1397">
        <v>51</v>
      </c>
      <c r="C1397" t="s">
        <v>43</v>
      </c>
      <c r="D1397" t="s">
        <v>33</v>
      </c>
      <c r="E1397" t="s">
        <v>34</v>
      </c>
      <c r="F1397" t="s">
        <v>35</v>
      </c>
      <c r="G1397" t="s">
        <v>38</v>
      </c>
      <c r="H1397" t="s">
        <v>37</v>
      </c>
      <c r="I1397" t="s">
        <v>38</v>
      </c>
      <c r="J1397" t="s">
        <v>71</v>
      </c>
      <c r="K1397">
        <v>2</v>
      </c>
      <c r="L1397">
        <v>3</v>
      </c>
      <c r="M1397" t="s">
        <v>40</v>
      </c>
      <c r="N1397" t="s">
        <v>61</v>
      </c>
      <c r="O1397" t="s">
        <v>53</v>
      </c>
      <c r="P1397" t="s">
        <v>43</v>
      </c>
      <c r="Q1397">
        <v>16</v>
      </c>
      <c r="R1397">
        <v>5</v>
      </c>
      <c r="S1397">
        <v>16</v>
      </c>
      <c r="T1397">
        <v>4</v>
      </c>
      <c r="U1397">
        <v>7</v>
      </c>
      <c r="V1397">
        <v>8</v>
      </c>
      <c r="W1397">
        <v>81</v>
      </c>
      <c r="X1397">
        <v>1469</v>
      </c>
      <c r="Y1397">
        <v>15736</v>
      </c>
      <c r="Z1397">
        <v>12490</v>
      </c>
      <c r="AA1397">
        <v>5</v>
      </c>
      <c r="AB1397">
        <v>26190</v>
      </c>
      <c r="AC1397" s="10">
        <v>41412</v>
      </c>
      <c r="AD1397" s="10" t="s">
        <v>72</v>
      </c>
      <c r="AE1397" t="s">
        <v>72</v>
      </c>
      <c r="AF1397" t="s">
        <v>45</v>
      </c>
    </row>
    <row r="1398" spans="1:32" x14ac:dyDescent="0.25">
      <c r="A1398">
        <v>1346</v>
      </c>
      <c r="B1398">
        <v>40</v>
      </c>
      <c r="C1398" t="s">
        <v>43</v>
      </c>
      <c r="D1398" t="s">
        <v>33</v>
      </c>
      <c r="E1398" t="s">
        <v>34</v>
      </c>
      <c r="F1398" t="s">
        <v>49</v>
      </c>
      <c r="G1398" t="s">
        <v>50</v>
      </c>
      <c r="H1398" t="s">
        <v>37</v>
      </c>
      <c r="I1398" t="s">
        <v>50</v>
      </c>
      <c r="J1398" t="s">
        <v>39</v>
      </c>
      <c r="K1398">
        <v>4</v>
      </c>
      <c r="L1398">
        <v>3</v>
      </c>
      <c r="M1398" t="s">
        <v>48</v>
      </c>
      <c r="N1398" t="s">
        <v>41</v>
      </c>
      <c r="O1398" t="s">
        <v>42</v>
      </c>
      <c r="P1398" t="s">
        <v>43</v>
      </c>
      <c r="Q1398">
        <v>13</v>
      </c>
      <c r="R1398">
        <v>1</v>
      </c>
      <c r="S1398">
        <v>11</v>
      </c>
      <c r="T1398">
        <v>8</v>
      </c>
      <c r="U1398">
        <v>8</v>
      </c>
      <c r="V1398">
        <v>2</v>
      </c>
      <c r="W1398">
        <v>98</v>
      </c>
      <c r="X1398">
        <v>523</v>
      </c>
      <c r="Y1398">
        <v>22455</v>
      </c>
      <c r="Z1398">
        <v>4661</v>
      </c>
      <c r="AA1398">
        <v>4</v>
      </c>
      <c r="AB1398">
        <v>30381</v>
      </c>
      <c r="AC1398" s="10">
        <v>41482</v>
      </c>
      <c r="AD1398" s="10" t="s">
        <v>72</v>
      </c>
      <c r="AE1398" t="s">
        <v>72</v>
      </c>
      <c r="AF1398" t="s">
        <v>45</v>
      </c>
    </row>
    <row r="1399" spans="1:32" x14ac:dyDescent="0.25">
      <c r="A1399">
        <v>1244</v>
      </c>
      <c r="B1399">
        <v>27</v>
      </c>
      <c r="C1399" t="s">
        <v>43</v>
      </c>
      <c r="D1399" t="s">
        <v>33</v>
      </c>
      <c r="E1399" t="s">
        <v>34</v>
      </c>
      <c r="F1399" t="s">
        <v>49</v>
      </c>
      <c r="G1399" t="s">
        <v>36</v>
      </c>
      <c r="H1399" t="s">
        <v>37</v>
      </c>
      <c r="I1399" t="s">
        <v>50</v>
      </c>
      <c r="J1399" t="s">
        <v>39</v>
      </c>
      <c r="K1399">
        <v>1</v>
      </c>
      <c r="L1399">
        <v>3</v>
      </c>
      <c r="M1399" t="s">
        <v>60</v>
      </c>
      <c r="N1399" t="s">
        <v>61</v>
      </c>
      <c r="O1399" t="s">
        <v>53</v>
      </c>
      <c r="P1399" t="s">
        <v>32</v>
      </c>
      <c r="Q1399">
        <v>14</v>
      </c>
      <c r="R1399">
        <v>1</v>
      </c>
      <c r="S1399">
        <v>9</v>
      </c>
      <c r="T1399">
        <v>6</v>
      </c>
      <c r="U1399">
        <v>8</v>
      </c>
      <c r="V1399">
        <v>14</v>
      </c>
      <c r="W1399">
        <v>42</v>
      </c>
      <c r="X1399">
        <v>1103</v>
      </c>
      <c r="Y1399">
        <v>14377</v>
      </c>
      <c r="Z1399">
        <v>2235</v>
      </c>
      <c r="AA1399">
        <v>3</v>
      </c>
      <c r="AB1399">
        <v>34931</v>
      </c>
      <c r="AC1399" s="10">
        <v>41523</v>
      </c>
      <c r="AD1399" s="10" t="s">
        <v>72</v>
      </c>
      <c r="AE1399" t="s">
        <v>72</v>
      </c>
      <c r="AF1399" t="s">
        <v>55</v>
      </c>
    </row>
    <row r="1400" spans="1:32" x14ac:dyDescent="0.25">
      <c r="A1400">
        <v>836</v>
      </c>
      <c r="B1400">
        <v>42</v>
      </c>
      <c r="C1400" t="s">
        <v>43</v>
      </c>
      <c r="D1400" t="s">
        <v>33</v>
      </c>
      <c r="E1400" t="s">
        <v>34</v>
      </c>
      <c r="F1400" t="s">
        <v>49</v>
      </c>
      <c r="G1400" t="s">
        <v>38</v>
      </c>
      <c r="H1400" t="s">
        <v>37</v>
      </c>
      <c r="I1400" t="s">
        <v>50</v>
      </c>
      <c r="J1400" t="s">
        <v>65</v>
      </c>
      <c r="K1400">
        <v>2</v>
      </c>
      <c r="L1400">
        <v>3</v>
      </c>
      <c r="M1400" t="s">
        <v>60</v>
      </c>
      <c r="N1400" t="s">
        <v>61</v>
      </c>
      <c r="O1400" t="s">
        <v>36</v>
      </c>
      <c r="P1400" t="s">
        <v>43</v>
      </c>
      <c r="Q1400">
        <v>13</v>
      </c>
      <c r="R1400">
        <v>1</v>
      </c>
      <c r="S1400">
        <v>10</v>
      </c>
      <c r="T1400">
        <v>7</v>
      </c>
      <c r="U1400">
        <v>8</v>
      </c>
      <c r="V1400">
        <v>29</v>
      </c>
      <c r="W1400">
        <v>98</v>
      </c>
      <c r="X1400">
        <v>933</v>
      </c>
      <c r="Y1400">
        <v>11806</v>
      </c>
      <c r="Z1400">
        <v>4434</v>
      </c>
      <c r="AA1400">
        <v>3</v>
      </c>
      <c r="AB1400">
        <v>29527</v>
      </c>
      <c r="AC1400" s="10">
        <v>41564</v>
      </c>
      <c r="AD1400" s="10" t="s">
        <v>72</v>
      </c>
      <c r="AE1400" t="s">
        <v>72</v>
      </c>
      <c r="AF1400" t="s">
        <v>45</v>
      </c>
    </row>
    <row r="1401" spans="1:32" x14ac:dyDescent="0.25">
      <c r="A1401">
        <v>961</v>
      </c>
      <c r="B1401">
        <v>31</v>
      </c>
      <c r="C1401" t="s">
        <v>43</v>
      </c>
      <c r="D1401" t="s">
        <v>33</v>
      </c>
      <c r="E1401" t="s">
        <v>34</v>
      </c>
      <c r="F1401" t="s">
        <v>49</v>
      </c>
      <c r="G1401" t="s">
        <v>59</v>
      </c>
      <c r="H1401" t="s">
        <v>47</v>
      </c>
      <c r="I1401" t="s">
        <v>50</v>
      </c>
      <c r="J1401" t="s">
        <v>62</v>
      </c>
      <c r="K1401">
        <v>4</v>
      </c>
      <c r="L1401">
        <v>3</v>
      </c>
      <c r="M1401" t="s">
        <v>40</v>
      </c>
      <c r="N1401" t="s">
        <v>61</v>
      </c>
      <c r="O1401" t="s">
        <v>53</v>
      </c>
      <c r="P1401" t="s">
        <v>32</v>
      </c>
      <c r="Q1401">
        <v>11</v>
      </c>
      <c r="R1401">
        <v>0</v>
      </c>
      <c r="S1401">
        <v>10</v>
      </c>
      <c r="T1401">
        <v>8</v>
      </c>
      <c r="U1401">
        <v>5</v>
      </c>
      <c r="V1401">
        <v>12</v>
      </c>
      <c r="W1401">
        <v>41</v>
      </c>
      <c r="X1401">
        <v>616</v>
      </c>
      <c r="Y1401">
        <v>17369</v>
      </c>
      <c r="Z1401">
        <v>5855</v>
      </c>
      <c r="AA1401">
        <v>2</v>
      </c>
      <c r="AB1401">
        <v>33690</v>
      </c>
      <c r="AC1401" s="10">
        <v>41601</v>
      </c>
      <c r="AD1401" s="10" t="s">
        <v>72</v>
      </c>
      <c r="AE1401" t="s">
        <v>72</v>
      </c>
      <c r="AF1401" t="s">
        <v>55</v>
      </c>
    </row>
    <row r="1402" spans="1:32" x14ac:dyDescent="0.25">
      <c r="A1402">
        <v>1311</v>
      </c>
      <c r="B1402">
        <v>30</v>
      </c>
      <c r="C1402" t="s">
        <v>43</v>
      </c>
      <c r="D1402" t="s">
        <v>33</v>
      </c>
      <c r="E1402" t="s">
        <v>34</v>
      </c>
      <c r="F1402" t="s">
        <v>49</v>
      </c>
      <c r="G1402" t="s">
        <v>36</v>
      </c>
      <c r="H1402" t="s">
        <v>47</v>
      </c>
      <c r="I1402" t="s">
        <v>38</v>
      </c>
      <c r="J1402" t="s">
        <v>51</v>
      </c>
      <c r="K1402">
        <v>4</v>
      </c>
      <c r="L1402">
        <v>3</v>
      </c>
      <c r="M1402" t="s">
        <v>48</v>
      </c>
      <c r="N1402" t="s">
        <v>61</v>
      </c>
      <c r="O1402" t="s">
        <v>36</v>
      </c>
      <c r="P1402" t="s">
        <v>43</v>
      </c>
      <c r="Q1402">
        <v>12</v>
      </c>
      <c r="R1402">
        <v>0</v>
      </c>
      <c r="S1402">
        <v>10</v>
      </c>
      <c r="T1402">
        <v>6</v>
      </c>
      <c r="U1402">
        <v>7</v>
      </c>
      <c r="V1402">
        <v>6</v>
      </c>
      <c r="W1402">
        <v>48</v>
      </c>
      <c r="X1402">
        <v>1138</v>
      </c>
      <c r="Y1402">
        <v>23631</v>
      </c>
      <c r="Z1402">
        <v>4627</v>
      </c>
      <c r="AA1402">
        <v>6</v>
      </c>
      <c r="AB1402">
        <v>33857</v>
      </c>
      <c r="AC1402" s="10">
        <v>41604</v>
      </c>
      <c r="AD1402" s="10" t="s">
        <v>72</v>
      </c>
      <c r="AE1402" t="s">
        <v>72</v>
      </c>
      <c r="AF1402" t="s">
        <v>45</v>
      </c>
    </row>
    <row r="1403" spans="1:32" x14ac:dyDescent="0.25">
      <c r="A1403">
        <v>1283</v>
      </c>
      <c r="B1403">
        <v>59</v>
      </c>
      <c r="C1403" t="s">
        <v>43</v>
      </c>
      <c r="D1403" t="s">
        <v>33</v>
      </c>
      <c r="E1403" t="s">
        <v>34</v>
      </c>
      <c r="F1403" t="s">
        <v>35</v>
      </c>
      <c r="G1403" t="s">
        <v>59</v>
      </c>
      <c r="H1403" t="s">
        <v>37</v>
      </c>
      <c r="I1403" t="s">
        <v>50</v>
      </c>
      <c r="J1403" t="s">
        <v>65</v>
      </c>
      <c r="K1403">
        <v>4</v>
      </c>
      <c r="L1403">
        <v>3</v>
      </c>
      <c r="M1403" t="s">
        <v>60</v>
      </c>
      <c r="N1403" t="s">
        <v>41</v>
      </c>
      <c r="O1403" t="s">
        <v>42</v>
      </c>
      <c r="P1403" t="s">
        <v>43</v>
      </c>
      <c r="Q1403">
        <v>12</v>
      </c>
      <c r="R1403">
        <v>6</v>
      </c>
      <c r="S1403">
        <v>25</v>
      </c>
      <c r="T1403">
        <v>5</v>
      </c>
      <c r="U1403">
        <v>4</v>
      </c>
      <c r="V1403">
        <v>18</v>
      </c>
      <c r="W1403">
        <v>67</v>
      </c>
      <c r="X1403">
        <v>1429</v>
      </c>
      <c r="Y1403">
        <v>20002</v>
      </c>
      <c r="Z1403">
        <v>10512</v>
      </c>
      <c r="AA1403">
        <v>6</v>
      </c>
      <c r="AB1403">
        <v>23491</v>
      </c>
      <c r="AC1403" s="10">
        <v>41670</v>
      </c>
      <c r="AD1403" s="10" t="s">
        <v>72</v>
      </c>
      <c r="AE1403" t="s">
        <v>72</v>
      </c>
      <c r="AF1403" t="s">
        <v>45</v>
      </c>
    </row>
    <row r="1404" spans="1:32" x14ac:dyDescent="0.25">
      <c r="A1404">
        <v>2009</v>
      </c>
      <c r="B1404">
        <v>33</v>
      </c>
      <c r="C1404" t="s">
        <v>43</v>
      </c>
      <c r="D1404" t="s">
        <v>33</v>
      </c>
      <c r="E1404" t="s">
        <v>34</v>
      </c>
      <c r="F1404" t="s">
        <v>67</v>
      </c>
      <c r="G1404" t="s">
        <v>38</v>
      </c>
      <c r="H1404" t="s">
        <v>47</v>
      </c>
      <c r="I1404" t="s">
        <v>50</v>
      </c>
      <c r="J1404" t="s">
        <v>62</v>
      </c>
      <c r="K1404">
        <v>4</v>
      </c>
      <c r="L1404">
        <v>3</v>
      </c>
      <c r="M1404" t="s">
        <v>48</v>
      </c>
      <c r="N1404" t="s">
        <v>61</v>
      </c>
      <c r="O1404" t="s">
        <v>36</v>
      </c>
      <c r="P1404" t="s">
        <v>32</v>
      </c>
      <c r="Q1404">
        <v>13</v>
      </c>
      <c r="R1404">
        <v>0</v>
      </c>
      <c r="S1404">
        <v>10</v>
      </c>
      <c r="T1404">
        <v>8</v>
      </c>
      <c r="U1404">
        <v>1</v>
      </c>
      <c r="V1404">
        <v>15</v>
      </c>
      <c r="W1404">
        <v>95</v>
      </c>
      <c r="X1404">
        <v>501</v>
      </c>
      <c r="Y1404">
        <v>21653</v>
      </c>
      <c r="Z1404">
        <v>4878</v>
      </c>
      <c r="AA1404">
        <v>6</v>
      </c>
      <c r="AB1404">
        <v>32745</v>
      </c>
      <c r="AC1404" s="10">
        <v>41680</v>
      </c>
      <c r="AD1404" s="10" t="s">
        <v>72</v>
      </c>
      <c r="AE1404" t="s">
        <v>72</v>
      </c>
      <c r="AF1404" t="s">
        <v>45</v>
      </c>
    </row>
    <row r="1405" spans="1:32" x14ac:dyDescent="0.25">
      <c r="A1405">
        <v>1857</v>
      </c>
      <c r="B1405">
        <v>46</v>
      </c>
      <c r="C1405" t="s">
        <v>43</v>
      </c>
      <c r="D1405" t="s">
        <v>33</v>
      </c>
      <c r="E1405" t="s">
        <v>34</v>
      </c>
      <c r="F1405" t="s">
        <v>67</v>
      </c>
      <c r="G1405" t="s">
        <v>59</v>
      </c>
      <c r="H1405" t="s">
        <v>37</v>
      </c>
      <c r="I1405" t="s">
        <v>50</v>
      </c>
      <c r="J1405" t="s">
        <v>65</v>
      </c>
      <c r="K1405">
        <v>4</v>
      </c>
      <c r="L1405">
        <v>3</v>
      </c>
      <c r="M1405" t="s">
        <v>60</v>
      </c>
      <c r="N1405" t="s">
        <v>52</v>
      </c>
      <c r="O1405" t="s">
        <v>36</v>
      </c>
      <c r="P1405" t="s">
        <v>43</v>
      </c>
      <c r="Q1405">
        <v>14</v>
      </c>
      <c r="R1405">
        <v>3</v>
      </c>
      <c r="S1405">
        <v>12</v>
      </c>
      <c r="T1405">
        <v>4</v>
      </c>
      <c r="U1405">
        <v>7</v>
      </c>
      <c r="V1405">
        <v>2</v>
      </c>
      <c r="W1405">
        <v>82</v>
      </c>
      <c r="X1405">
        <v>706</v>
      </c>
      <c r="Y1405">
        <v>19989</v>
      </c>
      <c r="Z1405">
        <v>8578</v>
      </c>
      <c r="AA1405">
        <v>4</v>
      </c>
      <c r="AB1405">
        <v>27992</v>
      </c>
      <c r="AC1405" s="10">
        <v>41715</v>
      </c>
      <c r="AD1405" s="10" t="s">
        <v>72</v>
      </c>
      <c r="AE1405" t="s">
        <v>72</v>
      </c>
      <c r="AF1405" t="s">
        <v>45</v>
      </c>
    </row>
    <row r="1406" spans="1:32" x14ac:dyDescent="0.25">
      <c r="A1406">
        <v>351</v>
      </c>
      <c r="B1406">
        <v>42</v>
      </c>
      <c r="C1406" t="s">
        <v>43</v>
      </c>
      <c r="D1406" t="s">
        <v>33</v>
      </c>
      <c r="E1406" t="s">
        <v>34</v>
      </c>
      <c r="F1406" t="s">
        <v>49</v>
      </c>
      <c r="G1406" t="s">
        <v>59</v>
      </c>
      <c r="H1406" t="s">
        <v>47</v>
      </c>
      <c r="I1406" t="s">
        <v>38</v>
      </c>
      <c r="J1406" t="s">
        <v>51</v>
      </c>
      <c r="K1406">
        <v>1</v>
      </c>
      <c r="L1406">
        <v>3</v>
      </c>
      <c r="M1406" t="s">
        <v>48</v>
      </c>
      <c r="N1406" t="s">
        <v>52</v>
      </c>
      <c r="O1406" t="s">
        <v>36</v>
      </c>
      <c r="P1406" t="s">
        <v>32</v>
      </c>
      <c r="Q1406">
        <v>11</v>
      </c>
      <c r="R1406">
        <v>0</v>
      </c>
      <c r="S1406">
        <v>10</v>
      </c>
      <c r="T1406">
        <v>7</v>
      </c>
      <c r="U1406">
        <v>8</v>
      </c>
      <c r="V1406">
        <v>2</v>
      </c>
      <c r="W1406">
        <v>56</v>
      </c>
      <c r="X1406">
        <v>269</v>
      </c>
      <c r="Y1406">
        <v>8007</v>
      </c>
      <c r="Z1406">
        <v>2593</v>
      </c>
      <c r="AA1406">
        <v>4</v>
      </c>
      <c r="AB1406">
        <v>29619</v>
      </c>
      <c r="AC1406" s="10">
        <v>41736</v>
      </c>
      <c r="AD1406" s="10" t="s">
        <v>72</v>
      </c>
      <c r="AE1406" t="s">
        <v>72</v>
      </c>
      <c r="AF1406" t="s">
        <v>45</v>
      </c>
    </row>
    <row r="1407" spans="1:32" x14ac:dyDescent="0.25">
      <c r="A1407">
        <v>976</v>
      </c>
      <c r="B1407">
        <v>52</v>
      </c>
      <c r="C1407" t="s">
        <v>43</v>
      </c>
      <c r="D1407" t="s">
        <v>33</v>
      </c>
      <c r="E1407" t="s">
        <v>34</v>
      </c>
      <c r="F1407" t="s">
        <v>67</v>
      </c>
      <c r="G1407" t="s">
        <v>59</v>
      </c>
      <c r="H1407" t="s">
        <v>37</v>
      </c>
      <c r="I1407" t="s">
        <v>50</v>
      </c>
      <c r="J1407" t="s">
        <v>69</v>
      </c>
      <c r="K1407">
        <v>4</v>
      </c>
      <c r="L1407">
        <v>3</v>
      </c>
      <c r="M1407" t="s">
        <v>60</v>
      </c>
      <c r="N1407" t="s">
        <v>61</v>
      </c>
      <c r="O1407" t="s">
        <v>36</v>
      </c>
      <c r="P1407" t="s">
        <v>43</v>
      </c>
      <c r="Q1407">
        <v>15</v>
      </c>
      <c r="R1407">
        <v>2</v>
      </c>
      <c r="S1407">
        <v>26</v>
      </c>
      <c r="T1407">
        <v>7</v>
      </c>
      <c r="U1407">
        <v>8</v>
      </c>
      <c r="V1407">
        <v>1</v>
      </c>
      <c r="W1407">
        <v>70</v>
      </c>
      <c r="X1407">
        <v>1053</v>
      </c>
      <c r="Y1407">
        <v>13829</v>
      </c>
      <c r="Z1407">
        <v>17099</v>
      </c>
      <c r="AA1407">
        <v>2</v>
      </c>
      <c r="AB1407">
        <v>25988</v>
      </c>
      <c r="AC1407" s="10">
        <v>41765</v>
      </c>
      <c r="AD1407" s="10" t="s">
        <v>72</v>
      </c>
      <c r="AE1407" t="s">
        <v>72</v>
      </c>
      <c r="AF1407" t="s">
        <v>45</v>
      </c>
    </row>
    <row r="1408" spans="1:32" x14ac:dyDescent="0.25">
      <c r="A1408">
        <v>335</v>
      </c>
      <c r="B1408">
        <v>40</v>
      </c>
      <c r="C1408" t="s">
        <v>43</v>
      </c>
      <c r="D1408" t="s">
        <v>33</v>
      </c>
      <c r="E1408" t="s">
        <v>34</v>
      </c>
      <c r="F1408" t="s">
        <v>67</v>
      </c>
      <c r="G1408" t="s">
        <v>36</v>
      </c>
      <c r="H1408" t="s">
        <v>37</v>
      </c>
      <c r="I1408" t="s">
        <v>50</v>
      </c>
      <c r="J1408" t="s">
        <v>39</v>
      </c>
      <c r="K1408">
        <v>4</v>
      </c>
      <c r="L1408">
        <v>3</v>
      </c>
      <c r="M1408" t="s">
        <v>48</v>
      </c>
      <c r="N1408" t="s">
        <v>52</v>
      </c>
      <c r="O1408" t="s">
        <v>53</v>
      </c>
      <c r="P1408" t="s">
        <v>43</v>
      </c>
      <c r="Q1408">
        <v>17</v>
      </c>
      <c r="R1408">
        <v>1</v>
      </c>
      <c r="S1408">
        <v>9</v>
      </c>
      <c r="T1408">
        <v>4</v>
      </c>
      <c r="U1408">
        <v>7</v>
      </c>
      <c r="V1408">
        <v>24</v>
      </c>
      <c r="W1408">
        <v>62</v>
      </c>
      <c r="X1408">
        <v>1300</v>
      </c>
      <c r="Y1408">
        <v>24447</v>
      </c>
      <c r="Z1408">
        <v>3319</v>
      </c>
      <c r="AA1408">
        <v>3</v>
      </c>
      <c r="AB1408">
        <v>30450</v>
      </c>
      <c r="AC1408" s="10">
        <v>41810</v>
      </c>
      <c r="AD1408" s="10" t="s">
        <v>72</v>
      </c>
      <c r="AE1408" t="s">
        <v>72</v>
      </c>
      <c r="AF1408" t="s">
        <v>45</v>
      </c>
    </row>
    <row r="1409" spans="1:32" x14ac:dyDescent="0.25">
      <c r="A1409">
        <v>1888</v>
      </c>
      <c r="B1409">
        <v>45</v>
      </c>
      <c r="C1409" t="s">
        <v>43</v>
      </c>
      <c r="D1409" t="s">
        <v>33</v>
      </c>
      <c r="E1409" t="s">
        <v>34</v>
      </c>
      <c r="F1409" t="s">
        <v>67</v>
      </c>
      <c r="G1409" t="s">
        <v>38</v>
      </c>
      <c r="H1409" t="s">
        <v>47</v>
      </c>
      <c r="I1409" t="s">
        <v>38</v>
      </c>
      <c r="J1409" t="s">
        <v>65</v>
      </c>
      <c r="K1409">
        <v>4</v>
      </c>
      <c r="L1409">
        <v>3</v>
      </c>
      <c r="M1409" t="s">
        <v>60</v>
      </c>
      <c r="N1409" t="s">
        <v>61</v>
      </c>
      <c r="O1409" t="s">
        <v>53</v>
      </c>
      <c r="P1409" t="s">
        <v>43</v>
      </c>
      <c r="Q1409">
        <v>13</v>
      </c>
      <c r="R1409">
        <v>0</v>
      </c>
      <c r="S1409">
        <v>10</v>
      </c>
      <c r="T1409">
        <v>3</v>
      </c>
      <c r="U1409">
        <v>8</v>
      </c>
      <c r="V1409">
        <v>25</v>
      </c>
      <c r="W1409">
        <v>93</v>
      </c>
      <c r="X1409">
        <v>556</v>
      </c>
      <c r="Y1409">
        <v>23888</v>
      </c>
      <c r="Z1409">
        <v>5906</v>
      </c>
      <c r="AA1409">
        <v>2</v>
      </c>
      <c r="AB1409">
        <v>28702</v>
      </c>
      <c r="AC1409" s="10">
        <v>41814</v>
      </c>
      <c r="AD1409" s="10" t="s">
        <v>72</v>
      </c>
      <c r="AE1409" t="s">
        <v>72</v>
      </c>
      <c r="AF1409" t="s">
        <v>45</v>
      </c>
    </row>
    <row r="1410" spans="1:32" x14ac:dyDescent="0.25">
      <c r="A1410">
        <v>966</v>
      </c>
      <c r="B1410">
        <v>32</v>
      </c>
      <c r="C1410" t="s">
        <v>43</v>
      </c>
      <c r="D1410" t="s">
        <v>33</v>
      </c>
      <c r="E1410" t="s">
        <v>34</v>
      </c>
      <c r="F1410" t="s">
        <v>35</v>
      </c>
      <c r="G1410" t="s">
        <v>50</v>
      </c>
      <c r="H1410" t="s">
        <v>47</v>
      </c>
      <c r="I1410" t="s">
        <v>50</v>
      </c>
      <c r="J1410" t="s">
        <v>65</v>
      </c>
      <c r="K1410">
        <v>1</v>
      </c>
      <c r="L1410">
        <v>3</v>
      </c>
      <c r="M1410" t="s">
        <v>58</v>
      </c>
      <c r="N1410" t="s">
        <v>61</v>
      </c>
      <c r="O1410" t="s">
        <v>36</v>
      </c>
      <c r="P1410" t="s">
        <v>43</v>
      </c>
      <c r="Q1410">
        <v>12</v>
      </c>
      <c r="R1410">
        <v>1</v>
      </c>
      <c r="S1410">
        <v>9</v>
      </c>
      <c r="T1410">
        <v>6</v>
      </c>
      <c r="U1410">
        <v>3</v>
      </c>
      <c r="V1410">
        <v>3</v>
      </c>
      <c r="W1410">
        <v>93</v>
      </c>
      <c r="X1410">
        <v>498</v>
      </c>
      <c r="Y1410">
        <v>13554</v>
      </c>
      <c r="Z1410">
        <v>6725</v>
      </c>
      <c r="AA1410">
        <v>2</v>
      </c>
      <c r="AB1410">
        <v>33380</v>
      </c>
      <c r="AC1410" s="10">
        <v>41852</v>
      </c>
      <c r="AD1410" s="10" t="s">
        <v>72</v>
      </c>
      <c r="AE1410" t="s">
        <v>72</v>
      </c>
      <c r="AF1410" t="s">
        <v>55</v>
      </c>
    </row>
    <row r="1411" spans="1:32" x14ac:dyDescent="0.25">
      <c r="A1411">
        <v>717</v>
      </c>
      <c r="B1411">
        <v>34</v>
      </c>
      <c r="C1411" t="s">
        <v>43</v>
      </c>
      <c r="D1411" t="s">
        <v>33</v>
      </c>
      <c r="E1411" t="s">
        <v>34</v>
      </c>
      <c r="F1411" t="s">
        <v>49</v>
      </c>
      <c r="G1411" t="s">
        <v>59</v>
      </c>
      <c r="H1411" t="s">
        <v>47</v>
      </c>
      <c r="I1411" t="s">
        <v>38</v>
      </c>
      <c r="J1411" t="s">
        <v>62</v>
      </c>
      <c r="K1411">
        <v>2</v>
      </c>
      <c r="L1411">
        <v>3</v>
      </c>
      <c r="M1411" t="s">
        <v>58</v>
      </c>
      <c r="N1411" t="s">
        <v>41</v>
      </c>
      <c r="O1411" t="s">
        <v>42</v>
      </c>
      <c r="P1411" t="s">
        <v>43</v>
      </c>
      <c r="Q1411">
        <v>14</v>
      </c>
      <c r="R1411">
        <v>1</v>
      </c>
      <c r="S1411">
        <v>9</v>
      </c>
      <c r="T1411">
        <v>7</v>
      </c>
      <c r="U1411">
        <v>7</v>
      </c>
      <c r="V1411">
        <v>9</v>
      </c>
      <c r="W1411">
        <v>46</v>
      </c>
      <c r="X1411">
        <v>1442</v>
      </c>
      <c r="Y1411">
        <v>17654</v>
      </c>
      <c r="Z1411">
        <v>8621</v>
      </c>
      <c r="AA1411">
        <v>3</v>
      </c>
      <c r="AB1411">
        <v>32496</v>
      </c>
      <c r="AC1411" s="10">
        <v>41874</v>
      </c>
      <c r="AD1411" s="10" t="s">
        <v>72</v>
      </c>
      <c r="AE1411" t="s">
        <v>72</v>
      </c>
      <c r="AF1411" t="s">
        <v>45</v>
      </c>
    </row>
    <row r="1412" spans="1:32" x14ac:dyDescent="0.25">
      <c r="A1412">
        <v>397</v>
      </c>
      <c r="B1412">
        <v>36</v>
      </c>
      <c r="C1412" t="s">
        <v>43</v>
      </c>
      <c r="D1412" t="s">
        <v>33</v>
      </c>
      <c r="E1412" t="s">
        <v>34</v>
      </c>
      <c r="F1412" t="s">
        <v>49</v>
      </c>
      <c r="G1412" t="s">
        <v>50</v>
      </c>
      <c r="H1412" t="s">
        <v>37</v>
      </c>
      <c r="I1412" t="s">
        <v>50</v>
      </c>
      <c r="J1412" t="s">
        <v>39</v>
      </c>
      <c r="K1412">
        <v>2</v>
      </c>
      <c r="L1412">
        <v>3</v>
      </c>
      <c r="M1412" t="s">
        <v>48</v>
      </c>
      <c r="N1412" t="s">
        <v>41</v>
      </c>
      <c r="O1412" t="s">
        <v>42</v>
      </c>
      <c r="P1412" t="s">
        <v>43</v>
      </c>
      <c r="Q1412">
        <v>12</v>
      </c>
      <c r="R1412">
        <v>4</v>
      </c>
      <c r="S1412">
        <v>10</v>
      </c>
      <c r="T1412">
        <v>7</v>
      </c>
      <c r="U1412">
        <v>7</v>
      </c>
      <c r="V1412">
        <v>3</v>
      </c>
      <c r="W1412">
        <v>30</v>
      </c>
      <c r="X1412">
        <v>506</v>
      </c>
      <c r="Y1412">
        <v>26285</v>
      </c>
      <c r="Z1412">
        <v>4485</v>
      </c>
      <c r="AA1412">
        <v>2</v>
      </c>
      <c r="AB1412">
        <v>31976</v>
      </c>
      <c r="AC1412" s="10">
        <v>41993</v>
      </c>
      <c r="AD1412" s="10" t="s">
        <v>72</v>
      </c>
      <c r="AE1412" t="s">
        <v>72</v>
      </c>
      <c r="AF1412" t="s">
        <v>45</v>
      </c>
    </row>
    <row r="1413" spans="1:32" x14ac:dyDescent="0.25">
      <c r="A1413">
        <v>1118</v>
      </c>
      <c r="B1413">
        <v>52</v>
      </c>
      <c r="C1413" t="s">
        <v>43</v>
      </c>
      <c r="D1413" t="s">
        <v>33</v>
      </c>
      <c r="E1413" t="s">
        <v>34</v>
      </c>
      <c r="F1413" t="s">
        <v>35</v>
      </c>
      <c r="G1413" t="s">
        <v>38</v>
      </c>
      <c r="H1413" t="s">
        <v>37</v>
      </c>
      <c r="I1413" t="s">
        <v>50</v>
      </c>
      <c r="J1413" t="s">
        <v>62</v>
      </c>
      <c r="K1413">
        <v>2</v>
      </c>
      <c r="L1413">
        <v>3</v>
      </c>
      <c r="M1413" t="s">
        <v>48</v>
      </c>
      <c r="N1413" t="s">
        <v>41</v>
      </c>
      <c r="O1413" t="s">
        <v>42</v>
      </c>
      <c r="P1413" t="s">
        <v>43</v>
      </c>
      <c r="Q1413">
        <v>19</v>
      </c>
      <c r="R1413">
        <v>7</v>
      </c>
      <c r="S1413">
        <v>18</v>
      </c>
      <c r="T1413">
        <v>4</v>
      </c>
      <c r="U1413">
        <v>0</v>
      </c>
      <c r="V1413">
        <v>7</v>
      </c>
      <c r="W1413">
        <v>87</v>
      </c>
      <c r="X1413">
        <v>994</v>
      </c>
      <c r="Y1413">
        <v>15322</v>
      </c>
      <c r="Z1413">
        <v>10445</v>
      </c>
      <c r="AA1413">
        <v>4</v>
      </c>
      <c r="AB1413">
        <v>26104</v>
      </c>
      <c r="AC1413" s="10">
        <v>41997</v>
      </c>
      <c r="AD1413" s="10" t="s">
        <v>72</v>
      </c>
      <c r="AE1413" t="s">
        <v>72</v>
      </c>
      <c r="AF1413" t="s">
        <v>45</v>
      </c>
    </row>
    <row r="1414" spans="1:32" x14ac:dyDescent="0.25">
      <c r="A1414">
        <v>1377</v>
      </c>
      <c r="B1414">
        <v>34</v>
      </c>
      <c r="C1414" t="s">
        <v>43</v>
      </c>
      <c r="D1414" t="s">
        <v>33</v>
      </c>
      <c r="E1414" t="s">
        <v>34</v>
      </c>
      <c r="F1414" t="s">
        <v>49</v>
      </c>
      <c r="G1414" t="s">
        <v>38</v>
      </c>
      <c r="H1414" t="s">
        <v>37</v>
      </c>
      <c r="I1414" t="s">
        <v>50</v>
      </c>
      <c r="J1414" t="s">
        <v>51</v>
      </c>
      <c r="K1414">
        <v>3</v>
      </c>
      <c r="L1414">
        <v>3</v>
      </c>
      <c r="M1414" t="s">
        <v>48</v>
      </c>
      <c r="N1414" t="s">
        <v>61</v>
      </c>
      <c r="O1414" t="s">
        <v>53</v>
      </c>
      <c r="P1414" t="s">
        <v>43</v>
      </c>
      <c r="Q1414">
        <v>13</v>
      </c>
      <c r="R1414">
        <v>4</v>
      </c>
      <c r="S1414">
        <v>10</v>
      </c>
      <c r="T1414">
        <v>7</v>
      </c>
      <c r="U1414">
        <v>7</v>
      </c>
      <c r="V1414">
        <v>29</v>
      </c>
      <c r="W1414">
        <v>86</v>
      </c>
      <c r="X1414">
        <v>285</v>
      </c>
      <c r="Y1414">
        <v>17491</v>
      </c>
      <c r="Z1414">
        <v>5429</v>
      </c>
      <c r="AA1414">
        <v>1</v>
      </c>
      <c r="AB1414">
        <v>32443</v>
      </c>
      <c r="AC1414" s="10">
        <v>42005</v>
      </c>
      <c r="AD1414" s="10" t="s">
        <v>72</v>
      </c>
      <c r="AE1414" t="s">
        <v>72</v>
      </c>
      <c r="AF1414" t="s">
        <v>55</v>
      </c>
    </row>
    <row r="1415" spans="1:32" x14ac:dyDescent="0.25">
      <c r="A1415">
        <v>913</v>
      </c>
      <c r="B1415">
        <v>44</v>
      </c>
      <c r="C1415" t="s">
        <v>43</v>
      </c>
      <c r="D1415" t="s">
        <v>33</v>
      </c>
      <c r="E1415" t="s">
        <v>34</v>
      </c>
      <c r="F1415" t="s">
        <v>67</v>
      </c>
      <c r="G1415" t="s">
        <v>38</v>
      </c>
      <c r="H1415" t="s">
        <v>37</v>
      </c>
      <c r="I1415" t="s">
        <v>50</v>
      </c>
      <c r="J1415" t="s">
        <v>39</v>
      </c>
      <c r="K1415">
        <v>1</v>
      </c>
      <c r="L1415">
        <v>3</v>
      </c>
      <c r="M1415" t="s">
        <v>48</v>
      </c>
      <c r="N1415" t="s">
        <v>61</v>
      </c>
      <c r="O1415" t="s">
        <v>42</v>
      </c>
      <c r="P1415" t="s">
        <v>32</v>
      </c>
      <c r="Q1415">
        <v>13</v>
      </c>
      <c r="R1415">
        <v>1</v>
      </c>
      <c r="S1415">
        <v>8</v>
      </c>
      <c r="T1415">
        <v>7</v>
      </c>
      <c r="U1415">
        <v>1</v>
      </c>
      <c r="V1415">
        <v>9</v>
      </c>
      <c r="W1415">
        <v>61</v>
      </c>
      <c r="X1415">
        <v>661</v>
      </c>
      <c r="Y1415">
        <v>7508</v>
      </c>
      <c r="Z1415">
        <v>2559</v>
      </c>
      <c r="AA1415">
        <v>0</v>
      </c>
      <c r="AB1415">
        <v>29056</v>
      </c>
      <c r="AC1415" s="10">
        <v>42066</v>
      </c>
      <c r="AD1415" s="10" t="s">
        <v>72</v>
      </c>
      <c r="AE1415" t="s">
        <v>72</v>
      </c>
      <c r="AF1415" t="s">
        <v>45</v>
      </c>
    </row>
    <row r="1416" spans="1:32" x14ac:dyDescent="0.25">
      <c r="A1416">
        <v>1640</v>
      </c>
      <c r="B1416">
        <v>37</v>
      </c>
      <c r="C1416" t="s">
        <v>43</v>
      </c>
      <c r="D1416" t="s">
        <v>33</v>
      </c>
      <c r="E1416" t="s">
        <v>34</v>
      </c>
      <c r="F1416" t="s">
        <v>49</v>
      </c>
      <c r="G1416" t="s">
        <v>38</v>
      </c>
      <c r="H1416" t="s">
        <v>47</v>
      </c>
      <c r="I1416" t="s">
        <v>50</v>
      </c>
      <c r="J1416" t="s">
        <v>39</v>
      </c>
      <c r="K1416">
        <v>2</v>
      </c>
      <c r="L1416">
        <v>3</v>
      </c>
      <c r="M1416" t="s">
        <v>40</v>
      </c>
      <c r="N1416" t="s">
        <v>61</v>
      </c>
      <c r="O1416" t="s">
        <v>36</v>
      </c>
      <c r="P1416" t="s">
        <v>43</v>
      </c>
      <c r="Q1416">
        <v>11</v>
      </c>
      <c r="R1416">
        <v>1</v>
      </c>
      <c r="S1416">
        <v>8</v>
      </c>
      <c r="T1416">
        <v>7</v>
      </c>
      <c r="U1416">
        <v>7</v>
      </c>
      <c r="V1416">
        <v>10</v>
      </c>
      <c r="W1416">
        <v>71</v>
      </c>
      <c r="X1416">
        <v>1470</v>
      </c>
      <c r="Y1416">
        <v>9953</v>
      </c>
      <c r="Z1416">
        <v>3936</v>
      </c>
      <c r="AA1416">
        <v>2</v>
      </c>
      <c r="AB1416">
        <v>31366</v>
      </c>
      <c r="AC1416" s="10">
        <v>42153</v>
      </c>
      <c r="AD1416" s="10" t="s">
        <v>72</v>
      </c>
      <c r="AE1416" t="s">
        <v>72</v>
      </c>
      <c r="AF1416" t="s">
        <v>45</v>
      </c>
    </row>
    <row r="1417" spans="1:32" x14ac:dyDescent="0.25">
      <c r="A1417">
        <v>1703</v>
      </c>
      <c r="B1417">
        <v>44</v>
      </c>
      <c r="C1417" t="s">
        <v>43</v>
      </c>
      <c r="D1417" t="s">
        <v>33</v>
      </c>
      <c r="E1417" t="s">
        <v>34</v>
      </c>
      <c r="F1417" t="s">
        <v>49</v>
      </c>
      <c r="G1417" t="s">
        <v>50</v>
      </c>
      <c r="H1417" t="s">
        <v>47</v>
      </c>
      <c r="I1417" t="s">
        <v>59</v>
      </c>
      <c r="J1417" t="s">
        <v>62</v>
      </c>
      <c r="K1417">
        <v>4</v>
      </c>
      <c r="L1417">
        <v>3</v>
      </c>
      <c r="M1417" t="s">
        <v>48</v>
      </c>
      <c r="N1417" t="s">
        <v>61</v>
      </c>
      <c r="O1417" t="s">
        <v>36</v>
      </c>
      <c r="P1417" t="s">
        <v>32</v>
      </c>
      <c r="Q1417">
        <v>19</v>
      </c>
      <c r="R1417">
        <v>1</v>
      </c>
      <c r="S1417">
        <v>9</v>
      </c>
      <c r="T1417">
        <v>6</v>
      </c>
      <c r="U1417">
        <v>7</v>
      </c>
      <c r="V1417">
        <v>2</v>
      </c>
      <c r="W1417">
        <v>96</v>
      </c>
      <c r="X1417">
        <v>921</v>
      </c>
      <c r="Y1417">
        <v>14810</v>
      </c>
      <c r="Z1417">
        <v>7879</v>
      </c>
      <c r="AA1417">
        <v>2</v>
      </c>
      <c r="AB1417">
        <v>28787</v>
      </c>
      <c r="AC1417" s="10">
        <v>42165</v>
      </c>
      <c r="AD1417" s="10" t="s">
        <v>72</v>
      </c>
      <c r="AE1417" t="s">
        <v>72</v>
      </c>
      <c r="AF1417" t="s">
        <v>45</v>
      </c>
    </row>
    <row r="1418" spans="1:32" x14ac:dyDescent="0.25">
      <c r="A1418">
        <v>1061</v>
      </c>
      <c r="B1418">
        <v>50</v>
      </c>
      <c r="C1418" t="s">
        <v>43</v>
      </c>
      <c r="D1418" t="s">
        <v>33</v>
      </c>
      <c r="E1418" t="s">
        <v>34</v>
      </c>
      <c r="F1418" t="s">
        <v>35</v>
      </c>
      <c r="G1418" t="s">
        <v>38</v>
      </c>
      <c r="H1418" t="s">
        <v>37</v>
      </c>
      <c r="I1418" t="s">
        <v>50</v>
      </c>
      <c r="J1418" t="s">
        <v>71</v>
      </c>
      <c r="K1418">
        <v>3</v>
      </c>
      <c r="L1418">
        <v>3</v>
      </c>
      <c r="M1418" t="s">
        <v>60</v>
      </c>
      <c r="N1418" t="s">
        <v>61</v>
      </c>
      <c r="O1418" t="s">
        <v>36</v>
      </c>
      <c r="P1418" t="s">
        <v>32</v>
      </c>
      <c r="Q1418">
        <v>11</v>
      </c>
      <c r="R1418">
        <v>2</v>
      </c>
      <c r="S1418">
        <v>29</v>
      </c>
      <c r="T1418">
        <v>7</v>
      </c>
      <c r="U1418">
        <v>7</v>
      </c>
      <c r="V1418">
        <v>2</v>
      </c>
      <c r="W1418">
        <v>62</v>
      </c>
      <c r="X1418">
        <v>1464</v>
      </c>
      <c r="Y1418">
        <v>12853</v>
      </c>
      <c r="Z1418">
        <v>19237</v>
      </c>
      <c r="AA1418">
        <v>2</v>
      </c>
      <c r="AB1418">
        <v>26536</v>
      </c>
      <c r="AC1418" s="10">
        <v>42202</v>
      </c>
      <c r="AD1418" s="10" t="s">
        <v>72</v>
      </c>
      <c r="AE1418" t="s">
        <v>72</v>
      </c>
      <c r="AF1418" t="s">
        <v>45</v>
      </c>
    </row>
    <row r="1419" spans="1:32" x14ac:dyDescent="0.25">
      <c r="A1419">
        <v>1952</v>
      </c>
      <c r="B1419">
        <v>26</v>
      </c>
      <c r="C1419" t="s">
        <v>43</v>
      </c>
      <c r="D1419" t="s">
        <v>33</v>
      </c>
      <c r="E1419" t="s">
        <v>34</v>
      </c>
      <c r="F1419" t="s">
        <v>49</v>
      </c>
      <c r="G1419" t="s">
        <v>50</v>
      </c>
      <c r="H1419" t="s">
        <v>37</v>
      </c>
      <c r="I1419" t="s">
        <v>50</v>
      </c>
      <c r="J1419" t="s">
        <v>51</v>
      </c>
      <c r="K1419">
        <v>1</v>
      </c>
      <c r="L1419">
        <v>3</v>
      </c>
      <c r="M1419" t="s">
        <v>60</v>
      </c>
      <c r="N1419" t="s">
        <v>41</v>
      </c>
      <c r="O1419" t="s">
        <v>42</v>
      </c>
      <c r="P1419" t="s">
        <v>43</v>
      </c>
      <c r="Q1419">
        <v>13</v>
      </c>
      <c r="R1419">
        <v>0</v>
      </c>
      <c r="S1419">
        <v>8</v>
      </c>
      <c r="T1419">
        <v>7</v>
      </c>
      <c r="U1419">
        <v>6</v>
      </c>
      <c r="V1419">
        <v>1</v>
      </c>
      <c r="W1419">
        <v>95</v>
      </c>
      <c r="X1419">
        <v>157</v>
      </c>
      <c r="Y1419">
        <v>20006</v>
      </c>
      <c r="Z1419">
        <v>2867</v>
      </c>
      <c r="AA1419">
        <v>6</v>
      </c>
      <c r="AB1419">
        <v>35614</v>
      </c>
      <c r="AC1419" s="10">
        <v>42240</v>
      </c>
      <c r="AD1419" s="10" t="s">
        <v>72</v>
      </c>
      <c r="AE1419" t="s">
        <v>72</v>
      </c>
      <c r="AF1419" t="s">
        <v>55</v>
      </c>
    </row>
    <row r="1420" spans="1:32" x14ac:dyDescent="0.25">
      <c r="A1420">
        <v>1555</v>
      </c>
      <c r="B1420">
        <v>32</v>
      </c>
      <c r="C1420" t="s">
        <v>43</v>
      </c>
      <c r="D1420" t="s">
        <v>33</v>
      </c>
      <c r="E1420" t="s">
        <v>34</v>
      </c>
      <c r="F1420" t="s">
        <v>67</v>
      </c>
      <c r="G1420" t="s">
        <v>59</v>
      </c>
      <c r="H1420" t="s">
        <v>47</v>
      </c>
      <c r="I1420" t="s">
        <v>38</v>
      </c>
      <c r="J1420" t="s">
        <v>39</v>
      </c>
      <c r="K1420">
        <v>2</v>
      </c>
      <c r="L1420">
        <v>3</v>
      </c>
      <c r="M1420" t="s">
        <v>48</v>
      </c>
      <c r="N1420" t="s">
        <v>61</v>
      </c>
      <c r="O1420" t="s">
        <v>36</v>
      </c>
      <c r="P1420" t="s">
        <v>43</v>
      </c>
      <c r="Q1420">
        <v>12</v>
      </c>
      <c r="R1420">
        <v>3</v>
      </c>
      <c r="S1420">
        <v>12</v>
      </c>
      <c r="T1420">
        <v>2</v>
      </c>
      <c r="U1420">
        <v>5</v>
      </c>
      <c r="V1420">
        <v>5</v>
      </c>
      <c r="W1420">
        <v>67</v>
      </c>
      <c r="X1420">
        <v>824</v>
      </c>
      <c r="Y1420">
        <v>15624</v>
      </c>
      <c r="Z1420">
        <v>5878</v>
      </c>
      <c r="AA1420">
        <v>2</v>
      </c>
      <c r="AB1420">
        <v>33412</v>
      </c>
      <c r="AC1420" s="10">
        <v>42292</v>
      </c>
      <c r="AD1420" s="10" t="s">
        <v>72</v>
      </c>
      <c r="AE1420" t="s">
        <v>72</v>
      </c>
      <c r="AF1420" t="s">
        <v>45</v>
      </c>
    </row>
    <row r="1421" spans="1:32" x14ac:dyDescent="0.25">
      <c r="A1421">
        <v>281</v>
      </c>
      <c r="B1421">
        <v>40</v>
      </c>
      <c r="C1421" t="s">
        <v>43</v>
      </c>
      <c r="D1421" t="s">
        <v>33</v>
      </c>
      <c r="E1421" t="s">
        <v>34</v>
      </c>
      <c r="F1421" t="s">
        <v>67</v>
      </c>
      <c r="G1421" t="s">
        <v>50</v>
      </c>
      <c r="H1421" t="s">
        <v>37</v>
      </c>
      <c r="I1421" t="s">
        <v>50</v>
      </c>
      <c r="J1421" t="s">
        <v>51</v>
      </c>
      <c r="K1421">
        <v>4</v>
      </c>
      <c r="L1421">
        <v>3</v>
      </c>
      <c r="M1421" t="s">
        <v>58</v>
      </c>
      <c r="N1421" t="s">
        <v>61</v>
      </c>
      <c r="O1421" t="s">
        <v>36</v>
      </c>
      <c r="P1421" t="s">
        <v>32</v>
      </c>
      <c r="Q1421">
        <v>15</v>
      </c>
      <c r="R1421">
        <v>8</v>
      </c>
      <c r="S1421">
        <v>15</v>
      </c>
      <c r="T1421">
        <v>3</v>
      </c>
      <c r="U1421">
        <v>7</v>
      </c>
      <c r="V1421">
        <v>19</v>
      </c>
      <c r="W1421">
        <v>99</v>
      </c>
      <c r="X1421">
        <v>905</v>
      </c>
      <c r="Y1421">
        <v>16523</v>
      </c>
      <c r="Z1421">
        <v>2741</v>
      </c>
      <c r="AA1421">
        <v>2</v>
      </c>
      <c r="AB1421">
        <v>30338</v>
      </c>
      <c r="AC1421" s="10">
        <v>42326</v>
      </c>
      <c r="AD1421" s="10" t="s">
        <v>72</v>
      </c>
      <c r="AE1421" t="s">
        <v>72</v>
      </c>
      <c r="AF1421" t="s">
        <v>45</v>
      </c>
    </row>
    <row r="1422" spans="1:32" x14ac:dyDescent="0.25">
      <c r="A1422">
        <v>1182</v>
      </c>
      <c r="B1422">
        <v>35</v>
      </c>
      <c r="C1422" t="s">
        <v>43</v>
      </c>
      <c r="D1422" t="s">
        <v>33</v>
      </c>
      <c r="E1422" t="s">
        <v>34</v>
      </c>
      <c r="F1422" t="s">
        <v>49</v>
      </c>
      <c r="G1422" t="s">
        <v>50</v>
      </c>
      <c r="H1422" t="s">
        <v>37</v>
      </c>
      <c r="I1422" t="s">
        <v>38</v>
      </c>
      <c r="J1422" t="s">
        <v>65</v>
      </c>
      <c r="K1422">
        <v>2</v>
      </c>
      <c r="L1422">
        <v>3</v>
      </c>
      <c r="M1422" t="s">
        <v>58</v>
      </c>
      <c r="N1422" t="s">
        <v>52</v>
      </c>
      <c r="O1422" t="s">
        <v>36</v>
      </c>
      <c r="P1422" t="s">
        <v>43</v>
      </c>
      <c r="Q1422">
        <v>18</v>
      </c>
      <c r="R1422">
        <v>2</v>
      </c>
      <c r="S1422">
        <v>15</v>
      </c>
      <c r="T1422">
        <v>6</v>
      </c>
      <c r="U1422">
        <v>4</v>
      </c>
      <c r="V1422">
        <v>2</v>
      </c>
      <c r="W1422">
        <v>44</v>
      </c>
      <c r="X1422">
        <v>819</v>
      </c>
      <c r="Y1422">
        <v>19588</v>
      </c>
      <c r="Z1422">
        <v>10274</v>
      </c>
      <c r="AA1422">
        <v>2</v>
      </c>
      <c r="AB1422">
        <v>32143</v>
      </c>
      <c r="AC1422" s="10">
        <v>42335</v>
      </c>
      <c r="AD1422" s="10" t="s">
        <v>72</v>
      </c>
      <c r="AE1422" t="s">
        <v>72</v>
      </c>
      <c r="AF1422" t="s">
        <v>45</v>
      </c>
    </row>
    <row r="1423" spans="1:32" x14ac:dyDescent="0.25">
      <c r="A1423">
        <v>727</v>
      </c>
      <c r="B1423">
        <v>32</v>
      </c>
      <c r="C1423" t="s">
        <v>43</v>
      </c>
      <c r="D1423" t="s">
        <v>33</v>
      </c>
      <c r="E1423" t="s">
        <v>34</v>
      </c>
      <c r="F1423" t="s">
        <v>67</v>
      </c>
      <c r="G1423" t="s">
        <v>50</v>
      </c>
      <c r="H1423" t="s">
        <v>47</v>
      </c>
      <c r="I1423" t="s">
        <v>50</v>
      </c>
      <c r="J1423" t="s">
        <v>71</v>
      </c>
      <c r="K1423">
        <v>4</v>
      </c>
      <c r="L1423">
        <v>3</v>
      </c>
      <c r="M1423" t="s">
        <v>48</v>
      </c>
      <c r="N1423" t="s">
        <v>41</v>
      </c>
      <c r="O1423" t="s">
        <v>42</v>
      </c>
      <c r="P1423" t="s">
        <v>43</v>
      </c>
      <c r="Q1423">
        <v>15</v>
      </c>
      <c r="R1423">
        <v>3</v>
      </c>
      <c r="S1423">
        <v>10</v>
      </c>
      <c r="T1423">
        <v>7</v>
      </c>
      <c r="U1423">
        <v>7</v>
      </c>
      <c r="V1423">
        <v>3</v>
      </c>
      <c r="W1423">
        <v>39</v>
      </c>
      <c r="X1423">
        <v>1018</v>
      </c>
      <c r="Y1423">
        <v>19373</v>
      </c>
      <c r="Z1423">
        <v>11159</v>
      </c>
      <c r="AA1423">
        <v>6</v>
      </c>
      <c r="AB1423">
        <v>33093</v>
      </c>
      <c r="AC1423" s="10">
        <v>42391</v>
      </c>
      <c r="AD1423" s="10" t="s">
        <v>72</v>
      </c>
      <c r="AE1423" t="s">
        <v>72</v>
      </c>
      <c r="AF1423" t="s">
        <v>45</v>
      </c>
    </row>
    <row r="1424" spans="1:32" x14ac:dyDescent="0.25">
      <c r="A1424">
        <v>1201</v>
      </c>
      <c r="B1424">
        <v>53</v>
      </c>
      <c r="C1424" t="s">
        <v>43</v>
      </c>
      <c r="D1424" t="s">
        <v>33</v>
      </c>
      <c r="E1424" t="s">
        <v>34</v>
      </c>
      <c r="F1424" t="s">
        <v>67</v>
      </c>
      <c r="G1424" t="s">
        <v>59</v>
      </c>
      <c r="H1424" t="s">
        <v>47</v>
      </c>
      <c r="I1424" t="s">
        <v>50</v>
      </c>
      <c r="J1424" t="s">
        <v>69</v>
      </c>
      <c r="K1424">
        <v>3</v>
      </c>
      <c r="L1424">
        <v>3</v>
      </c>
      <c r="M1424" t="s">
        <v>48</v>
      </c>
      <c r="N1424" t="s">
        <v>52</v>
      </c>
      <c r="O1424" t="s">
        <v>36</v>
      </c>
      <c r="P1424" t="s">
        <v>43</v>
      </c>
      <c r="Q1424">
        <v>18</v>
      </c>
      <c r="R1424">
        <v>3</v>
      </c>
      <c r="S1424">
        <v>26</v>
      </c>
      <c r="T1424">
        <v>4</v>
      </c>
      <c r="U1424">
        <v>7</v>
      </c>
      <c r="V1424">
        <v>7</v>
      </c>
      <c r="W1424">
        <v>50</v>
      </c>
      <c r="X1424">
        <v>1223</v>
      </c>
      <c r="Y1424">
        <v>18640</v>
      </c>
      <c r="Z1424">
        <v>18606</v>
      </c>
      <c r="AA1424">
        <v>6</v>
      </c>
      <c r="AB1424">
        <v>25484</v>
      </c>
      <c r="AC1424" s="10">
        <v>42398</v>
      </c>
      <c r="AD1424" s="10" t="s">
        <v>72</v>
      </c>
      <c r="AE1424" t="s">
        <v>72</v>
      </c>
      <c r="AF1424" t="s">
        <v>55</v>
      </c>
    </row>
    <row r="1425" spans="1:32" x14ac:dyDescent="0.25">
      <c r="A1425">
        <v>474</v>
      </c>
      <c r="B1425">
        <v>37</v>
      </c>
      <c r="C1425" t="s">
        <v>43</v>
      </c>
      <c r="D1425" t="s">
        <v>33</v>
      </c>
      <c r="E1425" t="s">
        <v>34</v>
      </c>
      <c r="F1425" t="s">
        <v>49</v>
      </c>
      <c r="G1425" t="s">
        <v>50</v>
      </c>
      <c r="H1425" t="s">
        <v>37</v>
      </c>
      <c r="I1425" t="s">
        <v>59</v>
      </c>
      <c r="J1425" t="s">
        <v>39</v>
      </c>
      <c r="K1425">
        <v>1</v>
      </c>
      <c r="L1425">
        <v>3</v>
      </c>
      <c r="M1425" t="s">
        <v>48</v>
      </c>
      <c r="N1425" t="s">
        <v>52</v>
      </c>
      <c r="O1425" t="s">
        <v>53</v>
      </c>
      <c r="P1425" t="s">
        <v>32</v>
      </c>
      <c r="Q1425">
        <v>13</v>
      </c>
      <c r="R1425">
        <v>4</v>
      </c>
      <c r="S1425">
        <v>13</v>
      </c>
      <c r="T1425">
        <v>6</v>
      </c>
      <c r="U1425">
        <v>2</v>
      </c>
      <c r="V1425">
        <v>6</v>
      </c>
      <c r="W1425">
        <v>51</v>
      </c>
      <c r="X1425">
        <v>1319</v>
      </c>
      <c r="Y1425">
        <v>17001</v>
      </c>
      <c r="Z1425">
        <v>5974</v>
      </c>
      <c r="AA1425">
        <v>2</v>
      </c>
      <c r="AB1425">
        <v>31536</v>
      </c>
      <c r="AC1425" s="10">
        <v>42401</v>
      </c>
      <c r="AD1425" s="10" t="s">
        <v>72</v>
      </c>
      <c r="AE1425" t="s">
        <v>72</v>
      </c>
      <c r="AF1425" t="s">
        <v>45</v>
      </c>
    </row>
    <row r="1426" spans="1:32" x14ac:dyDescent="0.25">
      <c r="A1426">
        <v>1829</v>
      </c>
      <c r="B1426">
        <v>40</v>
      </c>
      <c r="C1426" t="s">
        <v>43</v>
      </c>
      <c r="D1426" t="s">
        <v>33</v>
      </c>
      <c r="E1426" t="s">
        <v>34</v>
      </c>
      <c r="F1426" t="s">
        <v>49</v>
      </c>
      <c r="G1426" t="s">
        <v>38</v>
      </c>
      <c r="H1426" t="s">
        <v>47</v>
      </c>
      <c r="I1426" t="s">
        <v>50</v>
      </c>
      <c r="J1426" t="s">
        <v>62</v>
      </c>
      <c r="K1426">
        <v>1</v>
      </c>
      <c r="L1426">
        <v>3</v>
      </c>
      <c r="M1426" t="s">
        <v>48</v>
      </c>
      <c r="N1426" t="s">
        <v>52</v>
      </c>
      <c r="O1426" t="s">
        <v>36</v>
      </c>
      <c r="P1426" t="s">
        <v>43</v>
      </c>
      <c r="Q1426">
        <v>12</v>
      </c>
      <c r="R1426">
        <v>2</v>
      </c>
      <c r="S1426">
        <v>15</v>
      </c>
      <c r="T1426">
        <v>3</v>
      </c>
      <c r="U1426">
        <v>6</v>
      </c>
      <c r="V1426">
        <v>12</v>
      </c>
      <c r="W1426">
        <v>47</v>
      </c>
      <c r="X1426">
        <v>750</v>
      </c>
      <c r="Y1426">
        <v>10748</v>
      </c>
      <c r="Z1426">
        <v>4448</v>
      </c>
      <c r="AA1426">
        <v>3</v>
      </c>
      <c r="AB1426">
        <v>30491</v>
      </c>
      <c r="AC1426" s="10">
        <v>42428</v>
      </c>
      <c r="AD1426" s="10" t="s">
        <v>72</v>
      </c>
      <c r="AE1426" t="s">
        <v>72</v>
      </c>
      <c r="AF1426" t="s">
        <v>45</v>
      </c>
    </row>
    <row r="1427" spans="1:32" x14ac:dyDescent="0.25">
      <c r="A1427">
        <v>13</v>
      </c>
      <c r="B1427">
        <v>36</v>
      </c>
      <c r="C1427" t="s">
        <v>43</v>
      </c>
      <c r="D1427" t="s">
        <v>33</v>
      </c>
      <c r="E1427" t="s">
        <v>34</v>
      </c>
      <c r="F1427" t="s">
        <v>49</v>
      </c>
      <c r="G1427" t="s">
        <v>50</v>
      </c>
      <c r="H1427" t="s">
        <v>37</v>
      </c>
      <c r="I1427" t="s">
        <v>50</v>
      </c>
      <c r="J1427" t="s">
        <v>62</v>
      </c>
      <c r="K1427">
        <v>3</v>
      </c>
      <c r="L1427">
        <v>3</v>
      </c>
      <c r="M1427" t="s">
        <v>60</v>
      </c>
      <c r="N1427" t="s">
        <v>61</v>
      </c>
      <c r="O1427" t="s">
        <v>53</v>
      </c>
      <c r="P1427" t="s">
        <v>43</v>
      </c>
      <c r="Q1427">
        <v>13</v>
      </c>
      <c r="R1427">
        <v>6</v>
      </c>
      <c r="S1427">
        <v>17</v>
      </c>
      <c r="T1427">
        <v>6</v>
      </c>
      <c r="U1427">
        <v>6</v>
      </c>
      <c r="V1427">
        <v>27</v>
      </c>
      <c r="W1427">
        <v>94</v>
      </c>
      <c r="X1427">
        <v>1299</v>
      </c>
      <c r="Y1427">
        <v>16577</v>
      </c>
      <c r="Z1427">
        <v>5237</v>
      </c>
      <c r="AA1427">
        <v>3</v>
      </c>
      <c r="AB1427">
        <v>31662</v>
      </c>
      <c r="AC1427" s="10">
        <v>42456</v>
      </c>
      <c r="AD1427" s="10" t="s">
        <v>72</v>
      </c>
      <c r="AE1427" t="s">
        <v>72</v>
      </c>
      <c r="AF1427" t="s">
        <v>55</v>
      </c>
    </row>
    <row r="1428" spans="1:32" x14ac:dyDescent="0.25">
      <c r="A1428">
        <v>579</v>
      </c>
      <c r="B1428">
        <v>34</v>
      </c>
      <c r="C1428" t="s">
        <v>43</v>
      </c>
      <c r="D1428" t="s">
        <v>33</v>
      </c>
      <c r="E1428" t="s">
        <v>34</v>
      </c>
      <c r="F1428" t="s">
        <v>35</v>
      </c>
      <c r="G1428" t="s">
        <v>59</v>
      </c>
      <c r="H1428" t="s">
        <v>37</v>
      </c>
      <c r="I1428" t="s">
        <v>38</v>
      </c>
      <c r="J1428" t="s">
        <v>39</v>
      </c>
      <c r="K1428">
        <v>3</v>
      </c>
      <c r="L1428">
        <v>3</v>
      </c>
      <c r="M1428" t="s">
        <v>48</v>
      </c>
      <c r="N1428" t="s">
        <v>52</v>
      </c>
      <c r="O1428" t="s">
        <v>36</v>
      </c>
      <c r="P1428" t="s">
        <v>43</v>
      </c>
      <c r="Q1428">
        <v>12</v>
      </c>
      <c r="R1428">
        <v>3</v>
      </c>
      <c r="S1428">
        <v>14</v>
      </c>
      <c r="T1428">
        <v>5</v>
      </c>
      <c r="U1428">
        <v>4</v>
      </c>
      <c r="V1428">
        <v>2</v>
      </c>
      <c r="W1428">
        <v>62</v>
      </c>
      <c r="X1428">
        <v>1303</v>
      </c>
      <c r="Y1428">
        <v>8416</v>
      </c>
      <c r="Z1428">
        <v>2768</v>
      </c>
      <c r="AA1428">
        <v>3</v>
      </c>
      <c r="AB1428">
        <v>32619</v>
      </c>
      <c r="AC1428" s="10">
        <v>42526</v>
      </c>
      <c r="AD1428" s="10" t="s">
        <v>72</v>
      </c>
      <c r="AE1428" t="s">
        <v>72</v>
      </c>
      <c r="AF1428" t="s">
        <v>45</v>
      </c>
    </row>
    <row r="1429" spans="1:32" x14ac:dyDescent="0.25">
      <c r="A1429">
        <v>381</v>
      </c>
      <c r="B1429">
        <v>35</v>
      </c>
      <c r="C1429" t="s">
        <v>43</v>
      </c>
      <c r="D1429" t="s">
        <v>33</v>
      </c>
      <c r="E1429" t="s">
        <v>34</v>
      </c>
      <c r="F1429" t="s">
        <v>49</v>
      </c>
      <c r="G1429" t="s">
        <v>38</v>
      </c>
      <c r="H1429" t="s">
        <v>47</v>
      </c>
      <c r="I1429" t="s">
        <v>59</v>
      </c>
      <c r="J1429" t="s">
        <v>69</v>
      </c>
      <c r="K1429">
        <v>2</v>
      </c>
      <c r="L1429">
        <v>3</v>
      </c>
      <c r="M1429" t="s">
        <v>60</v>
      </c>
      <c r="N1429" t="s">
        <v>52</v>
      </c>
      <c r="O1429" t="s">
        <v>36</v>
      </c>
      <c r="P1429" t="s">
        <v>43</v>
      </c>
      <c r="Q1429">
        <v>18</v>
      </c>
      <c r="R1429">
        <v>7</v>
      </c>
      <c r="S1429">
        <v>10</v>
      </c>
      <c r="T1429">
        <v>6</v>
      </c>
      <c r="U1429">
        <v>2</v>
      </c>
      <c r="V1429">
        <v>22</v>
      </c>
      <c r="W1429">
        <v>71</v>
      </c>
      <c r="X1429">
        <v>1315</v>
      </c>
      <c r="Y1429">
        <v>19100</v>
      </c>
      <c r="Z1429">
        <v>11996</v>
      </c>
      <c r="AA1429">
        <v>6</v>
      </c>
      <c r="AB1429">
        <v>32264</v>
      </c>
      <c r="AC1429" s="10">
        <v>42562</v>
      </c>
      <c r="AD1429" s="10" t="s">
        <v>72</v>
      </c>
      <c r="AE1429" t="s">
        <v>72</v>
      </c>
      <c r="AF1429" t="s">
        <v>45</v>
      </c>
    </row>
    <row r="1430" spans="1:32" x14ac:dyDescent="0.25">
      <c r="A1430">
        <v>1216</v>
      </c>
      <c r="B1430">
        <v>28</v>
      </c>
      <c r="C1430" t="s">
        <v>43</v>
      </c>
      <c r="D1430" t="s">
        <v>33</v>
      </c>
      <c r="E1430" t="s">
        <v>34</v>
      </c>
      <c r="F1430" t="s">
        <v>35</v>
      </c>
      <c r="G1430" t="s">
        <v>59</v>
      </c>
      <c r="H1430" t="s">
        <v>37</v>
      </c>
      <c r="I1430" t="s">
        <v>38</v>
      </c>
      <c r="J1430" t="s">
        <v>51</v>
      </c>
      <c r="K1430">
        <v>1</v>
      </c>
      <c r="L1430">
        <v>3</v>
      </c>
      <c r="M1430" t="s">
        <v>48</v>
      </c>
      <c r="N1430" t="s">
        <v>61</v>
      </c>
      <c r="O1430" t="s">
        <v>50</v>
      </c>
      <c r="P1430" t="s">
        <v>43</v>
      </c>
      <c r="Q1430">
        <v>12</v>
      </c>
      <c r="R1430">
        <v>1</v>
      </c>
      <c r="S1430">
        <v>6</v>
      </c>
      <c r="T1430">
        <v>3</v>
      </c>
      <c r="U1430">
        <v>3</v>
      </c>
      <c r="V1430">
        <v>19</v>
      </c>
      <c r="W1430">
        <v>78</v>
      </c>
      <c r="X1430">
        <v>1179</v>
      </c>
      <c r="Y1430">
        <v>12449</v>
      </c>
      <c r="Z1430">
        <v>3196</v>
      </c>
      <c r="AA1430">
        <v>2</v>
      </c>
      <c r="AB1430">
        <v>34829</v>
      </c>
      <c r="AC1430" s="10">
        <v>42636</v>
      </c>
      <c r="AD1430" s="10" t="s">
        <v>72</v>
      </c>
      <c r="AE1430" t="s">
        <v>72</v>
      </c>
      <c r="AF1430" t="s">
        <v>55</v>
      </c>
    </row>
    <row r="1431" spans="1:32" x14ac:dyDescent="0.25">
      <c r="A1431">
        <v>2010</v>
      </c>
      <c r="B1431">
        <v>32</v>
      </c>
      <c r="C1431" t="s">
        <v>43</v>
      </c>
      <c r="D1431" t="s">
        <v>33</v>
      </c>
      <c r="E1431" t="s">
        <v>34</v>
      </c>
      <c r="F1431" t="s">
        <v>35</v>
      </c>
      <c r="G1431" t="s">
        <v>50</v>
      </c>
      <c r="H1431" t="s">
        <v>47</v>
      </c>
      <c r="I1431" t="s">
        <v>38</v>
      </c>
      <c r="J1431" t="s">
        <v>51</v>
      </c>
      <c r="K1431">
        <v>2</v>
      </c>
      <c r="L1431">
        <v>3</v>
      </c>
      <c r="M1431" t="s">
        <v>48</v>
      </c>
      <c r="N1431" t="s">
        <v>41</v>
      </c>
      <c r="O1431" t="s">
        <v>42</v>
      </c>
      <c r="P1431" t="s">
        <v>43</v>
      </c>
      <c r="Q1431">
        <v>13</v>
      </c>
      <c r="R1431">
        <v>1</v>
      </c>
      <c r="S1431">
        <v>6</v>
      </c>
      <c r="T1431">
        <v>4</v>
      </c>
      <c r="U1431">
        <v>1</v>
      </c>
      <c r="V1431">
        <v>29</v>
      </c>
      <c r="W1431">
        <v>49</v>
      </c>
      <c r="X1431">
        <v>267</v>
      </c>
      <c r="Y1431">
        <v>15919</v>
      </c>
      <c r="Z1431">
        <v>2837</v>
      </c>
      <c r="AA1431">
        <v>3</v>
      </c>
      <c r="AB1431">
        <v>33385</v>
      </c>
      <c r="AC1431" s="10">
        <v>42833</v>
      </c>
      <c r="AD1431" s="10" t="s">
        <v>72</v>
      </c>
      <c r="AE1431" t="s">
        <v>72</v>
      </c>
      <c r="AF1431" t="s">
        <v>55</v>
      </c>
    </row>
    <row r="1432" spans="1:32" x14ac:dyDescent="0.25">
      <c r="A1432">
        <v>635</v>
      </c>
      <c r="B1432">
        <v>37</v>
      </c>
      <c r="C1432" t="s">
        <v>43</v>
      </c>
      <c r="D1432" t="s">
        <v>33</v>
      </c>
      <c r="E1432" t="s">
        <v>34</v>
      </c>
      <c r="F1432" t="s">
        <v>35</v>
      </c>
      <c r="G1432" t="s">
        <v>38</v>
      </c>
      <c r="H1432" t="s">
        <v>47</v>
      </c>
      <c r="I1432" t="s">
        <v>50</v>
      </c>
      <c r="J1432" t="s">
        <v>65</v>
      </c>
      <c r="K1432">
        <v>2</v>
      </c>
      <c r="L1432">
        <v>3</v>
      </c>
      <c r="M1432" t="s">
        <v>60</v>
      </c>
      <c r="N1432" t="s">
        <v>61</v>
      </c>
      <c r="O1432" t="s">
        <v>36</v>
      </c>
      <c r="P1432" t="s">
        <v>43</v>
      </c>
      <c r="Q1432">
        <v>12</v>
      </c>
      <c r="R1432">
        <v>6</v>
      </c>
      <c r="S1432">
        <v>8</v>
      </c>
      <c r="T1432">
        <v>4</v>
      </c>
      <c r="U1432">
        <v>3</v>
      </c>
      <c r="V1432">
        <v>1</v>
      </c>
      <c r="W1432">
        <v>65</v>
      </c>
      <c r="X1432">
        <v>446</v>
      </c>
      <c r="Y1432">
        <v>15701</v>
      </c>
      <c r="Z1432">
        <v>6447</v>
      </c>
      <c r="AA1432">
        <v>2</v>
      </c>
      <c r="AB1432">
        <v>31370</v>
      </c>
      <c r="AC1432" s="10">
        <v>42934</v>
      </c>
      <c r="AD1432" s="10" t="s">
        <v>72</v>
      </c>
      <c r="AE1432" t="s">
        <v>72</v>
      </c>
      <c r="AF1432" t="s">
        <v>45</v>
      </c>
    </row>
    <row r="1433" spans="1:32" x14ac:dyDescent="0.25">
      <c r="A1433">
        <v>164</v>
      </c>
      <c r="B1433">
        <v>26</v>
      </c>
      <c r="C1433" t="s">
        <v>43</v>
      </c>
      <c r="D1433" t="s">
        <v>33</v>
      </c>
      <c r="E1433" t="s">
        <v>34</v>
      </c>
      <c r="F1433" t="s">
        <v>49</v>
      </c>
      <c r="G1433" t="s">
        <v>50</v>
      </c>
      <c r="H1433" t="s">
        <v>47</v>
      </c>
      <c r="I1433" t="s">
        <v>38</v>
      </c>
      <c r="J1433" t="s">
        <v>39</v>
      </c>
      <c r="K1433">
        <v>2</v>
      </c>
      <c r="L1433">
        <v>3</v>
      </c>
      <c r="M1433" t="s">
        <v>60</v>
      </c>
      <c r="N1433" t="s">
        <v>61</v>
      </c>
      <c r="O1433" t="s">
        <v>42</v>
      </c>
      <c r="P1433" t="s">
        <v>43</v>
      </c>
      <c r="Q1433">
        <v>19</v>
      </c>
      <c r="R1433">
        <v>1</v>
      </c>
      <c r="S1433">
        <v>5</v>
      </c>
      <c r="T1433">
        <v>4</v>
      </c>
      <c r="U1433">
        <v>3</v>
      </c>
      <c r="V1433">
        <v>6</v>
      </c>
      <c r="W1433">
        <v>46</v>
      </c>
      <c r="X1433">
        <v>841</v>
      </c>
      <c r="Y1433">
        <v>23300</v>
      </c>
      <c r="Z1433">
        <v>2368</v>
      </c>
      <c r="AA1433">
        <v>3</v>
      </c>
      <c r="AB1433">
        <v>35549</v>
      </c>
      <c r="AC1433" s="10">
        <v>43066</v>
      </c>
      <c r="AD1433" s="10" t="s">
        <v>72</v>
      </c>
      <c r="AE1433" t="s">
        <v>72</v>
      </c>
      <c r="AF1433" t="s">
        <v>45</v>
      </c>
    </row>
    <row r="1434" spans="1:32" x14ac:dyDescent="0.25">
      <c r="A1434">
        <v>577</v>
      </c>
      <c r="B1434">
        <v>35</v>
      </c>
      <c r="C1434" t="s">
        <v>43</v>
      </c>
      <c r="D1434" t="s">
        <v>33</v>
      </c>
      <c r="E1434" t="s">
        <v>34</v>
      </c>
      <c r="F1434" t="s">
        <v>49</v>
      </c>
      <c r="G1434" t="s">
        <v>59</v>
      </c>
      <c r="H1434" t="s">
        <v>37</v>
      </c>
      <c r="I1434" t="s">
        <v>36</v>
      </c>
      <c r="J1434" t="s">
        <v>51</v>
      </c>
      <c r="K1434">
        <v>3</v>
      </c>
      <c r="L1434">
        <v>3</v>
      </c>
      <c r="M1434" t="s">
        <v>48</v>
      </c>
      <c r="N1434" t="s">
        <v>41</v>
      </c>
      <c r="O1434" t="s">
        <v>42</v>
      </c>
      <c r="P1434" t="s">
        <v>43</v>
      </c>
      <c r="Q1434">
        <v>15</v>
      </c>
      <c r="R1434">
        <v>0</v>
      </c>
      <c r="S1434">
        <v>6</v>
      </c>
      <c r="T1434">
        <v>4</v>
      </c>
      <c r="U1434">
        <v>3</v>
      </c>
      <c r="V1434">
        <v>22</v>
      </c>
      <c r="W1434">
        <v>46</v>
      </c>
      <c r="X1434">
        <v>144</v>
      </c>
      <c r="Y1434">
        <v>19225</v>
      </c>
      <c r="Z1434">
        <v>4230</v>
      </c>
      <c r="AA1434">
        <v>2</v>
      </c>
      <c r="AB1434">
        <v>32250</v>
      </c>
      <c r="AC1434" s="10">
        <v>43101</v>
      </c>
      <c r="AD1434" s="10" t="s">
        <v>72</v>
      </c>
      <c r="AE1434" t="s">
        <v>72</v>
      </c>
      <c r="AF1434" t="s">
        <v>45</v>
      </c>
    </row>
    <row r="1435" spans="1:32" x14ac:dyDescent="0.25">
      <c r="A1435">
        <v>852</v>
      </c>
      <c r="B1435">
        <v>44</v>
      </c>
      <c r="C1435" t="s">
        <v>43</v>
      </c>
      <c r="D1435" t="s">
        <v>33</v>
      </c>
      <c r="E1435" t="s">
        <v>34</v>
      </c>
      <c r="F1435" t="s">
        <v>49</v>
      </c>
      <c r="G1435" t="s">
        <v>59</v>
      </c>
      <c r="H1435" t="s">
        <v>37</v>
      </c>
      <c r="I1435" t="s">
        <v>50</v>
      </c>
      <c r="J1435" t="s">
        <v>62</v>
      </c>
      <c r="K1435">
        <v>2</v>
      </c>
      <c r="L1435">
        <v>3</v>
      </c>
      <c r="M1435" t="s">
        <v>60</v>
      </c>
      <c r="N1435" t="s">
        <v>41</v>
      </c>
      <c r="O1435" t="s">
        <v>42</v>
      </c>
      <c r="P1435" t="s">
        <v>43</v>
      </c>
      <c r="Q1435">
        <v>12</v>
      </c>
      <c r="R1435">
        <v>9</v>
      </c>
      <c r="S1435">
        <v>10</v>
      </c>
      <c r="T1435">
        <v>2</v>
      </c>
      <c r="U1435">
        <v>3</v>
      </c>
      <c r="V1435">
        <v>4</v>
      </c>
      <c r="W1435">
        <v>50</v>
      </c>
      <c r="X1435">
        <v>625</v>
      </c>
      <c r="Y1435">
        <v>5197</v>
      </c>
      <c r="Z1435">
        <v>5933</v>
      </c>
      <c r="AA1435">
        <v>2</v>
      </c>
      <c r="AB1435">
        <v>29041</v>
      </c>
      <c r="AC1435" s="10">
        <v>43103</v>
      </c>
      <c r="AD1435" s="10" t="s">
        <v>72</v>
      </c>
      <c r="AE1435" t="s">
        <v>72</v>
      </c>
      <c r="AF1435" t="s">
        <v>45</v>
      </c>
    </row>
    <row r="1436" spans="1:32" x14ac:dyDescent="0.25">
      <c r="A1436">
        <v>1032</v>
      </c>
      <c r="B1436">
        <v>59</v>
      </c>
      <c r="C1436" t="s">
        <v>43</v>
      </c>
      <c r="D1436" t="s">
        <v>33</v>
      </c>
      <c r="E1436" t="s">
        <v>34</v>
      </c>
      <c r="F1436" t="s">
        <v>49</v>
      </c>
      <c r="G1436" t="s">
        <v>50</v>
      </c>
      <c r="H1436" t="s">
        <v>47</v>
      </c>
      <c r="I1436" t="s">
        <v>38</v>
      </c>
      <c r="J1436" t="s">
        <v>65</v>
      </c>
      <c r="K1436">
        <v>4</v>
      </c>
      <c r="L1436">
        <v>3</v>
      </c>
      <c r="M1436" t="s">
        <v>48</v>
      </c>
      <c r="N1436" t="s">
        <v>41</v>
      </c>
      <c r="O1436" t="s">
        <v>42</v>
      </c>
      <c r="P1436" t="s">
        <v>32</v>
      </c>
      <c r="Q1436">
        <v>13</v>
      </c>
      <c r="R1436">
        <v>3</v>
      </c>
      <c r="S1436">
        <v>30</v>
      </c>
      <c r="T1436">
        <v>4</v>
      </c>
      <c r="U1436">
        <v>3</v>
      </c>
      <c r="V1436">
        <v>2</v>
      </c>
      <c r="W1436">
        <v>69</v>
      </c>
      <c r="X1436">
        <v>715</v>
      </c>
      <c r="Y1436">
        <v>21829</v>
      </c>
      <c r="Z1436">
        <v>13726</v>
      </c>
      <c r="AA1436">
        <v>4</v>
      </c>
      <c r="AB1436">
        <v>23484</v>
      </c>
      <c r="AC1436" s="10">
        <v>43182</v>
      </c>
      <c r="AD1436" s="10" t="s">
        <v>72</v>
      </c>
      <c r="AE1436" t="s">
        <v>72</v>
      </c>
      <c r="AF1436" t="s">
        <v>45</v>
      </c>
    </row>
    <row r="1437" spans="1:32" x14ac:dyDescent="0.25">
      <c r="A1437">
        <v>757</v>
      </c>
      <c r="B1437">
        <v>34</v>
      </c>
      <c r="C1437" t="s">
        <v>43</v>
      </c>
      <c r="D1437" t="s">
        <v>33</v>
      </c>
      <c r="E1437" t="s">
        <v>34</v>
      </c>
      <c r="F1437" t="s">
        <v>67</v>
      </c>
      <c r="G1437" t="s">
        <v>38</v>
      </c>
      <c r="H1437" t="s">
        <v>47</v>
      </c>
      <c r="I1437" t="s">
        <v>50</v>
      </c>
      <c r="J1437" t="s">
        <v>62</v>
      </c>
      <c r="K1437">
        <v>3</v>
      </c>
      <c r="L1437">
        <v>3</v>
      </c>
      <c r="M1437" t="s">
        <v>48</v>
      </c>
      <c r="N1437" t="s">
        <v>41</v>
      </c>
      <c r="O1437" t="s">
        <v>42</v>
      </c>
      <c r="P1437" t="s">
        <v>43</v>
      </c>
      <c r="Q1437">
        <v>11</v>
      </c>
      <c r="R1437">
        <v>3</v>
      </c>
      <c r="S1437">
        <v>10</v>
      </c>
      <c r="T1437">
        <v>4</v>
      </c>
      <c r="U1437">
        <v>3</v>
      </c>
      <c r="V1437">
        <v>8</v>
      </c>
      <c r="W1437">
        <v>96</v>
      </c>
      <c r="X1437">
        <v>970</v>
      </c>
      <c r="Y1437">
        <v>7360</v>
      </c>
      <c r="Z1437">
        <v>6142</v>
      </c>
      <c r="AA1437">
        <v>2</v>
      </c>
      <c r="AB1437">
        <v>32550</v>
      </c>
      <c r="AC1437" s="10">
        <v>43263</v>
      </c>
      <c r="AD1437" s="10" t="s">
        <v>72</v>
      </c>
      <c r="AE1437" t="s">
        <v>72</v>
      </c>
      <c r="AF1437" t="s">
        <v>45</v>
      </c>
    </row>
    <row r="1438" spans="1:32" x14ac:dyDescent="0.25">
      <c r="A1438">
        <v>16</v>
      </c>
      <c r="B1438">
        <v>31</v>
      </c>
      <c r="C1438" t="s">
        <v>43</v>
      </c>
      <c r="D1438" t="s">
        <v>33</v>
      </c>
      <c r="E1438" t="s">
        <v>34</v>
      </c>
      <c r="F1438" t="s">
        <v>64</v>
      </c>
      <c r="G1438" t="s">
        <v>36</v>
      </c>
      <c r="H1438" t="s">
        <v>37</v>
      </c>
      <c r="I1438" t="s">
        <v>50</v>
      </c>
      <c r="J1438" t="s">
        <v>39</v>
      </c>
      <c r="K1438">
        <v>3</v>
      </c>
      <c r="L1438">
        <v>3</v>
      </c>
      <c r="M1438" t="s">
        <v>60</v>
      </c>
      <c r="N1438" t="s">
        <v>52</v>
      </c>
      <c r="O1438" t="s">
        <v>36</v>
      </c>
      <c r="P1438" t="s">
        <v>43</v>
      </c>
      <c r="Q1438">
        <v>17</v>
      </c>
      <c r="R1438">
        <v>1</v>
      </c>
      <c r="S1438">
        <v>5</v>
      </c>
      <c r="T1438">
        <v>4</v>
      </c>
      <c r="U1438">
        <v>3</v>
      </c>
      <c r="V1438">
        <v>26</v>
      </c>
      <c r="W1438">
        <v>31</v>
      </c>
      <c r="X1438">
        <v>670</v>
      </c>
      <c r="Y1438">
        <v>15170</v>
      </c>
      <c r="Z1438">
        <v>2911</v>
      </c>
      <c r="AA1438">
        <v>1</v>
      </c>
      <c r="AB1438">
        <v>33451</v>
      </c>
      <c r="AC1438" s="10">
        <v>43267</v>
      </c>
      <c r="AD1438" s="10" t="s">
        <v>72</v>
      </c>
      <c r="AE1438" t="s">
        <v>72</v>
      </c>
      <c r="AF1438" t="s">
        <v>45</v>
      </c>
    </row>
    <row r="1439" spans="1:32" x14ac:dyDescent="0.25">
      <c r="A1439">
        <v>226</v>
      </c>
      <c r="B1439">
        <v>50</v>
      </c>
      <c r="C1439" t="s">
        <v>43</v>
      </c>
      <c r="D1439" t="s">
        <v>33</v>
      </c>
      <c r="E1439" t="s">
        <v>34</v>
      </c>
      <c r="F1439" t="s">
        <v>49</v>
      </c>
      <c r="G1439" t="s">
        <v>50</v>
      </c>
      <c r="H1439" t="s">
        <v>47</v>
      </c>
      <c r="I1439" t="s">
        <v>50</v>
      </c>
      <c r="J1439" t="s">
        <v>69</v>
      </c>
      <c r="K1439">
        <v>2</v>
      </c>
      <c r="L1439">
        <v>3</v>
      </c>
      <c r="M1439" t="s">
        <v>48</v>
      </c>
      <c r="N1439" t="s">
        <v>41</v>
      </c>
      <c r="O1439" t="s">
        <v>42</v>
      </c>
      <c r="P1439" t="s">
        <v>43</v>
      </c>
      <c r="Q1439">
        <v>15</v>
      </c>
      <c r="R1439">
        <v>3</v>
      </c>
      <c r="S1439">
        <v>21</v>
      </c>
      <c r="T1439">
        <v>4</v>
      </c>
      <c r="U1439">
        <v>4</v>
      </c>
      <c r="V1439">
        <v>11</v>
      </c>
      <c r="W1439">
        <v>53</v>
      </c>
      <c r="X1439">
        <v>1452</v>
      </c>
      <c r="Y1439">
        <v>17053</v>
      </c>
      <c r="Z1439">
        <v>19926</v>
      </c>
      <c r="AA1439">
        <v>5</v>
      </c>
      <c r="AB1439">
        <v>26796</v>
      </c>
      <c r="AC1439" s="10">
        <v>43293</v>
      </c>
      <c r="AD1439" s="10" t="s">
        <v>72</v>
      </c>
      <c r="AE1439" t="s">
        <v>72</v>
      </c>
      <c r="AF1439" t="s">
        <v>45</v>
      </c>
    </row>
    <row r="1440" spans="1:32" x14ac:dyDescent="0.25">
      <c r="A1440">
        <v>802</v>
      </c>
      <c r="B1440">
        <v>37</v>
      </c>
      <c r="C1440" t="s">
        <v>43</v>
      </c>
      <c r="D1440" t="s">
        <v>33</v>
      </c>
      <c r="E1440" t="s">
        <v>34</v>
      </c>
      <c r="F1440" t="s">
        <v>64</v>
      </c>
      <c r="G1440" t="s">
        <v>59</v>
      </c>
      <c r="H1440" t="s">
        <v>47</v>
      </c>
      <c r="I1440" t="s">
        <v>50</v>
      </c>
      <c r="J1440" t="s">
        <v>39</v>
      </c>
      <c r="K1440">
        <v>1</v>
      </c>
      <c r="L1440">
        <v>3</v>
      </c>
      <c r="M1440" t="s">
        <v>60</v>
      </c>
      <c r="N1440" t="s">
        <v>52</v>
      </c>
      <c r="O1440" t="s">
        <v>53</v>
      </c>
      <c r="P1440" t="s">
        <v>32</v>
      </c>
      <c r="Q1440">
        <v>13</v>
      </c>
      <c r="R1440">
        <v>0</v>
      </c>
      <c r="S1440">
        <v>6</v>
      </c>
      <c r="T1440">
        <v>4</v>
      </c>
      <c r="U1440">
        <v>3</v>
      </c>
      <c r="V1440">
        <v>10</v>
      </c>
      <c r="W1440">
        <v>82</v>
      </c>
      <c r="X1440">
        <v>571</v>
      </c>
      <c r="Y1440">
        <v>19905</v>
      </c>
      <c r="Z1440">
        <v>2782</v>
      </c>
      <c r="AA1440">
        <v>3</v>
      </c>
      <c r="AB1440">
        <v>31416</v>
      </c>
      <c r="AC1440" s="10">
        <v>43294</v>
      </c>
      <c r="AD1440" s="10" t="s">
        <v>72</v>
      </c>
      <c r="AE1440" t="s">
        <v>72</v>
      </c>
      <c r="AF1440" t="s">
        <v>55</v>
      </c>
    </row>
    <row r="1441" spans="1:32" x14ac:dyDescent="0.25">
      <c r="A1441">
        <v>530</v>
      </c>
      <c r="B1441">
        <v>31</v>
      </c>
      <c r="C1441" t="s">
        <v>43</v>
      </c>
      <c r="D1441" t="s">
        <v>33</v>
      </c>
      <c r="E1441" t="s">
        <v>34</v>
      </c>
      <c r="F1441" t="s">
        <v>67</v>
      </c>
      <c r="G1441" t="s">
        <v>59</v>
      </c>
      <c r="H1441" t="s">
        <v>37</v>
      </c>
      <c r="I1441" t="s">
        <v>38</v>
      </c>
      <c r="J1441" t="s">
        <v>51</v>
      </c>
      <c r="K1441">
        <v>1</v>
      </c>
      <c r="L1441">
        <v>3</v>
      </c>
      <c r="M1441" t="s">
        <v>48</v>
      </c>
      <c r="N1441" t="s">
        <v>61</v>
      </c>
      <c r="O1441" t="s">
        <v>36</v>
      </c>
      <c r="P1441" t="s">
        <v>43</v>
      </c>
      <c r="Q1441">
        <v>12</v>
      </c>
      <c r="R1441">
        <v>1</v>
      </c>
      <c r="S1441">
        <v>4</v>
      </c>
      <c r="T1441">
        <v>3</v>
      </c>
      <c r="U1441">
        <v>2</v>
      </c>
      <c r="V1441">
        <v>1</v>
      </c>
      <c r="W1441">
        <v>98</v>
      </c>
      <c r="X1441">
        <v>329</v>
      </c>
      <c r="Y1441">
        <v>16193</v>
      </c>
      <c r="Z1441">
        <v>2218</v>
      </c>
      <c r="AA1441">
        <v>3</v>
      </c>
      <c r="AB1441">
        <v>33799</v>
      </c>
      <c r="AC1441" s="10">
        <v>43317</v>
      </c>
      <c r="AD1441" s="10" t="s">
        <v>72</v>
      </c>
      <c r="AE1441" t="s">
        <v>72</v>
      </c>
      <c r="AF1441" t="s">
        <v>45</v>
      </c>
    </row>
    <row r="1442" spans="1:32" x14ac:dyDescent="0.25">
      <c r="A1442">
        <v>1641</v>
      </c>
      <c r="B1442">
        <v>40</v>
      </c>
      <c r="C1442" t="s">
        <v>43</v>
      </c>
      <c r="D1442" t="s">
        <v>33</v>
      </c>
      <c r="E1442" t="s">
        <v>34</v>
      </c>
      <c r="F1442" t="s">
        <v>49</v>
      </c>
      <c r="G1442" t="s">
        <v>50</v>
      </c>
      <c r="H1442" t="s">
        <v>47</v>
      </c>
      <c r="I1442" t="s">
        <v>50</v>
      </c>
      <c r="J1442" t="s">
        <v>65</v>
      </c>
      <c r="K1442">
        <v>4</v>
      </c>
      <c r="L1442">
        <v>3</v>
      </c>
      <c r="M1442" t="s">
        <v>60</v>
      </c>
      <c r="N1442" t="s">
        <v>41</v>
      </c>
      <c r="O1442" t="s">
        <v>42</v>
      </c>
      <c r="P1442" t="s">
        <v>32</v>
      </c>
      <c r="Q1442">
        <v>15</v>
      </c>
      <c r="R1442">
        <v>6</v>
      </c>
      <c r="S1442">
        <v>18</v>
      </c>
      <c r="T1442">
        <v>3</v>
      </c>
      <c r="U1442">
        <v>3</v>
      </c>
      <c r="V1442">
        <v>16</v>
      </c>
      <c r="W1442">
        <v>84</v>
      </c>
      <c r="X1442">
        <v>448</v>
      </c>
      <c r="Y1442">
        <v>19948</v>
      </c>
      <c r="Z1442">
        <v>7945</v>
      </c>
      <c r="AA1442">
        <v>2</v>
      </c>
      <c r="AB1442">
        <v>30462</v>
      </c>
      <c r="AC1442" s="10">
        <v>43329</v>
      </c>
      <c r="AD1442" s="10" t="s">
        <v>72</v>
      </c>
      <c r="AE1442" t="s">
        <v>72</v>
      </c>
      <c r="AF1442" t="s">
        <v>45</v>
      </c>
    </row>
    <row r="1443" spans="1:32" x14ac:dyDescent="0.25">
      <c r="A1443">
        <v>1009</v>
      </c>
      <c r="B1443">
        <v>24</v>
      </c>
      <c r="C1443" t="s">
        <v>43</v>
      </c>
      <c r="D1443" t="s">
        <v>33</v>
      </c>
      <c r="E1443" t="s">
        <v>34</v>
      </c>
      <c r="F1443" t="s">
        <v>64</v>
      </c>
      <c r="G1443" t="s">
        <v>59</v>
      </c>
      <c r="H1443" t="s">
        <v>47</v>
      </c>
      <c r="I1443" t="s">
        <v>38</v>
      </c>
      <c r="J1443" t="s">
        <v>65</v>
      </c>
      <c r="K1443">
        <v>3</v>
      </c>
      <c r="L1443">
        <v>3</v>
      </c>
      <c r="M1443" t="s">
        <v>48</v>
      </c>
      <c r="N1443" t="s">
        <v>52</v>
      </c>
      <c r="O1443" t="s">
        <v>53</v>
      </c>
      <c r="P1443" t="s">
        <v>43</v>
      </c>
      <c r="Q1443">
        <v>15</v>
      </c>
      <c r="R1443">
        <v>1</v>
      </c>
      <c r="S1443">
        <v>5</v>
      </c>
      <c r="T1443">
        <v>3</v>
      </c>
      <c r="U1443">
        <v>2</v>
      </c>
      <c r="V1443">
        <v>17</v>
      </c>
      <c r="W1443">
        <v>41</v>
      </c>
      <c r="X1443">
        <v>1206</v>
      </c>
      <c r="Y1443">
        <v>24117</v>
      </c>
      <c r="Z1443">
        <v>4377</v>
      </c>
      <c r="AA1443">
        <v>6</v>
      </c>
      <c r="AB1443">
        <v>36252</v>
      </c>
      <c r="AC1443" s="10">
        <v>43333</v>
      </c>
      <c r="AD1443" s="10" t="s">
        <v>72</v>
      </c>
      <c r="AE1443" t="s">
        <v>72</v>
      </c>
      <c r="AF1443" t="s">
        <v>45</v>
      </c>
    </row>
    <row r="1444" spans="1:32" x14ac:dyDescent="0.25">
      <c r="A1444">
        <v>1162</v>
      </c>
      <c r="B1444">
        <v>27</v>
      </c>
      <c r="C1444" t="s">
        <v>43</v>
      </c>
      <c r="D1444" t="s">
        <v>33</v>
      </c>
      <c r="E1444" t="s">
        <v>34</v>
      </c>
      <c r="F1444" t="s">
        <v>49</v>
      </c>
      <c r="G1444" t="s">
        <v>59</v>
      </c>
      <c r="H1444" t="s">
        <v>37</v>
      </c>
      <c r="I1444" t="s">
        <v>38</v>
      </c>
      <c r="J1444" t="s">
        <v>39</v>
      </c>
      <c r="K1444">
        <v>3</v>
      </c>
      <c r="L1444">
        <v>3</v>
      </c>
      <c r="M1444" t="s">
        <v>48</v>
      </c>
      <c r="N1444" t="s">
        <v>61</v>
      </c>
      <c r="O1444" t="s">
        <v>36</v>
      </c>
      <c r="P1444" t="s">
        <v>43</v>
      </c>
      <c r="Q1444">
        <v>13</v>
      </c>
      <c r="R1444">
        <v>1</v>
      </c>
      <c r="S1444">
        <v>4</v>
      </c>
      <c r="T1444">
        <v>2</v>
      </c>
      <c r="U1444">
        <v>2</v>
      </c>
      <c r="V1444">
        <v>6</v>
      </c>
      <c r="W1444">
        <v>55</v>
      </c>
      <c r="X1444">
        <v>199</v>
      </c>
      <c r="Y1444">
        <v>7950</v>
      </c>
      <c r="Z1444">
        <v>2539</v>
      </c>
      <c r="AA1444">
        <v>0</v>
      </c>
      <c r="AB1444">
        <v>35230</v>
      </c>
      <c r="AC1444" s="10">
        <v>43457</v>
      </c>
      <c r="AD1444" s="10" t="s">
        <v>72</v>
      </c>
      <c r="AE1444" t="s">
        <v>72</v>
      </c>
      <c r="AF1444" t="s">
        <v>45</v>
      </c>
    </row>
    <row r="1445" spans="1:32" x14ac:dyDescent="0.25">
      <c r="A1445">
        <v>1969</v>
      </c>
      <c r="B1445">
        <v>54</v>
      </c>
      <c r="C1445" t="s">
        <v>43</v>
      </c>
      <c r="D1445" t="s">
        <v>33</v>
      </c>
      <c r="E1445" t="s">
        <v>34</v>
      </c>
      <c r="F1445" t="s">
        <v>67</v>
      </c>
      <c r="G1445" t="s">
        <v>36</v>
      </c>
      <c r="H1445" t="s">
        <v>47</v>
      </c>
      <c r="I1445" t="s">
        <v>50</v>
      </c>
      <c r="J1445" t="s">
        <v>39</v>
      </c>
      <c r="K1445">
        <v>3</v>
      </c>
      <c r="L1445">
        <v>3</v>
      </c>
      <c r="M1445" t="s">
        <v>60</v>
      </c>
      <c r="N1445" t="s">
        <v>61</v>
      </c>
      <c r="O1445" t="s">
        <v>53</v>
      </c>
      <c r="P1445" t="s">
        <v>43</v>
      </c>
      <c r="Q1445">
        <v>11</v>
      </c>
      <c r="R1445">
        <v>3</v>
      </c>
      <c r="S1445">
        <v>9</v>
      </c>
      <c r="T1445">
        <v>2</v>
      </c>
      <c r="U1445">
        <v>3</v>
      </c>
      <c r="V1445">
        <v>9</v>
      </c>
      <c r="W1445">
        <v>67</v>
      </c>
      <c r="X1445">
        <v>155</v>
      </c>
      <c r="Y1445">
        <v>22474</v>
      </c>
      <c r="Z1445">
        <v>2897</v>
      </c>
      <c r="AA1445">
        <v>6</v>
      </c>
      <c r="AB1445">
        <v>25146</v>
      </c>
      <c r="AC1445" s="10">
        <v>43466</v>
      </c>
      <c r="AD1445" s="10" t="s">
        <v>72</v>
      </c>
      <c r="AE1445" t="s">
        <v>72</v>
      </c>
      <c r="AF1445" t="s">
        <v>45</v>
      </c>
    </row>
    <row r="1446" spans="1:32" x14ac:dyDescent="0.25">
      <c r="A1446">
        <v>284</v>
      </c>
      <c r="B1446">
        <v>22</v>
      </c>
      <c r="C1446" t="s">
        <v>43</v>
      </c>
      <c r="D1446" t="s">
        <v>33</v>
      </c>
      <c r="E1446" t="s">
        <v>34</v>
      </c>
      <c r="F1446" t="s">
        <v>49</v>
      </c>
      <c r="G1446" t="s">
        <v>59</v>
      </c>
      <c r="H1446" t="s">
        <v>37</v>
      </c>
      <c r="I1446" t="s">
        <v>59</v>
      </c>
      <c r="J1446" t="s">
        <v>39</v>
      </c>
      <c r="K1446">
        <v>2</v>
      </c>
      <c r="L1446">
        <v>3</v>
      </c>
      <c r="M1446" t="s">
        <v>60</v>
      </c>
      <c r="N1446" t="s">
        <v>52</v>
      </c>
      <c r="O1446" t="s">
        <v>36</v>
      </c>
      <c r="P1446" t="s">
        <v>32</v>
      </c>
      <c r="Q1446">
        <v>16</v>
      </c>
      <c r="R1446">
        <v>1</v>
      </c>
      <c r="S1446">
        <v>4</v>
      </c>
      <c r="T1446">
        <v>2</v>
      </c>
      <c r="U1446">
        <v>2</v>
      </c>
      <c r="V1446">
        <v>5</v>
      </c>
      <c r="W1446">
        <v>60</v>
      </c>
      <c r="X1446">
        <v>1136</v>
      </c>
      <c r="Y1446">
        <v>12392</v>
      </c>
      <c r="Z1446">
        <v>2328</v>
      </c>
      <c r="AA1446">
        <v>2</v>
      </c>
      <c r="AB1446">
        <v>36985</v>
      </c>
      <c r="AC1446" s="10">
        <v>43544</v>
      </c>
      <c r="AD1446" s="10" t="s">
        <v>72</v>
      </c>
      <c r="AE1446" t="s">
        <v>72</v>
      </c>
      <c r="AF1446" t="s">
        <v>45</v>
      </c>
    </row>
    <row r="1447" spans="1:32" x14ac:dyDescent="0.25">
      <c r="A1447">
        <v>1102</v>
      </c>
      <c r="B1447">
        <v>28</v>
      </c>
      <c r="C1447" t="s">
        <v>43</v>
      </c>
      <c r="D1447" t="s">
        <v>33</v>
      </c>
      <c r="E1447" t="s">
        <v>34</v>
      </c>
      <c r="F1447" t="s">
        <v>67</v>
      </c>
      <c r="G1447" t="s">
        <v>36</v>
      </c>
      <c r="H1447" t="s">
        <v>37</v>
      </c>
      <c r="I1447" t="s">
        <v>50</v>
      </c>
      <c r="J1447" t="s">
        <v>51</v>
      </c>
      <c r="K1447">
        <v>3</v>
      </c>
      <c r="L1447">
        <v>3</v>
      </c>
      <c r="M1447" t="s">
        <v>60</v>
      </c>
      <c r="N1447" t="s">
        <v>52</v>
      </c>
      <c r="O1447" t="s">
        <v>36</v>
      </c>
      <c r="P1447" t="s">
        <v>43</v>
      </c>
      <c r="Q1447">
        <v>16</v>
      </c>
      <c r="R1447">
        <v>1</v>
      </c>
      <c r="S1447">
        <v>4</v>
      </c>
      <c r="T1447">
        <v>2</v>
      </c>
      <c r="U1447">
        <v>2</v>
      </c>
      <c r="V1447">
        <v>15</v>
      </c>
      <c r="W1447">
        <v>50</v>
      </c>
      <c r="X1447">
        <v>895</v>
      </c>
      <c r="Y1447">
        <v>22482</v>
      </c>
      <c r="Z1447">
        <v>2207</v>
      </c>
      <c r="AA1447">
        <v>5</v>
      </c>
      <c r="AB1447">
        <v>34724</v>
      </c>
      <c r="AC1447" s="10">
        <v>43644</v>
      </c>
      <c r="AD1447" s="10" t="s">
        <v>72</v>
      </c>
      <c r="AE1447" t="s">
        <v>72</v>
      </c>
      <c r="AF1447" t="s">
        <v>45</v>
      </c>
    </row>
    <row r="1448" spans="1:32" x14ac:dyDescent="0.25">
      <c r="A1448">
        <v>197</v>
      </c>
      <c r="B1448">
        <v>30</v>
      </c>
      <c r="C1448" t="s">
        <v>43</v>
      </c>
      <c r="D1448" t="s">
        <v>33</v>
      </c>
      <c r="E1448" t="s">
        <v>34</v>
      </c>
      <c r="F1448" t="s">
        <v>49</v>
      </c>
      <c r="G1448" t="s">
        <v>59</v>
      </c>
      <c r="H1448" t="s">
        <v>47</v>
      </c>
      <c r="I1448" t="s">
        <v>50</v>
      </c>
      <c r="J1448" t="s">
        <v>39</v>
      </c>
      <c r="K1448">
        <v>1</v>
      </c>
      <c r="L1448">
        <v>3</v>
      </c>
      <c r="M1448" t="s">
        <v>48</v>
      </c>
      <c r="N1448" t="s">
        <v>52</v>
      </c>
      <c r="O1448" t="s">
        <v>36</v>
      </c>
      <c r="P1448" t="s">
        <v>43</v>
      </c>
      <c r="Q1448">
        <v>14</v>
      </c>
      <c r="R1448">
        <v>5</v>
      </c>
      <c r="S1448">
        <v>8</v>
      </c>
      <c r="T1448">
        <v>2</v>
      </c>
      <c r="U1448">
        <v>2</v>
      </c>
      <c r="V1448">
        <v>5</v>
      </c>
      <c r="W1448">
        <v>84</v>
      </c>
      <c r="X1448">
        <v>201</v>
      </c>
      <c r="Y1448">
        <v>10415</v>
      </c>
      <c r="Z1448">
        <v>3204</v>
      </c>
      <c r="AA1448">
        <v>3</v>
      </c>
      <c r="AB1448">
        <v>34061</v>
      </c>
      <c r="AC1448" s="10">
        <v>43697</v>
      </c>
      <c r="AD1448" s="10" t="s">
        <v>72</v>
      </c>
      <c r="AE1448" t="s">
        <v>72</v>
      </c>
      <c r="AF1448" t="s">
        <v>45</v>
      </c>
    </row>
    <row r="1449" spans="1:32" x14ac:dyDescent="0.25">
      <c r="A1449">
        <v>1027</v>
      </c>
      <c r="B1449">
        <v>27</v>
      </c>
      <c r="C1449" t="s">
        <v>43</v>
      </c>
      <c r="D1449" t="s">
        <v>33</v>
      </c>
      <c r="E1449" t="s">
        <v>34</v>
      </c>
      <c r="F1449" t="s">
        <v>35</v>
      </c>
      <c r="G1449" t="s">
        <v>36</v>
      </c>
      <c r="H1449" t="s">
        <v>47</v>
      </c>
      <c r="I1449" t="s">
        <v>50</v>
      </c>
      <c r="J1449" t="s">
        <v>65</v>
      </c>
      <c r="K1449">
        <v>4</v>
      </c>
      <c r="L1449">
        <v>3</v>
      </c>
      <c r="M1449" t="s">
        <v>48</v>
      </c>
      <c r="N1449" t="s">
        <v>61</v>
      </c>
      <c r="O1449" t="s">
        <v>36</v>
      </c>
      <c r="P1449" t="s">
        <v>43</v>
      </c>
      <c r="Q1449">
        <v>18</v>
      </c>
      <c r="R1449">
        <v>0</v>
      </c>
      <c r="S1449">
        <v>4</v>
      </c>
      <c r="T1449">
        <v>2</v>
      </c>
      <c r="U1449">
        <v>2</v>
      </c>
      <c r="V1449">
        <v>2</v>
      </c>
      <c r="W1449">
        <v>47</v>
      </c>
      <c r="X1449">
        <v>1055</v>
      </c>
      <c r="Y1449">
        <v>4658</v>
      </c>
      <c r="Z1449">
        <v>4227</v>
      </c>
      <c r="AA1449">
        <v>2</v>
      </c>
      <c r="AB1449">
        <v>35270</v>
      </c>
      <c r="AC1449" s="10">
        <v>43700</v>
      </c>
      <c r="AD1449" s="10" t="s">
        <v>72</v>
      </c>
      <c r="AE1449" t="s">
        <v>72</v>
      </c>
      <c r="AF1449" t="s">
        <v>45</v>
      </c>
    </row>
    <row r="1450" spans="1:32" x14ac:dyDescent="0.25">
      <c r="A1450">
        <v>455</v>
      </c>
      <c r="B1450">
        <v>29</v>
      </c>
      <c r="C1450" t="s">
        <v>43</v>
      </c>
      <c r="D1450" t="s">
        <v>33</v>
      </c>
      <c r="E1450" t="s">
        <v>34</v>
      </c>
      <c r="F1450" t="s">
        <v>70</v>
      </c>
      <c r="G1450" t="s">
        <v>38</v>
      </c>
      <c r="H1450" t="s">
        <v>37</v>
      </c>
      <c r="I1450" t="s">
        <v>38</v>
      </c>
      <c r="J1450" t="s">
        <v>51</v>
      </c>
      <c r="K1450">
        <v>4</v>
      </c>
      <c r="L1450">
        <v>3</v>
      </c>
      <c r="M1450" t="s">
        <v>48</v>
      </c>
      <c r="N1450" t="s">
        <v>41</v>
      </c>
      <c r="O1450" t="s">
        <v>42</v>
      </c>
      <c r="P1450" t="s">
        <v>43</v>
      </c>
      <c r="Q1450">
        <v>17</v>
      </c>
      <c r="R1450">
        <v>0</v>
      </c>
      <c r="S1450">
        <v>4</v>
      </c>
      <c r="T1450">
        <v>2</v>
      </c>
      <c r="U1450">
        <v>2</v>
      </c>
      <c r="V1450">
        <v>9</v>
      </c>
      <c r="W1450">
        <v>30</v>
      </c>
      <c r="X1450">
        <v>738</v>
      </c>
      <c r="Y1450">
        <v>7621</v>
      </c>
      <c r="Z1450">
        <v>3983</v>
      </c>
      <c r="AA1450">
        <v>2</v>
      </c>
      <c r="AB1450">
        <v>34341</v>
      </c>
      <c r="AC1450" s="10">
        <v>43824</v>
      </c>
      <c r="AD1450" s="10" t="s">
        <v>72</v>
      </c>
      <c r="AE1450" t="s">
        <v>72</v>
      </c>
      <c r="AF1450" t="s">
        <v>45</v>
      </c>
    </row>
    <row r="1451" spans="1:32" x14ac:dyDescent="0.25">
      <c r="A1451">
        <v>1291</v>
      </c>
      <c r="B1451">
        <v>35</v>
      </c>
      <c r="C1451" t="s">
        <v>43</v>
      </c>
      <c r="D1451" t="s">
        <v>33</v>
      </c>
      <c r="E1451" t="s">
        <v>34</v>
      </c>
      <c r="F1451" t="s">
        <v>64</v>
      </c>
      <c r="G1451" t="s">
        <v>50</v>
      </c>
      <c r="H1451" t="s">
        <v>37</v>
      </c>
      <c r="I1451" t="s">
        <v>50</v>
      </c>
      <c r="J1451" t="s">
        <v>39</v>
      </c>
      <c r="K1451">
        <v>3</v>
      </c>
      <c r="L1451">
        <v>3</v>
      </c>
      <c r="M1451" t="s">
        <v>48</v>
      </c>
      <c r="N1451" t="s">
        <v>61</v>
      </c>
      <c r="O1451" t="s">
        <v>42</v>
      </c>
      <c r="P1451" t="s">
        <v>32</v>
      </c>
      <c r="Q1451">
        <v>14</v>
      </c>
      <c r="R1451">
        <v>0</v>
      </c>
      <c r="S1451">
        <v>4</v>
      </c>
      <c r="T1451">
        <v>2</v>
      </c>
      <c r="U1451">
        <v>2</v>
      </c>
      <c r="V1451">
        <v>6</v>
      </c>
      <c r="W1451">
        <v>66</v>
      </c>
      <c r="X1451">
        <v>735</v>
      </c>
      <c r="Y1451">
        <v>6020</v>
      </c>
      <c r="Z1451">
        <v>3506</v>
      </c>
      <c r="AA1451">
        <v>3</v>
      </c>
      <c r="AB1451">
        <v>32285</v>
      </c>
      <c r="AC1451" s="10">
        <v>43964</v>
      </c>
      <c r="AD1451" s="10" t="s">
        <v>72</v>
      </c>
      <c r="AE1451" t="s">
        <v>72</v>
      </c>
      <c r="AF1451" t="s">
        <v>45</v>
      </c>
    </row>
    <row r="1452" spans="1:32" x14ac:dyDescent="0.25">
      <c r="A1452">
        <v>1786</v>
      </c>
      <c r="B1452">
        <v>51</v>
      </c>
      <c r="C1452" t="s">
        <v>43</v>
      </c>
      <c r="D1452" t="s">
        <v>33</v>
      </c>
      <c r="E1452" t="s">
        <v>34</v>
      </c>
      <c r="F1452" t="s">
        <v>49</v>
      </c>
      <c r="G1452" t="s">
        <v>36</v>
      </c>
      <c r="H1452" t="s">
        <v>47</v>
      </c>
      <c r="I1452" t="s">
        <v>50</v>
      </c>
      <c r="J1452" t="s">
        <v>69</v>
      </c>
      <c r="K1452">
        <v>3</v>
      </c>
      <c r="L1452">
        <v>3</v>
      </c>
      <c r="M1452" t="s">
        <v>48</v>
      </c>
      <c r="N1452" t="s">
        <v>61</v>
      </c>
      <c r="O1452" t="s">
        <v>42</v>
      </c>
      <c r="P1452" t="s">
        <v>43</v>
      </c>
      <c r="Q1452">
        <v>11</v>
      </c>
      <c r="R1452">
        <v>2</v>
      </c>
      <c r="S1452">
        <v>15</v>
      </c>
      <c r="T1452">
        <v>2</v>
      </c>
      <c r="U1452">
        <v>2</v>
      </c>
      <c r="V1452">
        <v>3</v>
      </c>
      <c r="W1452">
        <v>53</v>
      </c>
      <c r="X1452">
        <v>942</v>
      </c>
      <c r="Y1452">
        <v>22984</v>
      </c>
      <c r="Z1452">
        <v>13116</v>
      </c>
      <c r="AA1452">
        <v>2</v>
      </c>
      <c r="AB1452">
        <v>26254</v>
      </c>
      <c r="AC1452" s="10">
        <v>44050</v>
      </c>
      <c r="AD1452" s="10" t="s">
        <v>72</v>
      </c>
      <c r="AE1452" t="s">
        <v>72</v>
      </c>
      <c r="AF1452" t="s">
        <v>55</v>
      </c>
    </row>
    <row r="1453" spans="1:32" x14ac:dyDescent="0.25">
      <c r="A1453">
        <v>501</v>
      </c>
      <c r="B1453">
        <v>36</v>
      </c>
      <c r="C1453" t="s">
        <v>43</v>
      </c>
      <c r="D1453" t="s">
        <v>33</v>
      </c>
      <c r="E1453" t="s">
        <v>34</v>
      </c>
      <c r="F1453" t="s">
        <v>49</v>
      </c>
      <c r="G1453" t="s">
        <v>59</v>
      </c>
      <c r="H1453" t="s">
        <v>47</v>
      </c>
      <c r="I1453" t="s">
        <v>50</v>
      </c>
      <c r="J1453" t="s">
        <v>39</v>
      </c>
      <c r="K1453">
        <v>3</v>
      </c>
      <c r="L1453">
        <v>3</v>
      </c>
      <c r="M1453" t="s">
        <v>48</v>
      </c>
      <c r="N1453" t="s">
        <v>61</v>
      </c>
      <c r="O1453" t="s">
        <v>36</v>
      </c>
      <c r="P1453" t="s">
        <v>43</v>
      </c>
      <c r="Q1453">
        <v>13</v>
      </c>
      <c r="R1453">
        <v>4</v>
      </c>
      <c r="S1453">
        <v>6</v>
      </c>
      <c r="T1453">
        <v>2</v>
      </c>
      <c r="U1453">
        <v>2</v>
      </c>
      <c r="V1453">
        <v>2</v>
      </c>
      <c r="W1453">
        <v>96</v>
      </c>
      <c r="X1453">
        <v>329</v>
      </c>
      <c r="Y1453">
        <v>11868</v>
      </c>
      <c r="Z1453">
        <v>2543</v>
      </c>
      <c r="AA1453">
        <v>3</v>
      </c>
      <c r="AB1453">
        <v>31783</v>
      </c>
      <c r="AC1453" s="10">
        <v>44057</v>
      </c>
      <c r="AD1453" s="10" t="s">
        <v>72</v>
      </c>
      <c r="AE1453" t="s">
        <v>72</v>
      </c>
      <c r="AF1453" t="s">
        <v>45</v>
      </c>
    </row>
    <row r="1454" spans="1:32" x14ac:dyDescent="0.25">
      <c r="A1454">
        <v>930</v>
      </c>
      <c r="B1454">
        <v>28</v>
      </c>
      <c r="C1454" t="s">
        <v>43</v>
      </c>
      <c r="D1454" t="s">
        <v>33</v>
      </c>
      <c r="E1454" t="s">
        <v>34</v>
      </c>
      <c r="F1454" t="s">
        <v>49</v>
      </c>
      <c r="G1454" t="s">
        <v>50</v>
      </c>
      <c r="H1454" t="s">
        <v>47</v>
      </c>
      <c r="I1454" t="s">
        <v>50</v>
      </c>
      <c r="J1454" t="s">
        <v>39</v>
      </c>
      <c r="K1454">
        <v>3</v>
      </c>
      <c r="L1454">
        <v>3</v>
      </c>
      <c r="M1454" t="s">
        <v>48</v>
      </c>
      <c r="N1454" t="s">
        <v>52</v>
      </c>
      <c r="O1454" t="s">
        <v>36</v>
      </c>
      <c r="P1454" t="s">
        <v>43</v>
      </c>
      <c r="Q1454">
        <v>18</v>
      </c>
      <c r="R1454">
        <v>5</v>
      </c>
      <c r="S1454">
        <v>6</v>
      </c>
      <c r="T1454">
        <v>2</v>
      </c>
      <c r="U1454">
        <v>2</v>
      </c>
      <c r="V1454">
        <v>9</v>
      </c>
      <c r="W1454">
        <v>77</v>
      </c>
      <c r="X1454">
        <v>995</v>
      </c>
      <c r="Y1454">
        <v>9834</v>
      </c>
      <c r="Z1454">
        <v>2377</v>
      </c>
      <c r="AA1454">
        <v>2</v>
      </c>
      <c r="AB1454">
        <v>34831</v>
      </c>
      <c r="AC1454" s="10">
        <v>44061</v>
      </c>
      <c r="AD1454" s="10" t="s">
        <v>72</v>
      </c>
      <c r="AE1454" t="s">
        <v>72</v>
      </c>
      <c r="AF1454" t="s">
        <v>55</v>
      </c>
    </row>
    <row r="1455" spans="1:32" x14ac:dyDescent="0.25">
      <c r="A1455">
        <v>1131</v>
      </c>
      <c r="B1455">
        <v>21</v>
      </c>
      <c r="C1455" t="s">
        <v>43</v>
      </c>
      <c r="D1455" t="s">
        <v>33</v>
      </c>
      <c r="E1455" t="s">
        <v>34</v>
      </c>
      <c r="F1455" t="s">
        <v>64</v>
      </c>
      <c r="G1455" t="s">
        <v>59</v>
      </c>
      <c r="H1455" t="s">
        <v>47</v>
      </c>
      <c r="I1455" t="s">
        <v>38</v>
      </c>
      <c r="J1455" t="s">
        <v>39</v>
      </c>
      <c r="K1455">
        <v>2</v>
      </c>
      <c r="L1455">
        <v>3</v>
      </c>
      <c r="M1455" t="s">
        <v>58</v>
      </c>
      <c r="N1455" t="s">
        <v>41</v>
      </c>
      <c r="O1455" t="s">
        <v>42</v>
      </c>
      <c r="P1455" t="s">
        <v>32</v>
      </c>
      <c r="Q1455">
        <v>11</v>
      </c>
      <c r="R1455">
        <v>1</v>
      </c>
      <c r="S1455">
        <v>2</v>
      </c>
      <c r="T1455">
        <v>2</v>
      </c>
      <c r="U1455">
        <v>2</v>
      </c>
      <c r="V1455">
        <v>1</v>
      </c>
      <c r="W1455">
        <v>70</v>
      </c>
      <c r="X1455">
        <v>984</v>
      </c>
      <c r="Y1455">
        <v>25326</v>
      </c>
      <c r="Z1455">
        <v>2070</v>
      </c>
      <c r="AA1455">
        <v>6</v>
      </c>
      <c r="AB1455">
        <v>37405</v>
      </c>
      <c r="AC1455" s="10">
        <v>44066</v>
      </c>
      <c r="AD1455" s="10" t="s">
        <v>72</v>
      </c>
      <c r="AE1455" t="s">
        <v>72</v>
      </c>
      <c r="AF1455" t="s">
        <v>45</v>
      </c>
    </row>
    <row r="1456" spans="1:32" x14ac:dyDescent="0.25">
      <c r="A1456">
        <v>826</v>
      </c>
      <c r="B1456">
        <v>35</v>
      </c>
      <c r="C1456" t="s">
        <v>43</v>
      </c>
      <c r="D1456" t="s">
        <v>33</v>
      </c>
      <c r="E1456" t="s">
        <v>34</v>
      </c>
      <c r="F1456" t="s">
        <v>35</v>
      </c>
      <c r="G1456" t="s">
        <v>59</v>
      </c>
      <c r="H1456" t="s">
        <v>47</v>
      </c>
      <c r="I1456" t="s">
        <v>59</v>
      </c>
      <c r="J1456" t="s">
        <v>39</v>
      </c>
      <c r="K1456">
        <v>3</v>
      </c>
      <c r="L1456">
        <v>3</v>
      </c>
      <c r="M1456" t="s">
        <v>48</v>
      </c>
      <c r="N1456" t="s">
        <v>41</v>
      </c>
      <c r="O1456" t="s">
        <v>42</v>
      </c>
      <c r="P1456" t="s">
        <v>43</v>
      </c>
      <c r="Q1456">
        <v>13</v>
      </c>
      <c r="R1456">
        <v>3</v>
      </c>
      <c r="S1456">
        <v>7</v>
      </c>
      <c r="T1456">
        <v>2</v>
      </c>
      <c r="U1456">
        <v>2</v>
      </c>
      <c r="V1456">
        <v>1</v>
      </c>
      <c r="W1456">
        <v>40</v>
      </c>
      <c r="X1456">
        <v>1258</v>
      </c>
      <c r="Y1456">
        <v>13301</v>
      </c>
      <c r="Z1456">
        <v>2506</v>
      </c>
      <c r="AA1456">
        <v>0</v>
      </c>
      <c r="AB1456">
        <v>32344</v>
      </c>
      <c r="AC1456" s="10">
        <v>44107</v>
      </c>
      <c r="AD1456" s="10" t="s">
        <v>72</v>
      </c>
      <c r="AE1456" t="s">
        <v>72</v>
      </c>
      <c r="AF1456" t="s">
        <v>45</v>
      </c>
    </row>
    <row r="1457" spans="1:32" x14ac:dyDescent="0.25">
      <c r="A1457">
        <v>1303</v>
      </c>
      <c r="B1457">
        <v>25</v>
      </c>
      <c r="C1457" t="s">
        <v>43</v>
      </c>
      <c r="D1457" t="s">
        <v>33</v>
      </c>
      <c r="E1457" t="s">
        <v>34</v>
      </c>
      <c r="F1457" t="s">
        <v>49</v>
      </c>
      <c r="G1457" t="s">
        <v>59</v>
      </c>
      <c r="H1457" t="s">
        <v>47</v>
      </c>
      <c r="I1457" t="s">
        <v>50</v>
      </c>
      <c r="J1457" t="s">
        <v>39</v>
      </c>
      <c r="K1457">
        <v>2</v>
      </c>
      <c r="L1457">
        <v>3</v>
      </c>
      <c r="M1457" t="s">
        <v>60</v>
      </c>
      <c r="N1457" t="s">
        <v>41</v>
      </c>
      <c r="O1457" t="s">
        <v>42</v>
      </c>
      <c r="P1457" t="s">
        <v>43</v>
      </c>
      <c r="Q1457">
        <v>18</v>
      </c>
      <c r="R1457">
        <v>1</v>
      </c>
      <c r="S1457">
        <v>2</v>
      </c>
      <c r="T1457">
        <v>2</v>
      </c>
      <c r="U1457">
        <v>1</v>
      </c>
      <c r="V1457">
        <v>1</v>
      </c>
      <c r="W1457">
        <v>40</v>
      </c>
      <c r="X1457">
        <v>266</v>
      </c>
      <c r="Y1457">
        <v>18830</v>
      </c>
      <c r="Z1457">
        <v>2096</v>
      </c>
      <c r="AA1457">
        <v>3</v>
      </c>
      <c r="AB1457">
        <v>35940</v>
      </c>
      <c r="AC1457" s="10">
        <v>44107</v>
      </c>
      <c r="AD1457" s="10" t="s">
        <v>72</v>
      </c>
      <c r="AE1457" t="s">
        <v>72</v>
      </c>
      <c r="AF1457" t="s">
        <v>45</v>
      </c>
    </row>
    <row r="1458" spans="1:32" x14ac:dyDescent="0.25">
      <c r="A1458">
        <v>1525</v>
      </c>
      <c r="B1458">
        <v>39</v>
      </c>
      <c r="C1458" t="s">
        <v>43</v>
      </c>
      <c r="D1458" t="s">
        <v>33</v>
      </c>
      <c r="E1458" t="s">
        <v>34</v>
      </c>
      <c r="F1458" t="s">
        <v>49</v>
      </c>
      <c r="G1458" t="s">
        <v>38</v>
      </c>
      <c r="H1458" t="s">
        <v>47</v>
      </c>
      <c r="I1458" t="s">
        <v>50</v>
      </c>
      <c r="J1458" t="s">
        <v>65</v>
      </c>
      <c r="K1458">
        <v>2</v>
      </c>
      <c r="L1458">
        <v>3</v>
      </c>
      <c r="M1458" t="s">
        <v>48</v>
      </c>
      <c r="N1458" t="s">
        <v>41</v>
      </c>
      <c r="O1458" t="s">
        <v>42</v>
      </c>
      <c r="P1458" t="s">
        <v>43</v>
      </c>
      <c r="Q1458">
        <v>18</v>
      </c>
      <c r="R1458">
        <v>4</v>
      </c>
      <c r="S1458">
        <v>9</v>
      </c>
      <c r="T1458">
        <v>2</v>
      </c>
      <c r="U1458">
        <v>2</v>
      </c>
      <c r="V1458">
        <v>6</v>
      </c>
      <c r="W1458">
        <v>32</v>
      </c>
      <c r="X1458">
        <v>1089</v>
      </c>
      <c r="Y1458">
        <v>9150</v>
      </c>
      <c r="Z1458">
        <v>8376</v>
      </c>
      <c r="AA1458">
        <v>3</v>
      </c>
      <c r="AB1458">
        <v>30560</v>
      </c>
      <c r="AC1458" s="10">
        <v>44108</v>
      </c>
      <c r="AD1458" s="10" t="s">
        <v>72</v>
      </c>
      <c r="AE1458" t="s">
        <v>72</v>
      </c>
      <c r="AF1458" t="s">
        <v>55</v>
      </c>
    </row>
    <row r="1459" spans="1:32" x14ac:dyDescent="0.25">
      <c r="A1459">
        <v>1069</v>
      </c>
      <c r="B1459">
        <v>46</v>
      </c>
      <c r="C1459" t="s">
        <v>43</v>
      </c>
      <c r="D1459" t="s">
        <v>33</v>
      </c>
      <c r="E1459" t="s">
        <v>34</v>
      </c>
      <c r="F1459" t="s">
        <v>35</v>
      </c>
      <c r="G1459" t="s">
        <v>59</v>
      </c>
      <c r="H1459" t="s">
        <v>37</v>
      </c>
      <c r="I1459" t="s">
        <v>50</v>
      </c>
      <c r="J1459" t="s">
        <v>71</v>
      </c>
      <c r="K1459">
        <v>4</v>
      </c>
      <c r="L1459">
        <v>3</v>
      </c>
      <c r="M1459" t="s">
        <v>48</v>
      </c>
      <c r="N1459" t="s">
        <v>52</v>
      </c>
      <c r="O1459" t="s">
        <v>53</v>
      </c>
      <c r="P1459" t="s">
        <v>43</v>
      </c>
      <c r="Q1459">
        <v>17</v>
      </c>
      <c r="R1459">
        <v>9</v>
      </c>
      <c r="S1459">
        <v>23</v>
      </c>
      <c r="T1459">
        <v>2</v>
      </c>
      <c r="U1459">
        <v>2</v>
      </c>
      <c r="V1459">
        <v>1</v>
      </c>
      <c r="W1459">
        <v>40</v>
      </c>
      <c r="X1459">
        <v>430</v>
      </c>
      <c r="Y1459">
        <v>21445</v>
      </c>
      <c r="Z1459">
        <v>19627</v>
      </c>
      <c r="AA1459">
        <v>0</v>
      </c>
      <c r="AB1459">
        <v>28225</v>
      </c>
      <c r="AC1459" s="10">
        <v>44127</v>
      </c>
      <c r="AD1459" s="10" t="s">
        <v>72</v>
      </c>
      <c r="AE1459" t="s">
        <v>72</v>
      </c>
      <c r="AF1459" t="s">
        <v>45</v>
      </c>
    </row>
    <row r="1460" spans="1:32" x14ac:dyDescent="0.25">
      <c r="A1460">
        <v>1789</v>
      </c>
      <c r="B1460">
        <v>46</v>
      </c>
      <c r="C1460" t="s">
        <v>43</v>
      </c>
      <c r="D1460" t="s">
        <v>33</v>
      </c>
      <c r="E1460" t="s">
        <v>34</v>
      </c>
      <c r="F1460" t="s">
        <v>35</v>
      </c>
      <c r="G1460" t="s">
        <v>50</v>
      </c>
      <c r="H1460" t="s">
        <v>37</v>
      </c>
      <c r="I1460" t="s">
        <v>50</v>
      </c>
      <c r="J1460" t="s">
        <v>71</v>
      </c>
      <c r="K1460">
        <v>4</v>
      </c>
      <c r="L1460">
        <v>3</v>
      </c>
      <c r="M1460" t="s">
        <v>48</v>
      </c>
      <c r="N1460" t="s">
        <v>52</v>
      </c>
      <c r="O1460" t="s">
        <v>36</v>
      </c>
      <c r="P1460" t="s">
        <v>32</v>
      </c>
      <c r="Q1460">
        <v>17</v>
      </c>
      <c r="R1460">
        <v>7</v>
      </c>
      <c r="S1460">
        <v>24</v>
      </c>
      <c r="T1460">
        <v>2</v>
      </c>
      <c r="U1460">
        <v>2</v>
      </c>
      <c r="V1460">
        <v>2</v>
      </c>
      <c r="W1460">
        <v>46</v>
      </c>
      <c r="X1460">
        <v>734</v>
      </c>
      <c r="Y1460">
        <v>14218</v>
      </c>
      <c r="Z1460">
        <v>19328</v>
      </c>
      <c r="AA1460">
        <v>3</v>
      </c>
      <c r="AB1460">
        <v>28319</v>
      </c>
      <c r="AC1460" s="10">
        <v>44144</v>
      </c>
      <c r="AD1460" s="10" t="s">
        <v>72</v>
      </c>
      <c r="AE1460" t="s">
        <v>72</v>
      </c>
      <c r="AF1460" t="s">
        <v>55</v>
      </c>
    </row>
    <row r="1461" spans="1:32" x14ac:dyDescent="0.25">
      <c r="A1461">
        <v>245</v>
      </c>
      <c r="B1461">
        <v>38</v>
      </c>
      <c r="C1461" t="s">
        <v>43</v>
      </c>
      <c r="D1461" t="s">
        <v>33</v>
      </c>
      <c r="E1461" t="s">
        <v>34</v>
      </c>
      <c r="F1461" t="s">
        <v>67</v>
      </c>
      <c r="G1461" t="s">
        <v>50</v>
      </c>
      <c r="H1461" t="s">
        <v>47</v>
      </c>
      <c r="I1461" t="s">
        <v>50</v>
      </c>
      <c r="J1461" t="s">
        <v>51</v>
      </c>
      <c r="K1461">
        <v>4</v>
      </c>
      <c r="L1461">
        <v>3</v>
      </c>
      <c r="M1461" t="s">
        <v>48</v>
      </c>
      <c r="N1461" t="s">
        <v>41</v>
      </c>
      <c r="O1461" t="s">
        <v>42</v>
      </c>
      <c r="P1461" t="s">
        <v>43</v>
      </c>
      <c r="Q1461">
        <v>12</v>
      </c>
      <c r="R1461">
        <v>1</v>
      </c>
      <c r="S1461">
        <v>2</v>
      </c>
      <c r="T1461">
        <v>2</v>
      </c>
      <c r="U1461">
        <v>1</v>
      </c>
      <c r="V1461">
        <v>9</v>
      </c>
      <c r="W1461">
        <v>75</v>
      </c>
      <c r="X1461">
        <v>1380</v>
      </c>
      <c r="Y1461">
        <v>6319</v>
      </c>
      <c r="Z1461">
        <v>2288</v>
      </c>
      <c r="AA1461">
        <v>3</v>
      </c>
      <c r="AB1461">
        <v>31076</v>
      </c>
      <c r="AC1461" s="10">
        <v>44158</v>
      </c>
      <c r="AD1461" s="10" t="s">
        <v>72</v>
      </c>
      <c r="AE1461" t="s">
        <v>72</v>
      </c>
      <c r="AF1461" t="s">
        <v>55</v>
      </c>
    </row>
    <row r="1462" spans="1:32" x14ac:dyDescent="0.25">
      <c r="A1462">
        <v>1592</v>
      </c>
      <c r="B1462">
        <v>23</v>
      </c>
      <c r="C1462" t="s">
        <v>43</v>
      </c>
      <c r="D1462" t="s">
        <v>33</v>
      </c>
      <c r="E1462" t="s">
        <v>34</v>
      </c>
      <c r="F1462" t="s">
        <v>49</v>
      </c>
      <c r="G1462" t="s">
        <v>59</v>
      </c>
      <c r="H1462" t="s">
        <v>37</v>
      </c>
      <c r="I1462" t="s">
        <v>59</v>
      </c>
      <c r="J1462" t="s">
        <v>39</v>
      </c>
      <c r="K1462">
        <v>3</v>
      </c>
      <c r="L1462">
        <v>3</v>
      </c>
      <c r="M1462" t="s">
        <v>48</v>
      </c>
      <c r="N1462" t="s">
        <v>61</v>
      </c>
      <c r="O1462" t="s">
        <v>36</v>
      </c>
      <c r="P1462" t="s">
        <v>43</v>
      </c>
      <c r="Q1462">
        <v>16</v>
      </c>
      <c r="R1462">
        <v>2</v>
      </c>
      <c r="S1462">
        <v>4</v>
      </c>
      <c r="T1462">
        <v>2</v>
      </c>
      <c r="U1462">
        <v>2</v>
      </c>
      <c r="V1462">
        <v>10</v>
      </c>
      <c r="W1462">
        <v>45</v>
      </c>
      <c r="X1462">
        <v>977</v>
      </c>
      <c r="Y1462">
        <v>12826</v>
      </c>
      <c r="Z1462">
        <v>2073</v>
      </c>
      <c r="AA1462">
        <v>2</v>
      </c>
      <c r="AB1462">
        <v>36674</v>
      </c>
      <c r="AC1462" s="10">
        <v>44167</v>
      </c>
      <c r="AD1462" s="10" t="s">
        <v>72</v>
      </c>
      <c r="AE1462" t="s">
        <v>72</v>
      </c>
      <c r="AF1462" t="s">
        <v>55</v>
      </c>
    </row>
    <row r="1463" spans="1:32" x14ac:dyDescent="0.25">
      <c r="A1463">
        <v>2048</v>
      </c>
      <c r="B1463">
        <v>40</v>
      </c>
      <c r="C1463" t="s">
        <v>43</v>
      </c>
      <c r="D1463" t="s">
        <v>33</v>
      </c>
      <c r="E1463" t="s">
        <v>34</v>
      </c>
      <c r="F1463" t="s">
        <v>35</v>
      </c>
      <c r="G1463" t="s">
        <v>50</v>
      </c>
      <c r="H1463" t="s">
        <v>37</v>
      </c>
      <c r="I1463" t="s">
        <v>38</v>
      </c>
      <c r="J1463" t="s">
        <v>39</v>
      </c>
      <c r="K1463">
        <v>3</v>
      </c>
      <c r="L1463">
        <v>3</v>
      </c>
      <c r="M1463" t="s">
        <v>48</v>
      </c>
      <c r="N1463" t="s">
        <v>41</v>
      </c>
      <c r="O1463" t="s">
        <v>42</v>
      </c>
      <c r="P1463" t="s">
        <v>43</v>
      </c>
      <c r="Q1463">
        <v>14</v>
      </c>
      <c r="R1463">
        <v>2</v>
      </c>
      <c r="S1463">
        <v>8</v>
      </c>
      <c r="T1463">
        <v>2</v>
      </c>
      <c r="U1463">
        <v>2</v>
      </c>
      <c r="V1463">
        <v>2</v>
      </c>
      <c r="W1463">
        <v>52</v>
      </c>
      <c r="X1463">
        <v>1322</v>
      </c>
      <c r="Y1463">
        <v>2725</v>
      </c>
      <c r="Z1463">
        <v>2809</v>
      </c>
      <c r="AA1463">
        <v>2</v>
      </c>
      <c r="AB1463">
        <v>30167</v>
      </c>
      <c r="AC1463" s="10">
        <v>44174</v>
      </c>
      <c r="AD1463" s="10" t="s">
        <v>72</v>
      </c>
      <c r="AE1463" t="s">
        <v>72</v>
      </c>
      <c r="AF1463" t="s">
        <v>45</v>
      </c>
    </row>
    <row r="1464" spans="1:32" x14ac:dyDescent="0.25">
      <c r="A1464">
        <v>2003</v>
      </c>
      <c r="B1464">
        <v>35</v>
      </c>
      <c r="C1464" t="s">
        <v>43</v>
      </c>
      <c r="D1464" t="s">
        <v>33</v>
      </c>
      <c r="E1464" t="s">
        <v>34</v>
      </c>
      <c r="F1464" t="s">
        <v>35</v>
      </c>
      <c r="G1464" t="s">
        <v>59</v>
      </c>
      <c r="H1464" t="s">
        <v>37</v>
      </c>
      <c r="I1464" t="s">
        <v>50</v>
      </c>
      <c r="J1464" t="s">
        <v>51</v>
      </c>
      <c r="K1464">
        <v>3</v>
      </c>
      <c r="L1464">
        <v>3</v>
      </c>
      <c r="M1464" t="s">
        <v>48</v>
      </c>
      <c r="N1464" t="s">
        <v>61</v>
      </c>
      <c r="O1464" t="s">
        <v>36</v>
      </c>
      <c r="P1464" t="s">
        <v>32</v>
      </c>
      <c r="Q1464">
        <v>11</v>
      </c>
      <c r="R1464">
        <v>7</v>
      </c>
      <c r="S1464">
        <v>5</v>
      </c>
      <c r="T1464">
        <v>2</v>
      </c>
      <c r="U1464">
        <v>2</v>
      </c>
      <c r="V1464">
        <v>11</v>
      </c>
      <c r="W1464">
        <v>43</v>
      </c>
      <c r="X1464">
        <v>1490</v>
      </c>
      <c r="Y1464">
        <v>20232</v>
      </c>
      <c r="Z1464">
        <v>2660</v>
      </c>
      <c r="AA1464">
        <v>3</v>
      </c>
      <c r="AB1464">
        <v>32185</v>
      </c>
      <c r="AC1464" s="10">
        <v>44179</v>
      </c>
      <c r="AD1464" s="10" t="s">
        <v>72</v>
      </c>
      <c r="AE1464" t="s">
        <v>72</v>
      </c>
      <c r="AF1464" t="s">
        <v>45</v>
      </c>
    </row>
    <row r="1465" spans="1:32" x14ac:dyDescent="0.25">
      <c r="A1465">
        <v>316</v>
      </c>
      <c r="B1465">
        <v>52</v>
      </c>
      <c r="C1465" t="s">
        <v>43</v>
      </c>
      <c r="D1465" t="s">
        <v>33</v>
      </c>
      <c r="E1465" t="s">
        <v>34</v>
      </c>
      <c r="F1465" t="s">
        <v>49</v>
      </c>
      <c r="G1465" t="s">
        <v>50</v>
      </c>
      <c r="H1465" t="s">
        <v>47</v>
      </c>
      <c r="I1465" t="s">
        <v>38</v>
      </c>
      <c r="J1465" t="s">
        <v>51</v>
      </c>
      <c r="K1465">
        <v>4</v>
      </c>
      <c r="L1465">
        <v>3</v>
      </c>
      <c r="M1465" t="s">
        <v>60</v>
      </c>
      <c r="N1465" t="s">
        <v>41</v>
      </c>
      <c r="O1465" t="s">
        <v>42</v>
      </c>
      <c r="P1465" t="s">
        <v>43</v>
      </c>
      <c r="Q1465">
        <v>15</v>
      </c>
      <c r="R1465">
        <v>7</v>
      </c>
      <c r="S1465">
        <v>6</v>
      </c>
      <c r="T1465">
        <v>2</v>
      </c>
      <c r="U1465">
        <v>2</v>
      </c>
      <c r="V1465">
        <v>2</v>
      </c>
      <c r="W1465">
        <v>89</v>
      </c>
      <c r="X1465">
        <v>1323</v>
      </c>
      <c r="Y1465">
        <v>3300</v>
      </c>
      <c r="Z1465">
        <v>3212</v>
      </c>
      <c r="AA1465">
        <v>3</v>
      </c>
      <c r="AB1465">
        <v>26033</v>
      </c>
      <c r="AC1465" s="10">
        <v>44186</v>
      </c>
      <c r="AD1465" s="10" t="s">
        <v>72</v>
      </c>
      <c r="AE1465" t="s">
        <v>72</v>
      </c>
      <c r="AF1465" t="s">
        <v>45</v>
      </c>
    </row>
    <row r="1466" spans="1:32" x14ac:dyDescent="0.25">
      <c r="A1466">
        <v>169</v>
      </c>
      <c r="B1466">
        <v>22</v>
      </c>
      <c r="C1466" t="s">
        <v>43</v>
      </c>
      <c r="D1466" t="s">
        <v>33</v>
      </c>
      <c r="E1466" t="s">
        <v>34</v>
      </c>
      <c r="F1466" t="s">
        <v>64</v>
      </c>
      <c r="G1466" t="s">
        <v>50</v>
      </c>
      <c r="H1466" t="s">
        <v>37</v>
      </c>
      <c r="I1466" t="s">
        <v>50</v>
      </c>
      <c r="J1466" t="s">
        <v>51</v>
      </c>
      <c r="K1466">
        <v>4</v>
      </c>
      <c r="L1466">
        <v>3</v>
      </c>
      <c r="M1466" t="s">
        <v>48</v>
      </c>
      <c r="N1466" t="s">
        <v>61</v>
      </c>
      <c r="O1466" t="s">
        <v>36</v>
      </c>
      <c r="P1466" t="s">
        <v>43</v>
      </c>
      <c r="Q1466">
        <v>14</v>
      </c>
      <c r="R1466">
        <v>0</v>
      </c>
      <c r="S1466">
        <v>3</v>
      </c>
      <c r="T1466">
        <v>2</v>
      </c>
      <c r="U1466">
        <v>1</v>
      </c>
      <c r="V1466">
        <v>2</v>
      </c>
      <c r="W1466">
        <v>100</v>
      </c>
      <c r="X1466">
        <v>594</v>
      </c>
      <c r="Y1466">
        <v>19299</v>
      </c>
      <c r="Z1466">
        <v>2523</v>
      </c>
      <c r="AA1466">
        <v>2</v>
      </c>
      <c r="AB1466">
        <v>36856</v>
      </c>
      <c r="AC1466" s="10">
        <v>44206</v>
      </c>
      <c r="AD1466" s="10" t="s">
        <v>72</v>
      </c>
      <c r="AE1466" t="s">
        <v>72</v>
      </c>
      <c r="AF1466" t="s">
        <v>45</v>
      </c>
    </row>
    <row r="1467" spans="1:32" x14ac:dyDescent="0.25">
      <c r="A1467">
        <v>1916</v>
      </c>
      <c r="B1467">
        <v>31</v>
      </c>
      <c r="C1467" t="s">
        <v>43</v>
      </c>
      <c r="D1467" t="s">
        <v>33</v>
      </c>
      <c r="E1467" t="s">
        <v>34</v>
      </c>
      <c r="F1467" t="s">
        <v>49</v>
      </c>
      <c r="G1467" t="s">
        <v>36</v>
      </c>
      <c r="H1467" t="s">
        <v>47</v>
      </c>
      <c r="I1467" t="s">
        <v>59</v>
      </c>
      <c r="J1467" t="s">
        <v>51</v>
      </c>
      <c r="K1467">
        <v>3</v>
      </c>
      <c r="L1467">
        <v>3</v>
      </c>
      <c r="M1467" t="s">
        <v>60</v>
      </c>
      <c r="N1467" t="s">
        <v>52</v>
      </c>
      <c r="O1467" t="s">
        <v>36</v>
      </c>
      <c r="P1467" t="s">
        <v>43</v>
      </c>
      <c r="Q1467">
        <v>12</v>
      </c>
      <c r="R1467">
        <v>8</v>
      </c>
      <c r="S1467">
        <v>4</v>
      </c>
      <c r="T1467">
        <v>2</v>
      </c>
      <c r="U1467">
        <v>2</v>
      </c>
      <c r="V1467">
        <v>4</v>
      </c>
      <c r="W1467">
        <v>62</v>
      </c>
      <c r="X1467">
        <v>471</v>
      </c>
      <c r="Y1467">
        <v>16031</v>
      </c>
      <c r="Z1467">
        <v>3978</v>
      </c>
      <c r="AA1467">
        <v>0</v>
      </c>
      <c r="AB1467">
        <v>33509</v>
      </c>
      <c r="AC1467" s="10">
        <v>44211</v>
      </c>
      <c r="AD1467" s="10" t="s">
        <v>72</v>
      </c>
      <c r="AE1467" t="s">
        <v>72</v>
      </c>
      <c r="AF1467" t="s">
        <v>45</v>
      </c>
    </row>
    <row r="1468" spans="1:32" x14ac:dyDescent="0.25">
      <c r="A1468">
        <v>493</v>
      </c>
      <c r="B1468">
        <v>31</v>
      </c>
      <c r="C1468" t="s">
        <v>43</v>
      </c>
      <c r="D1468" t="s">
        <v>33</v>
      </c>
      <c r="E1468" t="s">
        <v>34</v>
      </c>
      <c r="F1468" t="s">
        <v>35</v>
      </c>
      <c r="G1468" t="s">
        <v>50</v>
      </c>
      <c r="H1468" t="s">
        <v>37</v>
      </c>
      <c r="I1468" t="s">
        <v>38</v>
      </c>
      <c r="J1468" t="s">
        <v>39</v>
      </c>
      <c r="K1468">
        <v>2</v>
      </c>
      <c r="L1468">
        <v>3</v>
      </c>
      <c r="M1468" t="s">
        <v>48</v>
      </c>
      <c r="N1468" t="s">
        <v>41</v>
      </c>
      <c r="O1468" t="s">
        <v>42</v>
      </c>
      <c r="P1468" t="s">
        <v>32</v>
      </c>
      <c r="Q1468">
        <v>16</v>
      </c>
      <c r="R1468">
        <v>0</v>
      </c>
      <c r="S1468">
        <v>3</v>
      </c>
      <c r="T1468">
        <v>2</v>
      </c>
      <c r="U1468">
        <v>2</v>
      </c>
      <c r="V1468">
        <v>9</v>
      </c>
      <c r="W1468">
        <v>42</v>
      </c>
      <c r="X1468">
        <v>408</v>
      </c>
      <c r="Y1468">
        <v>7551</v>
      </c>
      <c r="Z1468">
        <v>2657</v>
      </c>
      <c r="AA1468">
        <v>5</v>
      </c>
      <c r="AB1468">
        <v>33747</v>
      </c>
      <c r="AC1468" s="10">
        <v>44217</v>
      </c>
      <c r="AD1468" s="10" t="s">
        <v>72</v>
      </c>
      <c r="AE1468" t="s">
        <v>72</v>
      </c>
      <c r="AF1468" t="s">
        <v>45</v>
      </c>
    </row>
    <row r="1469" spans="1:32" x14ac:dyDescent="0.25">
      <c r="A1469">
        <v>1001</v>
      </c>
      <c r="B1469">
        <v>27</v>
      </c>
      <c r="C1469" t="s">
        <v>43</v>
      </c>
      <c r="D1469" t="s">
        <v>33</v>
      </c>
      <c r="E1469" t="s">
        <v>34</v>
      </c>
      <c r="F1469" t="s">
        <v>35</v>
      </c>
      <c r="G1469" t="s">
        <v>50</v>
      </c>
      <c r="H1469" t="s">
        <v>47</v>
      </c>
      <c r="I1469" t="s">
        <v>50</v>
      </c>
      <c r="J1469" t="s">
        <v>51</v>
      </c>
      <c r="K1469">
        <v>2</v>
      </c>
      <c r="L1469">
        <v>3</v>
      </c>
      <c r="M1469" t="s">
        <v>48</v>
      </c>
      <c r="N1469" t="s">
        <v>61</v>
      </c>
      <c r="O1469" t="s">
        <v>36</v>
      </c>
      <c r="P1469" t="s">
        <v>43</v>
      </c>
      <c r="Q1469">
        <v>14</v>
      </c>
      <c r="R1469">
        <v>9</v>
      </c>
      <c r="S1469">
        <v>4</v>
      </c>
      <c r="T1469">
        <v>2</v>
      </c>
      <c r="U1469">
        <v>1</v>
      </c>
      <c r="V1469">
        <v>16</v>
      </c>
      <c r="W1469">
        <v>37</v>
      </c>
      <c r="X1469">
        <v>1134</v>
      </c>
      <c r="Y1469">
        <v>12086</v>
      </c>
      <c r="Z1469">
        <v>2811</v>
      </c>
      <c r="AA1469">
        <v>2</v>
      </c>
      <c r="AB1469">
        <v>34913</v>
      </c>
      <c r="AC1469" s="10">
        <v>44343</v>
      </c>
      <c r="AD1469" s="10" t="s">
        <v>72</v>
      </c>
      <c r="AE1469" t="s">
        <v>72</v>
      </c>
      <c r="AF1469" t="s">
        <v>45</v>
      </c>
    </row>
    <row r="1470" spans="1:32" x14ac:dyDescent="0.25">
      <c r="A1470">
        <v>75</v>
      </c>
      <c r="B1470">
        <v>35</v>
      </c>
      <c r="C1470" t="s">
        <v>43</v>
      </c>
      <c r="D1470" t="s">
        <v>33</v>
      </c>
      <c r="E1470" t="s">
        <v>34</v>
      </c>
      <c r="F1470" t="s">
        <v>35</v>
      </c>
      <c r="G1470" t="s">
        <v>50</v>
      </c>
      <c r="H1470" t="s">
        <v>47</v>
      </c>
      <c r="I1470" t="s">
        <v>50</v>
      </c>
      <c r="J1470" t="s">
        <v>51</v>
      </c>
      <c r="K1470">
        <v>1</v>
      </c>
      <c r="L1470">
        <v>3</v>
      </c>
      <c r="M1470" t="s">
        <v>48</v>
      </c>
      <c r="N1470" t="s">
        <v>61</v>
      </c>
      <c r="O1470" t="s">
        <v>36</v>
      </c>
      <c r="P1470" t="s">
        <v>32</v>
      </c>
      <c r="Q1470">
        <v>15</v>
      </c>
      <c r="R1470">
        <v>3</v>
      </c>
      <c r="S1470">
        <v>4</v>
      </c>
      <c r="T1470">
        <v>2</v>
      </c>
      <c r="U1470">
        <v>1</v>
      </c>
      <c r="V1470">
        <v>23</v>
      </c>
      <c r="W1470">
        <v>30</v>
      </c>
      <c r="X1470">
        <v>1142</v>
      </c>
      <c r="Y1470">
        <v>16002</v>
      </c>
      <c r="Z1470">
        <v>4014</v>
      </c>
      <c r="AA1470">
        <v>3</v>
      </c>
      <c r="AB1470">
        <v>32041</v>
      </c>
      <c r="AC1470" s="10">
        <v>44370</v>
      </c>
      <c r="AD1470" s="10" t="s">
        <v>72</v>
      </c>
      <c r="AE1470" t="s">
        <v>72</v>
      </c>
      <c r="AF1470" t="s">
        <v>45</v>
      </c>
    </row>
    <row r="1471" spans="1:32" x14ac:dyDescent="0.25">
      <c r="A1471">
        <v>1871</v>
      </c>
      <c r="B1471">
        <v>39</v>
      </c>
      <c r="C1471" t="s">
        <v>43</v>
      </c>
      <c r="D1471" t="s">
        <v>33</v>
      </c>
      <c r="E1471" t="s">
        <v>34</v>
      </c>
      <c r="F1471" t="s">
        <v>35</v>
      </c>
      <c r="G1471" t="s">
        <v>59</v>
      </c>
      <c r="H1471" t="s">
        <v>37</v>
      </c>
      <c r="I1471" t="s">
        <v>50</v>
      </c>
      <c r="J1471" t="s">
        <v>39</v>
      </c>
      <c r="K1471">
        <v>4</v>
      </c>
      <c r="L1471">
        <v>3</v>
      </c>
      <c r="M1471" t="s">
        <v>48</v>
      </c>
      <c r="N1471" t="s">
        <v>52</v>
      </c>
      <c r="O1471" t="s">
        <v>50</v>
      </c>
      <c r="P1471" t="s">
        <v>43</v>
      </c>
      <c r="Q1471">
        <v>14</v>
      </c>
      <c r="R1471">
        <v>8</v>
      </c>
      <c r="S1471">
        <v>7</v>
      </c>
      <c r="T1471">
        <v>2</v>
      </c>
      <c r="U1471">
        <v>1</v>
      </c>
      <c r="V1471">
        <v>19</v>
      </c>
      <c r="W1471">
        <v>41</v>
      </c>
      <c r="X1471">
        <v>835</v>
      </c>
      <c r="Y1471">
        <v>5141</v>
      </c>
      <c r="Z1471">
        <v>3902</v>
      </c>
      <c r="AA1471">
        <v>2</v>
      </c>
      <c r="AB1471">
        <v>30768</v>
      </c>
      <c r="AC1471" s="10">
        <v>44385</v>
      </c>
      <c r="AD1471" s="10" t="s">
        <v>72</v>
      </c>
      <c r="AE1471" t="s">
        <v>72</v>
      </c>
      <c r="AF147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F9C4-B022-4816-8224-9C280E7B2F90}">
  <dimension ref="A1:M1471"/>
  <sheetViews>
    <sheetView workbookViewId="0">
      <selection activeCell="C29" sqref="C29"/>
    </sheetView>
  </sheetViews>
  <sheetFormatPr defaultRowHeight="15" x14ac:dyDescent="0.25"/>
  <cols>
    <col min="1" max="1" width="12.42578125" style="5" bestFit="1" customWidth="1"/>
    <col min="2" max="2" width="4.28515625" style="3" bestFit="1" customWidth="1"/>
    <col min="3" max="3" width="7.85546875" bestFit="1" customWidth="1"/>
    <col min="4" max="5" width="12.42578125" bestFit="1" customWidth="1"/>
    <col min="6" max="6" width="11.85546875" bestFit="1" customWidth="1"/>
    <col min="7" max="7" width="24.28515625" style="3" bestFit="1" customWidth="1"/>
    <col min="8" max="8" width="9.7109375" style="3" customWidth="1"/>
    <col min="9" max="9" width="10.42578125" bestFit="1" customWidth="1"/>
    <col min="10" max="10" width="33" bestFit="1" customWidth="1"/>
    <col min="11" max="11" width="12.140625" bestFit="1" customWidth="1"/>
    <col min="12" max="12" width="27.85546875" bestFit="1" customWidth="1"/>
  </cols>
  <sheetData>
    <row r="1" spans="1:13" x14ac:dyDescent="0.25">
      <c r="A1" s="4" t="s">
        <v>73</v>
      </c>
      <c r="B1" s="2" t="s">
        <v>1</v>
      </c>
      <c r="C1" s="1" t="s">
        <v>2</v>
      </c>
      <c r="D1" s="1" t="s">
        <v>5</v>
      </c>
      <c r="E1" s="1" t="s">
        <v>13</v>
      </c>
      <c r="F1" s="1" t="s">
        <v>14</v>
      </c>
      <c r="G1" s="2" t="s">
        <v>19</v>
      </c>
      <c r="H1" s="2"/>
      <c r="I1" s="1" t="s">
        <v>74</v>
      </c>
      <c r="J1" s="1" t="s">
        <v>75</v>
      </c>
      <c r="K1" s="1" t="s">
        <v>76</v>
      </c>
      <c r="L1" s="1"/>
    </row>
    <row r="2" spans="1:13" x14ac:dyDescent="0.25">
      <c r="A2" s="5">
        <v>1522</v>
      </c>
      <c r="B2" s="3">
        <v>37</v>
      </c>
      <c r="C2" t="s">
        <v>32</v>
      </c>
      <c r="D2" t="s">
        <v>35</v>
      </c>
      <c r="E2" t="s">
        <v>41</v>
      </c>
      <c r="F2" t="s">
        <v>42</v>
      </c>
      <c r="G2" s="3">
        <v>0</v>
      </c>
      <c r="I2" t="str">
        <f>IF(B2&lt;=24, "18-24", IF(B2&lt;=34,"25-34", IF(B2&lt;=44,"35-44", IF(B2&lt;=54,"45-54", IF(B2&lt;=60, "55-60")))))</f>
        <v>35-44</v>
      </c>
      <c r="J2" t="str">
        <f>IF(G2&lt;=0,"Recently promoted",IF(G2&lt;=3,"Promoted in 1-3 years","Long Promotion gap"))</f>
        <v>Recently promoted</v>
      </c>
      <c r="K2">
        <f>IF(C2="Yes", 1, 0)</f>
        <v>1</v>
      </c>
      <c r="M2" s="6"/>
    </row>
    <row r="3" spans="1:13" x14ac:dyDescent="0.25">
      <c r="A3" s="5">
        <v>1101</v>
      </c>
      <c r="B3" s="3">
        <v>42</v>
      </c>
      <c r="C3" t="s">
        <v>32</v>
      </c>
      <c r="D3" t="s">
        <v>35</v>
      </c>
      <c r="E3" t="s">
        <v>41</v>
      </c>
      <c r="F3" t="s">
        <v>42</v>
      </c>
      <c r="G3" s="3">
        <v>3</v>
      </c>
      <c r="I3" t="str">
        <f t="shared" ref="I3:I66" si="0">IF(B3&lt;=24, "18-24", IF(B3&lt;=34,"25-34", IF(B3&lt;=44,"35-44", IF(B3&lt;=54,"45-54", IF(B3&lt;=60, "55-60")))))</f>
        <v>35-44</v>
      </c>
      <c r="J3" t="str">
        <f t="shared" ref="J3:J66" si="1">IF(G3&lt;=0,"Recently promoted",IF(G3&lt;=3,"Promoted in 1-3 years","Long Promotion gap"))</f>
        <v>Promoted in 1-3 years</v>
      </c>
      <c r="K3">
        <f t="shared" ref="K3:K66" si="2">IF(C3="Yes", 1, 0)</f>
        <v>1</v>
      </c>
    </row>
    <row r="4" spans="1:13" x14ac:dyDescent="0.25">
      <c r="A4" s="5">
        <v>1299</v>
      </c>
      <c r="B4" s="3">
        <v>29</v>
      </c>
      <c r="C4" t="s">
        <v>32</v>
      </c>
      <c r="D4" t="s">
        <v>49</v>
      </c>
      <c r="E4" t="s">
        <v>52</v>
      </c>
      <c r="F4" t="s">
        <v>53</v>
      </c>
      <c r="G4" s="3">
        <v>7</v>
      </c>
      <c r="I4" t="str">
        <f t="shared" si="0"/>
        <v>25-34</v>
      </c>
      <c r="J4" t="str">
        <f t="shared" si="1"/>
        <v>Long Promotion gap</v>
      </c>
      <c r="K4">
        <f t="shared" si="2"/>
        <v>1</v>
      </c>
    </row>
    <row r="5" spans="1:13" x14ac:dyDescent="0.25">
      <c r="A5" s="5">
        <v>1457</v>
      </c>
      <c r="B5" s="3">
        <v>46</v>
      </c>
      <c r="C5" t="s">
        <v>32</v>
      </c>
      <c r="D5" t="s">
        <v>49</v>
      </c>
      <c r="E5" t="s">
        <v>52</v>
      </c>
      <c r="F5" t="s">
        <v>36</v>
      </c>
      <c r="G5" s="3">
        <v>4</v>
      </c>
      <c r="I5" t="str">
        <f t="shared" si="0"/>
        <v>45-54</v>
      </c>
      <c r="J5" t="str">
        <f t="shared" si="1"/>
        <v>Long Promotion gap</v>
      </c>
      <c r="K5">
        <f t="shared" si="2"/>
        <v>1</v>
      </c>
    </row>
    <row r="6" spans="1:13" x14ac:dyDescent="0.25">
      <c r="A6" s="5">
        <v>1807</v>
      </c>
      <c r="B6" s="3">
        <v>34</v>
      </c>
      <c r="C6" t="s">
        <v>32</v>
      </c>
      <c r="D6" t="s">
        <v>35</v>
      </c>
      <c r="E6" t="s">
        <v>61</v>
      </c>
      <c r="F6" t="s">
        <v>36</v>
      </c>
      <c r="G6" s="3">
        <v>0</v>
      </c>
      <c r="I6" t="str">
        <f t="shared" si="0"/>
        <v>25-34</v>
      </c>
      <c r="J6" t="str">
        <f t="shared" si="1"/>
        <v>Recently promoted</v>
      </c>
      <c r="K6">
        <f t="shared" si="2"/>
        <v>1</v>
      </c>
    </row>
    <row r="7" spans="1:13" x14ac:dyDescent="0.25">
      <c r="A7" s="5">
        <v>299</v>
      </c>
      <c r="B7" s="3">
        <v>30</v>
      </c>
      <c r="C7" t="s">
        <v>32</v>
      </c>
      <c r="D7" t="s">
        <v>35</v>
      </c>
      <c r="E7" t="s">
        <v>41</v>
      </c>
      <c r="F7" t="s">
        <v>42</v>
      </c>
      <c r="G7" s="3">
        <v>0</v>
      </c>
      <c r="I7" t="str">
        <f t="shared" si="0"/>
        <v>25-34</v>
      </c>
      <c r="J7" t="str">
        <f t="shared" si="1"/>
        <v>Recently promoted</v>
      </c>
      <c r="K7">
        <f t="shared" si="2"/>
        <v>1</v>
      </c>
    </row>
    <row r="8" spans="1:13" x14ac:dyDescent="0.25">
      <c r="A8" s="5">
        <v>300</v>
      </c>
      <c r="B8" s="3">
        <v>29</v>
      </c>
      <c r="C8" t="s">
        <v>32</v>
      </c>
      <c r="D8" t="s">
        <v>49</v>
      </c>
      <c r="E8" t="s">
        <v>41</v>
      </c>
      <c r="F8" t="s">
        <v>42</v>
      </c>
      <c r="G8" s="3">
        <v>1</v>
      </c>
      <c r="I8" t="str">
        <f t="shared" si="0"/>
        <v>25-34</v>
      </c>
      <c r="J8" t="str">
        <f t="shared" si="1"/>
        <v>Promoted in 1-3 years</v>
      </c>
      <c r="K8">
        <f t="shared" si="2"/>
        <v>1</v>
      </c>
    </row>
    <row r="9" spans="1:13" x14ac:dyDescent="0.25">
      <c r="A9" s="5">
        <v>1200</v>
      </c>
      <c r="B9" s="3">
        <v>44</v>
      </c>
      <c r="C9" t="s">
        <v>32</v>
      </c>
      <c r="D9" t="s">
        <v>35</v>
      </c>
      <c r="E9" t="s">
        <v>41</v>
      </c>
      <c r="F9" t="s">
        <v>42</v>
      </c>
      <c r="G9" s="3">
        <v>0</v>
      </c>
      <c r="I9" t="str">
        <f t="shared" si="0"/>
        <v>35-44</v>
      </c>
      <c r="J9" t="str">
        <f t="shared" si="1"/>
        <v>Recently promoted</v>
      </c>
      <c r="K9">
        <f t="shared" si="2"/>
        <v>1</v>
      </c>
    </row>
    <row r="10" spans="1:13" x14ac:dyDescent="0.25">
      <c r="A10" s="5">
        <v>1295</v>
      </c>
      <c r="B10" s="3">
        <v>44</v>
      </c>
      <c r="C10" t="s">
        <v>32</v>
      </c>
      <c r="D10" t="s">
        <v>49</v>
      </c>
      <c r="E10" t="s">
        <v>61</v>
      </c>
      <c r="F10" t="s">
        <v>36</v>
      </c>
      <c r="G10" s="3">
        <v>0</v>
      </c>
      <c r="I10" t="str">
        <f t="shared" si="0"/>
        <v>35-44</v>
      </c>
      <c r="J10" t="str">
        <f t="shared" si="1"/>
        <v>Recently promoted</v>
      </c>
      <c r="K10">
        <f t="shared" si="2"/>
        <v>1</v>
      </c>
    </row>
    <row r="11" spans="1:13" x14ac:dyDescent="0.25">
      <c r="A11" s="5">
        <v>647</v>
      </c>
      <c r="B11" s="3">
        <v>33</v>
      </c>
      <c r="C11" t="s">
        <v>32</v>
      </c>
      <c r="D11" t="s">
        <v>49</v>
      </c>
      <c r="E11" t="s">
        <v>61</v>
      </c>
      <c r="F11" t="s">
        <v>36</v>
      </c>
      <c r="G11" s="3">
        <v>1</v>
      </c>
      <c r="I11" t="str">
        <f t="shared" si="0"/>
        <v>25-34</v>
      </c>
      <c r="J11" t="str">
        <f t="shared" si="1"/>
        <v>Promoted in 1-3 years</v>
      </c>
      <c r="K11">
        <f t="shared" si="2"/>
        <v>1</v>
      </c>
    </row>
    <row r="12" spans="1:13" x14ac:dyDescent="0.25">
      <c r="A12" s="5">
        <v>401</v>
      </c>
      <c r="B12" s="3">
        <v>35</v>
      </c>
      <c r="C12" t="s">
        <v>32</v>
      </c>
      <c r="D12" t="s">
        <v>35</v>
      </c>
      <c r="E12" t="s">
        <v>41</v>
      </c>
      <c r="F12" t="s">
        <v>42</v>
      </c>
      <c r="G12" s="3">
        <v>7</v>
      </c>
      <c r="I12" t="str">
        <f t="shared" si="0"/>
        <v>35-44</v>
      </c>
      <c r="J12" t="str">
        <f t="shared" si="1"/>
        <v>Long Promotion gap</v>
      </c>
      <c r="K12">
        <f t="shared" si="2"/>
        <v>1</v>
      </c>
    </row>
    <row r="13" spans="1:13" x14ac:dyDescent="0.25">
      <c r="A13" s="5">
        <v>190</v>
      </c>
      <c r="B13" s="3">
        <v>32</v>
      </c>
      <c r="C13" t="s">
        <v>32</v>
      </c>
      <c r="D13" t="s">
        <v>49</v>
      </c>
      <c r="E13" t="s">
        <v>41</v>
      </c>
      <c r="F13" t="s">
        <v>42</v>
      </c>
      <c r="G13" s="3">
        <v>0</v>
      </c>
      <c r="I13" t="str">
        <f t="shared" si="0"/>
        <v>25-34</v>
      </c>
      <c r="J13" t="str">
        <f t="shared" si="1"/>
        <v>Recently promoted</v>
      </c>
      <c r="K13">
        <f t="shared" si="2"/>
        <v>1</v>
      </c>
    </row>
    <row r="14" spans="1:13" x14ac:dyDescent="0.25">
      <c r="A14" s="5">
        <v>325</v>
      </c>
      <c r="B14" s="3">
        <v>33</v>
      </c>
      <c r="C14" t="s">
        <v>32</v>
      </c>
      <c r="D14" t="s">
        <v>49</v>
      </c>
      <c r="E14" t="s">
        <v>61</v>
      </c>
      <c r="F14" t="s">
        <v>36</v>
      </c>
      <c r="G14" s="3">
        <v>0</v>
      </c>
      <c r="I14" t="str">
        <f t="shared" si="0"/>
        <v>25-34</v>
      </c>
      <c r="J14" t="str">
        <f t="shared" si="1"/>
        <v>Recently promoted</v>
      </c>
      <c r="K14">
        <f t="shared" si="2"/>
        <v>1</v>
      </c>
    </row>
    <row r="15" spans="1:13" x14ac:dyDescent="0.25">
      <c r="A15" s="5">
        <v>1310</v>
      </c>
      <c r="B15" s="3">
        <v>39</v>
      </c>
      <c r="C15" t="s">
        <v>32</v>
      </c>
      <c r="D15" t="s">
        <v>49</v>
      </c>
      <c r="E15" t="s">
        <v>41</v>
      </c>
      <c r="F15" t="s">
        <v>42</v>
      </c>
      <c r="G15" s="3">
        <v>0</v>
      </c>
      <c r="I15" t="str">
        <f t="shared" si="0"/>
        <v>35-44</v>
      </c>
      <c r="J15" t="str">
        <f t="shared" si="1"/>
        <v>Recently promoted</v>
      </c>
      <c r="K15">
        <f t="shared" si="2"/>
        <v>1</v>
      </c>
    </row>
    <row r="16" spans="1:13" x14ac:dyDescent="0.25">
      <c r="A16" s="5">
        <v>1004</v>
      </c>
      <c r="B16" s="3">
        <v>30</v>
      </c>
      <c r="C16" t="s">
        <v>32</v>
      </c>
      <c r="D16" t="s">
        <v>49</v>
      </c>
      <c r="E16" t="s">
        <v>61</v>
      </c>
      <c r="F16" t="s">
        <v>42</v>
      </c>
      <c r="G16" s="3">
        <v>0</v>
      </c>
      <c r="I16" t="str">
        <f t="shared" si="0"/>
        <v>25-34</v>
      </c>
      <c r="J16" t="str">
        <f t="shared" si="1"/>
        <v>Recently promoted</v>
      </c>
      <c r="K16">
        <f t="shared" si="2"/>
        <v>1</v>
      </c>
    </row>
    <row r="17" spans="1:11" x14ac:dyDescent="0.25">
      <c r="A17" s="5">
        <v>147</v>
      </c>
      <c r="B17" s="3">
        <v>34</v>
      </c>
      <c r="C17" t="s">
        <v>32</v>
      </c>
      <c r="D17" t="s">
        <v>49</v>
      </c>
      <c r="E17" t="s">
        <v>41</v>
      </c>
      <c r="F17" t="s">
        <v>42</v>
      </c>
      <c r="G17" s="3">
        <v>0</v>
      </c>
      <c r="I17" t="str">
        <f t="shared" si="0"/>
        <v>25-34</v>
      </c>
      <c r="J17" t="str">
        <f t="shared" si="1"/>
        <v>Recently promoted</v>
      </c>
      <c r="K17">
        <f t="shared" si="2"/>
        <v>1</v>
      </c>
    </row>
    <row r="18" spans="1:11" x14ac:dyDescent="0.25">
      <c r="A18" s="5">
        <v>1042</v>
      </c>
      <c r="B18" s="3">
        <v>36</v>
      </c>
      <c r="C18" t="s">
        <v>32</v>
      </c>
      <c r="D18" t="s">
        <v>35</v>
      </c>
      <c r="E18" t="s">
        <v>41</v>
      </c>
      <c r="F18" t="s">
        <v>42</v>
      </c>
      <c r="G18" s="3">
        <v>15</v>
      </c>
      <c r="I18" t="str">
        <f t="shared" si="0"/>
        <v>35-44</v>
      </c>
      <c r="J18" t="str">
        <f t="shared" si="1"/>
        <v>Long Promotion gap</v>
      </c>
      <c r="K18">
        <f t="shared" si="2"/>
        <v>1</v>
      </c>
    </row>
    <row r="19" spans="1:11" x14ac:dyDescent="0.25">
      <c r="A19" s="5">
        <v>502</v>
      </c>
      <c r="B19" s="3">
        <v>34</v>
      </c>
      <c r="C19" t="s">
        <v>32</v>
      </c>
      <c r="D19" t="s">
        <v>49</v>
      </c>
      <c r="E19" t="s">
        <v>41</v>
      </c>
      <c r="F19" t="s">
        <v>42</v>
      </c>
      <c r="G19" s="3">
        <v>0</v>
      </c>
      <c r="I19" t="str">
        <f t="shared" si="0"/>
        <v>25-34</v>
      </c>
      <c r="J19" t="str">
        <f t="shared" si="1"/>
        <v>Recently promoted</v>
      </c>
      <c r="K19">
        <f t="shared" si="2"/>
        <v>1</v>
      </c>
    </row>
    <row r="20" spans="1:11" x14ac:dyDescent="0.25">
      <c r="A20" s="5">
        <v>967</v>
      </c>
      <c r="B20" s="3">
        <v>36</v>
      </c>
      <c r="C20" t="s">
        <v>32</v>
      </c>
      <c r="D20" t="s">
        <v>64</v>
      </c>
      <c r="E20" t="s">
        <v>61</v>
      </c>
      <c r="F20" t="s">
        <v>36</v>
      </c>
      <c r="G20" s="3">
        <v>3</v>
      </c>
      <c r="I20" t="str">
        <f t="shared" si="0"/>
        <v>35-44</v>
      </c>
      <c r="J20" t="str">
        <f t="shared" si="1"/>
        <v>Promoted in 1-3 years</v>
      </c>
      <c r="K20">
        <f t="shared" si="2"/>
        <v>1</v>
      </c>
    </row>
    <row r="21" spans="1:11" x14ac:dyDescent="0.25">
      <c r="A21" s="5">
        <v>1157</v>
      </c>
      <c r="B21" s="3">
        <v>33</v>
      </c>
      <c r="C21" t="s">
        <v>32</v>
      </c>
      <c r="D21" t="s">
        <v>35</v>
      </c>
      <c r="E21" t="s">
        <v>41</v>
      </c>
      <c r="F21" t="s">
        <v>42</v>
      </c>
      <c r="G21" s="3">
        <v>0</v>
      </c>
      <c r="I21" t="str">
        <f t="shared" si="0"/>
        <v>25-34</v>
      </c>
      <c r="J21" t="str">
        <f t="shared" si="1"/>
        <v>Recently promoted</v>
      </c>
      <c r="K21">
        <f t="shared" si="2"/>
        <v>1</v>
      </c>
    </row>
    <row r="22" spans="1:11" x14ac:dyDescent="0.25">
      <c r="A22" s="5">
        <v>1573</v>
      </c>
      <c r="B22" s="3">
        <v>38</v>
      </c>
      <c r="C22" t="s">
        <v>32</v>
      </c>
      <c r="D22" t="s">
        <v>49</v>
      </c>
      <c r="E22" t="s">
        <v>61</v>
      </c>
      <c r="F22" t="s">
        <v>53</v>
      </c>
      <c r="G22" s="3">
        <v>1</v>
      </c>
      <c r="I22" t="str">
        <f t="shared" si="0"/>
        <v>35-44</v>
      </c>
      <c r="J22" t="str">
        <f t="shared" si="1"/>
        <v>Promoted in 1-3 years</v>
      </c>
      <c r="K22">
        <f t="shared" si="2"/>
        <v>1</v>
      </c>
    </row>
    <row r="23" spans="1:11" x14ac:dyDescent="0.25">
      <c r="A23" s="5">
        <v>554</v>
      </c>
      <c r="B23" s="3">
        <v>24</v>
      </c>
      <c r="C23" t="s">
        <v>32</v>
      </c>
      <c r="D23" t="s">
        <v>64</v>
      </c>
      <c r="E23" t="s">
        <v>41</v>
      </c>
      <c r="F23" t="s">
        <v>42</v>
      </c>
      <c r="G23" s="3">
        <v>1</v>
      </c>
      <c r="I23" t="str">
        <f t="shared" si="0"/>
        <v>18-24</v>
      </c>
      <c r="J23" t="str">
        <f t="shared" si="1"/>
        <v>Promoted in 1-3 years</v>
      </c>
      <c r="K23">
        <f t="shared" si="2"/>
        <v>1</v>
      </c>
    </row>
    <row r="24" spans="1:11" x14ac:dyDescent="0.25">
      <c r="A24" s="5">
        <v>161</v>
      </c>
      <c r="B24" s="3">
        <v>56</v>
      </c>
      <c r="C24" t="s">
        <v>32</v>
      </c>
      <c r="D24" t="s">
        <v>35</v>
      </c>
      <c r="E24" t="s">
        <v>61</v>
      </c>
      <c r="F24" t="s">
        <v>50</v>
      </c>
      <c r="G24" s="3">
        <v>4</v>
      </c>
      <c r="I24" t="str">
        <f t="shared" si="0"/>
        <v>55-60</v>
      </c>
      <c r="J24" t="str">
        <f t="shared" si="1"/>
        <v>Long Promotion gap</v>
      </c>
      <c r="K24">
        <f t="shared" si="2"/>
        <v>1</v>
      </c>
    </row>
    <row r="25" spans="1:11" x14ac:dyDescent="0.25">
      <c r="A25" s="5">
        <v>297</v>
      </c>
      <c r="B25" s="3">
        <v>30</v>
      </c>
      <c r="C25" t="s">
        <v>32</v>
      </c>
      <c r="D25" t="s">
        <v>49</v>
      </c>
      <c r="E25" t="s">
        <v>41</v>
      </c>
      <c r="F25" t="s">
        <v>42</v>
      </c>
      <c r="G25" s="3">
        <v>0</v>
      </c>
      <c r="I25" t="str">
        <f t="shared" si="0"/>
        <v>25-34</v>
      </c>
      <c r="J25" t="str">
        <f t="shared" si="1"/>
        <v>Recently promoted</v>
      </c>
      <c r="K25">
        <f t="shared" si="2"/>
        <v>1</v>
      </c>
    </row>
    <row r="26" spans="1:11" x14ac:dyDescent="0.25">
      <c r="A26" s="5">
        <v>1905</v>
      </c>
      <c r="B26" s="3">
        <v>34</v>
      </c>
      <c r="C26" t="s">
        <v>32</v>
      </c>
      <c r="D26" t="s">
        <v>35</v>
      </c>
      <c r="E26" t="s">
        <v>61</v>
      </c>
      <c r="F26" t="s">
        <v>36</v>
      </c>
      <c r="G26" s="3">
        <v>3</v>
      </c>
      <c r="I26" t="str">
        <f t="shared" si="0"/>
        <v>25-34</v>
      </c>
      <c r="J26" t="str">
        <f t="shared" si="1"/>
        <v>Promoted in 1-3 years</v>
      </c>
      <c r="K26">
        <f t="shared" si="2"/>
        <v>1</v>
      </c>
    </row>
    <row r="27" spans="1:11" x14ac:dyDescent="0.25">
      <c r="A27" s="5">
        <v>1489</v>
      </c>
      <c r="B27" s="3">
        <v>34</v>
      </c>
      <c r="C27" t="s">
        <v>32</v>
      </c>
      <c r="D27" t="s">
        <v>35</v>
      </c>
      <c r="E27" t="s">
        <v>41</v>
      </c>
      <c r="F27" t="s">
        <v>42</v>
      </c>
      <c r="G27" s="3">
        <v>10</v>
      </c>
      <c r="I27" t="str">
        <f t="shared" si="0"/>
        <v>25-34</v>
      </c>
      <c r="J27" t="str">
        <f t="shared" si="1"/>
        <v>Long Promotion gap</v>
      </c>
      <c r="K27">
        <f t="shared" si="2"/>
        <v>1</v>
      </c>
    </row>
    <row r="28" spans="1:11" x14ac:dyDescent="0.25">
      <c r="A28" s="5">
        <v>785</v>
      </c>
      <c r="B28" s="3">
        <v>47</v>
      </c>
      <c r="C28" t="s">
        <v>32</v>
      </c>
      <c r="D28" t="s">
        <v>67</v>
      </c>
      <c r="E28" t="s">
        <v>41</v>
      </c>
      <c r="F28" t="s">
        <v>42</v>
      </c>
      <c r="G28" s="3">
        <v>1</v>
      </c>
      <c r="I28" t="str">
        <f t="shared" si="0"/>
        <v>45-54</v>
      </c>
      <c r="J28" t="str">
        <f t="shared" si="1"/>
        <v>Promoted in 1-3 years</v>
      </c>
      <c r="K28">
        <f t="shared" si="2"/>
        <v>1</v>
      </c>
    </row>
    <row r="29" spans="1:11" x14ac:dyDescent="0.25">
      <c r="A29" s="5">
        <v>1389</v>
      </c>
      <c r="B29" s="3">
        <v>31</v>
      </c>
      <c r="C29" t="s">
        <v>32</v>
      </c>
      <c r="D29" t="s">
        <v>35</v>
      </c>
      <c r="E29" t="s">
        <v>61</v>
      </c>
      <c r="F29" t="s">
        <v>53</v>
      </c>
      <c r="G29" s="3">
        <v>6</v>
      </c>
      <c r="I29" t="str">
        <f t="shared" si="0"/>
        <v>25-34</v>
      </c>
      <c r="J29" t="str">
        <f t="shared" si="1"/>
        <v>Long Promotion gap</v>
      </c>
      <c r="K29">
        <f t="shared" si="2"/>
        <v>1</v>
      </c>
    </row>
    <row r="30" spans="1:11" x14ac:dyDescent="0.25">
      <c r="A30" s="5">
        <v>1318</v>
      </c>
      <c r="B30" s="3">
        <v>40</v>
      </c>
      <c r="C30" t="s">
        <v>32</v>
      </c>
      <c r="D30" t="s">
        <v>35</v>
      </c>
      <c r="E30" t="s">
        <v>41</v>
      </c>
      <c r="F30" t="s">
        <v>42</v>
      </c>
      <c r="G30" s="3">
        <v>1</v>
      </c>
      <c r="I30" t="str">
        <f t="shared" si="0"/>
        <v>35-44</v>
      </c>
      <c r="J30" t="str">
        <f t="shared" si="1"/>
        <v>Promoted in 1-3 years</v>
      </c>
      <c r="K30">
        <f t="shared" si="2"/>
        <v>1</v>
      </c>
    </row>
    <row r="31" spans="1:11" x14ac:dyDescent="0.25">
      <c r="A31" s="5">
        <v>1684</v>
      </c>
      <c r="B31" s="3">
        <v>23</v>
      </c>
      <c r="C31" t="s">
        <v>32</v>
      </c>
      <c r="D31" t="s">
        <v>64</v>
      </c>
      <c r="E31" t="s">
        <v>41</v>
      </c>
      <c r="F31" t="s">
        <v>42</v>
      </c>
      <c r="G31" s="3">
        <v>1</v>
      </c>
      <c r="I31" t="str">
        <f t="shared" si="0"/>
        <v>18-24</v>
      </c>
      <c r="J31" t="str">
        <f t="shared" si="1"/>
        <v>Promoted in 1-3 years</v>
      </c>
      <c r="K31">
        <f t="shared" si="2"/>
        <v>1</v>
      </c>
    </row>
    <row r="32" spans="1:11" x14ac:dyDescent="0.25">
      <c r="A32" s="5">
        <v>1487</v>
      </c>
      <c r="B32" s="3">
        <v>29</v>
      </c>
      <c r="C32" t="s">
        <v>32</v>
      </c>
      <c r="D32" t="s">
        <v>49</v>
      </c>
      <c r="E32" t="s">
        <v>41</v>
      </c>
      <c r="F32" t="s">
        <v>42</v>
      </c>
      <c r="G32" s="3">
        <v>0</v>
      </c>
      <c r="I32" t="str">
        <f t="shared" si="0"/>
        <v>25-34</v>
      </c>
      <c r="J32" t="str">
        <f t="shared" si="1"/>
        <v>Recently promoted</v>
      </c>
      <c r="K32">
        <f t="shared" si="2"/>
        <v>1</v>
      </c>
    </row>
    <row r="33" spans="1:11" x14ac:dyDescent="0.25">
      <c r="A33" s="5">
        <v>27</v>
      </c>
      <c r="B33" s="3">
        <v>36</v>
      </c>
      <c r="C33" t="s">
        <v>32</v>
      </c>
      <c r="D33" t="s">
        <v>35</v>
      </c>
      <c r="E33" t="s">
        <v>41</v>
      </c>
      <c r="F33" t="s">
        <v>42</v>
      </c>
      <c r="G33" s="3">
        <v>0</v>
      </c>
      <c r="I33" t="str">
        <f t="shared" si="0"/>
        <v>35-44</v>
      </c>
      <c r="J33" t="str">
        <f t="shared" si="1"/>
        <v>Recently promoted</v>
      </c>
      <c r="K33">
        <f t="shared" si="2"/>
        <v>1</v>
      </c>
    </row>
    <row r="34" spans="1:11" x14ac:dyDescent="0.25">
      <c r="A34" s="5">
        <v>1818</v>
      </c>
      <c r="B34" s="3">
        <v>26</v>
      </c>
      <c r="C34" t="s">
        <v>32</v>
      </c>
      <c r="D34" t="s">
        <v>67</v>
      </c>
      <c r="E34" t="s">
        <v>61</v>
      </c>
      <c r="F34" t="s">
        <v>42</v>
      </c>
      <c r="G34" s="3">
        <v>1</v>
      </c>
      <c r="I34" t="str">
        <f t="shared" si="0"/>
        <v>25-34</v>
      </c>
      <c r="J34" t="str">
        <f t="shared" si="1"/>
        <v>Promoted in 1-3 years</v>
      </c>
      <c r="K34">
        <f t="shared" si="2"/>
        <v>1</v>
      </c>
    </row>
    <row r="35" spans="1:11" x14ac:dyDescent="0.25">
      <c r="A35" s="5">
        <v>1809</v>
      </c>
      <c r="B35" s="3">
        <v>37</v>
      </c>
      <c r="C35" t="s">
        <v>32</v>
      </c>
      <c r="D35" t="s">
        <v>35</v>
      </c>
      <c r="E35" t="s">
        <v>41</v>
      </c>
      <c r="F35" t="s">
        <v>42</v>
      </c>
      <c r="G35" s="3">
        <v>0</v>
      </c>
      <c r="I35" t="str">
        <f t="shared" si="0"/>
        <v>35-44</v>
      </c>
      <c r="J35" t="str">
        <f t="shared" si="1"/>
        <v>Recently promoted</v>
      </c>
      <c r="K35">
        <f t="shared" si="2"/>
        <v>1</v>
      </c>
    </row>
    <row r="36" spans="1:11" x14ac:dyDescent="0.25">
      <c r="A36" s="5">
        <v>1792</v>
      </c>
      <c r="B36" s="3">
        <v>44</v>
      </c>
      <c r="C36" t="s">
        <v>32</v>
      </c>
      <c r="D36" t="s">
        <v>67</v>
      </c>
      <c r="E36" t="s">
        <v>52</v>
      </c>
      <c r="F36" t="s">
        <v>50</v>
      </c>
      <c r="G36" s="3">
        <v>2</v>
      </c>
      <c r="I36" t="str">
        <f t="shared" si="0"/>
        <v>35-44</v>
      </c>
      <c r="J36" t="str">
        <f t="shared" si="1"/>
        <v>Promoted in 1-3 years</v>
      </c>
      <c r="K36">
        <f t="shared" si="2"/>
        <v>1</v>
      </c>
    </row>
    <row r="37" spans="1:11" x14ac:dyDescent="0.25">
      <c r="A37" s="5">
        <v>433</v>
      </c>
      <c r="B37" s="3">
        <v>52</v>
      </c>
      <c r="C37" t="s">
        <v>32</v>
      </c>
      <c r="D37" t="s">
        <v>35</v>
      </c>
      <c r="E37" t="s">
        <v>61</v>
      </c>
      <c r="F37" t="s">
        <v>42</v>
      </c>
      <c r="G37" s="3">
        <v>7</v>
      </c>
      <c r="I37" t="str">
        <f t="shared" si="0"/>
        <v>45-54</v>
      </c>
      <c r="J37" t="str">
        <f t="shared" si="1"/>
        <v>Long Promotion gap</v>
      </c>
      <c r="K37">
        <f t="shared" si="2"/>
        <v>1</v>
      </c>
    </row>
    <row r="38" spans="1:11" x14ac:dyDescent="0.25">
      <c r="A38" s="5">
        <v>842</v>
      </c>
      <c r="B38" s="3">
        <v>55</v>
      </c>
      <c r="C38" t="s">
        <v>32</v>
      </c>
      <c r="D38" t="s">
        <v>64</v>
      </c>
      <c r="E38" t="s">
        <v>41</v>
      </c>
      <c r="F38" t="s">
        <v>42</v>
      </c>
      <c r="G38" s="3">
        <v>7</v>
      </c>
      <c r="I38" t="str">
        <f t="shared" si="0"/>
        <v>55-60</v>
      </c>
      <c r="J38" t="str">
        <f t="shared" si="1"/>
        <v>Long Promotion gap</v>
      </c>
      <c r="K38">
        <f t="shared" si="2"/>
        <v>1</v>
      </c>
    </row>
    <row r="39" spans="1:11" x14ac:dyDescent="0.25">
      <c r="A39" s="5">
        <v>1534</v>
      </c>
      <c r="B39" s="3">
        <v>40</v>
      </c>
      <c r="C39" t="s">
        <v>32</v>
      </c>
      <c r="D39" t="s">
        <v>35</v>
      </c>
      <c r="E39" t="s">
        <v>41</v>
      </c>
      <c r="F39" t="s">
        <v>42</v>
      </c>
      <c r="G39" s="3">
        <v>1</v>
      </c>
      <c r="I39" t="str">
        <f t="shared" si="0"/>
        <v>35-44</v>
      </c>
      <c r="J39" t="str">
        <f t="shared" si="1"/>
        <v>Promoted in 1-3 years</v>
      </c>
      <c r="K39">
        <f t="shared" si="2"/>
        <v>1</v>
      </c>
    </row>
    <row r="40" spans="1:11" x14ac:dyDescent="0.25">
      <c r="A40" s="5">
        <v>787</v>
      </c>
      <c r="B40" s="3">
        <v>55</v>
      </c>
      <c r="C40" t="s">
        <v>32</v>
      </c>
      <c r="D40" t="s">
        <v>49</v>
      </c>
      <c r="E40" t="s">
        <v>61</v>
      </c>
      <c r="F40" t="s">
        <v>36</v>
      </c>
      <c r="G40" s="3">
        <v>1</v>
      </c>
      <c r="I40" t="str">
        <f t="shared" si="0"/>
        <v>55-60</v>
      </c>
      <c r="J40" t="str">
        <f t="shared" si="1"/>
        <v>Promoted in 1-3 years</v>
      </c>
      <c r="K40">
        <f t="shared" si="2"/>
        <v>1</v>
      </c>
    </row>
    <row r="41" spans="1:11" x14ac:dyDescent="0.25">
      <c r="A41" s="5">
        <v>1127</v>
      </c>
      <c r="B41" s="3">
        <v>39</v>
      </c>
      <c r="C41" t="s">
        <v>32</v>
      </c>
      <c r="D41" t="s">
        <v>49</v>
      </c>
      <c r="E41" t="s">
        <v>52</v>
      </c>
      <c r="F41" t="s">
        <v>50</v>
      </c>
      <c r="G41" s="3">
        <v>11</v>
      </c>
      <c r="I41" t="str">
        <f t="shared" si="0"/>
        <v>35-44</v>
      </c>
      <c r="J41" t="str">
        <f t="shared" si="1"/>
        <v>Long Promotion gap</v>
      </c>
      <c r="K41">
        <f t="shared" si="2"/>
        <v>1</v>
      </c>
    </row>
    <row r="42" spans="1:11" x14ac:dyDescent="0.25">
      <c r="A42" s="5">
        <v>1188</v>
      </c>
      <c r="B42" s="3">
        <v>43</v>
      </c>
      <c r="C42" t="s">
        <v>32</v>
      </c>
      <c r="D42" t="s">
        <v>49</v>
      </c>
      <c r="E42" t="s">
        <v>41</v>
      </c>
      <c r="F42" t="s">
        <v>42</v>
      </c>
      <c r="G42" s="3">
        <v>1</v>
      </c>
      <c r="I42" t="str">
        <f t="shared" si="0"/>
        <v>35-44</v>
      </c>
      <c r="J42" t="str">
        <f t="shared" si="1"/>
        <v>Promoted in 1-3 years</v>
      </c>
      <c r="K42">
        <f t="shared" si="2"/>
        <v>1</v>
      </c>
    </row>
    <row r="43" spans="1:11" x14ac:dyDescent="0.25">
      <c r="A43" s="5">
        <v>1420</v>
      </c>
      <c r="B43" s="3">
        <v>49</v>
      </c>
      <c r="C43" t="s">
        <v>32</v>
      </c>
      <c r="D43" t="s">
        <v>67</v>
      </c>
      <c r="E43" t="s">
        <v>41</v>
      </c>
      <c r="F43" t="s">
        <v>42</v>
      </c>
      <c r="G43" s="3">
        <v>1</v>
      </c>
      <c r="I43" t="str">
        <f t="shared" si="0"/>
        <v>45-54</v>
      </c>
      <c r="J43" t="str">
        <f t="shared" si="1"/>
        <v>Promoted in 1-3 years</v>
      </c>
      <c r="K43">
        <f t="shared" si="2"/>
        <v>1</v>
      </c>
    </row>
    <row r="44" spans="1:11" x14ac:dyDescent="0.25">
      <c r="A44" s="5">
        <v>2032</v>
      </c>
      <c r="B44" s="3">
        <v>56</v>
      </c>
      <c r="C44" t="s">
        <v>32</v>
      </c>
      <c r="D44" t="s">
        <v>67</v>
      </c>
      <c r="E44" t="s">
        <v>61</v>
      </c>
      <c r="F44" t="s">
        <v>36</v>
      </c>
      <c r="G44" s="3">
        <v>9</v>
      </c>
      <c r="I44" t="str">
        <f t="shared" si="0"/>
        <v>55-60</v>
      </c>
      <c r="J44" t="str">
        <f t="shared" si="1"/>
        <v>Long Promotion gap</v>
      </c>
      <c r="K44">
        <f t="shared" si="2"/>
        <v>1</v>
      </c>
    </row>
    <row r="45" spans="1:11" x14ac:dyDescent="0.25">
      <c r="A45" s="5">
        <v>1869</v>
      </c>
      <c r="B45" s="3">
        <v>46</v>
      </c>
      <c r="C45" t="s">
        <v>32</v>
      </c>
      <c r="D45" t="s">
        <v>49</v>
      </c>
      <c r="E45" t="s">
        <v>61</v>
      </c>
      <c r="F45" t="s">
        <v>50</v>
      </c>
      <c r="G45" s="3">
        <v>0</v>
      </c>
      <c r="I45" t="str">
        <f t="shared" si="0"/>
        <v>45-54</v>
      </c>
      <c r="J45" t="str">
        <f t="shared" si="1"/>
        <v>Recently promoted</v>
      </c>
      <c r="K45">
        <f t="shared" si="2"/>
        <v>1</v>
      </c>
    </row>
    <row r="46" spans="1:11" x14ac:dyDescent="0.25">
      <c r="A46" s="5">
        <v>315</v>
      </c>
      <c r="B46" s="3">
        <v>29</v>
      </c>
      <c r="C46" t="s">
        <v>32</v>
      </c>
      <c r="D46" t="s">
        <v>64</v>
      </c>
      <c r="E46" t="s">
        <v>41</v>
      </c>
      <c r="F46" t="s">
        <v>42</v>
      </c>
      <c r="G46" s="3">
        <v>0</v>
      </c>
      <c r="I46" t="str">
        <f t="shared" si="0"/>
        <v>25-34</v>
      </c>
      <c r="J46" t="str">
        <f t="shared" si="1"/>
        <v>Recently promoted</v>
      </c>
      <c r="K46">
        <f t="shared" si="2"/>
        <v>1</v>
      </c>
    </row>
    <row r="47" spans="1:11" x14ac:dyDescent="0.25">
      <c r="A47" s="5">
        <v>142</v>
      </c>
      <c r="B47" s="3">
        <v>25</v>
      </c>
      <c r="C47" t="s">
        <v>32</v>
      </c>
      <c r="D47" t="s">
        <v>49</v>
      </c>
      <c r="E47" t="s">
        <v>41</v>
      </c>
      <c r="F47" t="s">
        <v>42</v>
      </c>
      <c r="G47" s="3">
        <v>0</v>
      </c>
      <c r="I47" t="str">
        <f t="shared" si="0"/>
        <v>25-34</v>
      </c>
      <c r="J47" t="str">
        <f t="shared" si="1"/>
        <v>Recently promoted</v>
      </c>
      <c r="K47">
        <f t="shared" si="2"/>
        <v>1</v>
      </c>
    </row>
    <row r="48" spans="1:11" x14ac:dyDescent="0.25">
      <c r="A48" s="5">
        <v>796</v>
      </c>
      <c r="B48" s="3">
        <v>26</v>
      </c>
      <c r="C48" t="s">
        <v>32</v>
      </c>
      <c r="D48" t="s">
        <v>49</v>
      </c>
      <c r="E48" t="s">
        <v>41</v>
      </c>
      <c r="F48" t="s">
        <v>42</v>
      </c>
      <c r="G48" s="3">
        <v>1</v>
      </c>
      <c r="I48" t="str">
        <f t="shared" si="0"/>
        <v>25-34</v>
      </c>
      <c r="J48" t="str">
        <f t="shared" si="1"/>
        <v>Promoted in 1-3 years</v>
      </c>
      <c r="K48">
        <f t="shared" si="2"/>
        <v>1</v>
      </c>
    </row>
    <row r="49" spans="1:11" x14ac:dyDescent="0.25">
      <c r="A49" s="5">
        <v>1106</v>
      </c>
      <c r="B49" s="3">
        <v>25</v>
      </c>
      <c r="C49" t="s">
        <v>32</v>
      </c>
      <c r="D49" t="s">
        <v>64</v>
      </c>
      <c r="E49" t="s">
        <v>61</v>
      </c>
      <c r="F49" t="s">
        <v>36</v>
      </c>
      <c r="G49" s="3">
        <v>5</v>
      </c>
      <c r="I49" t="str">
        <f t="shared" si="0"/>
        <v>25-34</v>
      </c>
      <c r="J49" t="str">
        <f t="shared" si="1"/>
        <v>Long Promotion gap</v>
      </c>
      <c r="K49">
        <f t="shared" si="2"/>
        <v>1</v>
      </c>
    </row>
    <row r="50" spans="1:11" x14ac:dyDescent="0.25">
      <c r="A50" s="5">
        <v>291</v>
      </c>
      <c r="B50" s="3">
        <v>32</v>
      </c>
      <c r="C50" t="s">
        <v>32</v>
      </c>
      <c r="D50" t="s">
        <v>35</v>
      </c>
      <c r="E50" t="s">
        <v>61</v>
      </c>
      <c r="F50" t="s">
        <v>42</v>
      </c>
      <c r="G50" s="3">
        <v>9</v>
      </c>
      <c r="I50" t="str">
        <f t="shared" si="0"/>
        <v>25-34</v>
      </c>
      <c r="J50" t="str">
        <f t="shared" si="1"/>
        <v>Long Promotion gap</v>
      </c>
      <c r="K50">
        <f t="shared" si="2"/>
        <v>1</v>
      </c>
    </row>
    <row r="51" spans="1:11" x14ac:dyDescent="0.25">
      <c r="A51" s="5">
        <v>492</v>
      </c>
      <c r="B51" s="3">
        <v>40</v>
      </c>
      <c r="C51" t="s">
        <v>32</v>
      </c>
      <c r="D51" t="s">
        <v>67</v>
      </c>
      <c r="E51" t="s">
        <v>61</v>
      </c>
      <c r="F51" t="s">
        <v>53</v>
      </c>
      <c r="G51" s="3">
        <v>1</v>
      </c>
      <c r="I51" t="str">
        <f t="shared" si="0"/>
        <v>35-44</v>
      </c>
      <c r="J51" t="str">
        <f t="shared" si="1"/>
        <v>Promoted in 1-3 years</v>
      </c>
      <c r="K51">
        <f t="shared" si="2"/>
        <v>1</v>
      </c>
    </row>
    <row r="52" spans="1:11" x14ac:dyDescent="0.25">
      <c r="A52" s="5">
        <v>1939</v>
      </c>
      <c r="B52" s="3">
        <v>32</v>
      </c>
      <c r="C52" t="s">
        <v>32</v>
      </c>
      <c r="D52" t="s">
        <v>67</v>
      </c>
      <c r="E52" t="s">
        <v>41</v>
      </c>
      <c r="F52" t="s">
        <v>42</v>
      </c>
      <c r="G52" s="3">
        <v>0</v>
      </c>
      <c r="I52" t="str">
        <f t="shared" si="0"/>
        <v>25-34</v>
      </c>
      <c r="J52" t="str">
        <f t="shared" si="1"/>
        <v>Recently promoted</v>
      </c>
      <c r="K52">
        <f t="shared" si="2"/>
        <v>1</v>
      </c>
    </row>
    <row r="53" spans="1:11" x14ac:dyDescent="0.25">
      <c r="A53" s="5">
        <v>510</v>
      </c>
      <c r="B53" s="3">
        <v>26</v>
      </c>
      <c r="C53" t="s">
        <v>32</v>
      </c>
      <c r="D53" t="s">
        <v>64</v>
      </c>
      <c r="E53" t="s">
        <v>41</v>
      </c>
      <c r="F53" t="s">
        <v>42</v>
      </c>
      <c r="G53" s="3">
        <v>0</v>
      </c>
      <c r="I53" t="str">
        <f t="shared" si="0"/>
        <v>25-34</v>
      </c>
      <c r="J53" t="str">
        <f t="shared" si="1"/>
        <v>Recently promoted</v>
      </c>
      <c r="K53">
        <f t="shared" si="2"/>
        <v>1</v>
      </c>
    </row>
    <row r="54" spans="1:11" x14ac:dyDescent="0.25">
      <c r="A54" s="5">
        <v>1747</v>
      </c>
      <c r="B54" s="3">
        <v>30</v>
      </c>
      <c r="C54" t="s">
        <v>32</v>
      </c>
      <c r="D54" t="s">
        <v>49</v>
      </c>
      <c r="E54" t="s">
        <v>52</v>
      </c>
      <c r="F54" t="s">
        <v>36</v>
      </c>
      <c r="G54" s="3">
        <v>1</v>
      </c>
      <c r="I54" t="str">
        <f t="shared" si="0"/>
        <v>25-34</v>
      </c>
      <c r="J54" t="str">
        <f t="shared" si="1"/>
        <v>Promoted in 1-3 years</v>
      </c>
      <c r="K54">
        <f t="shared" si="2"/>
        <v>1</v>
      </c>
    </row>
    <row r="55" spans="1:11" x14ac:dyDescent="0.25">
      <c r="A55" s="5">
        <v>1081</v>
      </c>
      <c r="B55" s="3">
        <v>51</v>
      </c>
      <c r="C55" t="s">
        <v>32</v>
      </c>
      <c r="D55" t="s">
        <v>35</v>
      </c>
      <c r="E55" t="s">
        <v>61</v>
      </c>
      <c r="F55" t="s">
        <v>50</v>
      </c>
      <c r="G55" s="3">
        <v>2</v>
      </c>
      <c r="I55" t="str">
        <f t="shared" si="0"/>
        <v>45-54</v>
      </c>
      <c r="J55" t="str">
        <f t="shared" si="1"/>
        <v>Promoted in 1-3 years</v>
      </c>
      <c r="K55">
        <f t="shared" si="2"/>
        <v>1</v>
      </c>
    </row>
    <row r="56" spans="1:11" x14ac:dyDescent="0.25">
      <c r="A56" s="5">
        <v>1038</v>
      </c>
      <c r="B56" s="3">
        <v>52</v>
      </c>
      <c r="C56" t="s">
        <v>32</v>
      </c>
      <c r="D56" t="s">
        <v>64</v>
      </c>
      <c r="E56" t="s">
        <v>61</v>
      </c>
      <c r="F56" t="s">
        <v>36</v>
      </c>
      <c r="G56" s="3">
        <v>6</v>
      </c>
      <c r="I56" t="str">
        <f t="shared" si="0"/>
        <v>45-54</v>
      </c>
      <c r="J56" t="str">
        <f t="shared" si="1"/>
        <v>Long Promotion gap</v>
      </c>
      <c r="K56">
        <f t="shared" si="2"/>
        <v>1</v>
      </c>
    </row>
    <row r="57" spans="1:11" x14ac:dyDescent="0.25">
      <c r="A57" s="5">
        <v>1277</v>
      </c>
      <c r="B57" s="3">
        <v>45</v>
      </c>
      <c r="C57" t="s">
        <v>32</v>
      </c>
      <c r="D57" t="s">
        <v>49</v>
      </c>
      <c r="E57" t="s">
        <v>41</v>
      </c>
      <c r="F57" t="s">
        <v>42</v>
      </c>
      <c r="G57" s="3">
        <v>1</v>
      </c>
      <c r="I57" t="str">
        <f t="shared" si="0"/>
        <v>45-54</v>
      </c>
      <c r="J57" t="str">
        <f t="shared" si="1"/>
        <v>Promoted in 1-3 years</v>
      </c>
      <c r="K57">
        <f t="shared" si="2"/>
        <v>1</v>
      </c>
    </row>
    <row r="58" spans="1:11" x14ac:dyDescent="0.25">
      <c r="A58" s="5">
        <v>667</v>
      </c>
      <c r="B58" s="3">
        <v>27</v>
      </c>
      <c r="C58" t="s">
        <v>32</v>
      </c>
      <c r="D58" t="s">
        <v>64</v>
      </c>
      <c r="E58" t="s">
        <v>52</v>
      </c>
      <c r="F58" t="s">
        <v>36</v>
      </c>
      <c r="G58" s="3">
        <v>0</v>
      </c>
      <c r="I58" t="str">
        <f t="shared" si="0"/>
        <v>25-34</v>
      </c>
      <c r="J58" t="str">
        <f t="shared" si="1"/>
        <v>Recently promoted</v>
      </c>
      <c r="K58">
        <f t="shared" si="2"/>
        <v>1</v>
      </c>
    </row>
    <row r="59" spans="1:11" x14ac:dyDescent="0.25">
      <c r="A59" s="5">
        <v>454</v>
      </c>
      <c r="B59" s="3">
        <v>29</v>
      </c>
      <c r="C59" t="s">
        <v>32</v>
      </c>
      <c r="D59" t="s">
        <v>35</v>
      </c>
      <c r="E59" t="s">
        <v>61</v>
      </c>
      <c r="F59" t="s">
        <v>42</v>
      </c>
      <c r="G59" s="3">
        <v>0</v>
      </c>
      <c r="I59" t="str">
        <f t="shared" si="0"/>
        <v>25-34</v>
      </c>
      <c r="J59" t="str">
        <f t="shared" si="1"/>
        <v>Recently promoted</v>
      </c>
      <c r="K59">
        <f t="shared" si="2"/>
        <v>1</v>
      </c>
    </row>
    <row r="60" spans="1:11" x14ac:dyDescent="0.25">
      <c r="A60" s="5">
        <v>1907</v>
      </c>
      <c r="B60" s="3">
        <v>56</v>
      </c>
      <c r="C60" t="s">
        <v>32</v>
      </c>
      <c r="D60" t="s">
        <v>67</v>
      </c>
      <c r="E60" t="s">
        <v>41</v>
      </c>
      <c r="F60" t="s">
        <v>42</v>
      </c>
      <c r="G60" s="3">
        <v>1</v>
      </c>
      <c r="I60" t="str">
        <f t="shared" si="0"/>
        <v>55-60</v>
      </c>
      <c r="J60" t="str">
        <f t="shared" si="1"/>
        <v>Promoted in 1-3 years</v>
      </c>
      <c r="K60">
        <f t="shared" si="2"/>
        <v>1</v>
      </c>
    </row>
    <row r="61" spans="1:11" x14ac:dyDescent="0.25">
      <c r="A61" s="5">
        <v>248</v>
      </c>
      <c r="B61" s="3">
        <v>41</v>
      </c>
      <c r="C61" t="s">
        <v>32</v>
      </c>
      <c r="D61" t="s">
        <v>67</v>
      </c>
      <c r="E61" t="s">
        <v>41</v>
      </c>
      <c r="F61" t="s">
        <v>42</v>
      </c>
      <c r="G61" s="3">
        <v>0</v>
      </c>
      <c r="I61" t="str">
        <f t="shared" si="0"/>
        <v>35-44</v>
      </c>
      <c r="J61" t="str">
        <f t="shared" si="1"/>
        <v>Recently promoted</v>
      </c>
      <c r="K61">
        <f t="shared" si="2"/>
        <v>1</v>
      </c>
    </row>
    <row r="62" spans="1:11" x14ac:dyDescent="0.25">
      <c r="A62" s="5">
        <v>328</v>
      </c>
      <c r="B62" s="3">
        <v>33</v>
      </c>
      <c r="C62" t="s">
        <v>32</v>
      </c>
      <c r="D62" t="s">
        <v>67</v>
      </c>
      <c r="E62" t="s">
        <v>61</v>
      </c>
      <c r="F62" t="s">
        <v>42</v>
      </c>
      <c r="G62" s="3">
        <v>1</v>
      </c>
      <c r="I62" t="str">
        <f t="shared" si="0"/>
        <v>25-34</v>
      </c>
      <c r="J62" t="str">
        <f t="shared" si="1"/>
        <v>Promoted in 1-3 years</v>
      </c>
      <c r="K62">
        <f t="shared" si="2"/>
        <v>1</v>
      </c>
    </row>
    <row r="63" spans="1:11" x14ac:dyDescent="0.25">
      <c r="A63" s="5">
        <v>31</v>
      </c>
      <c r="B63" s="3">
        <v>34</v>
      </c>
      <c r="C63" t="s">
        <v>32</v>
      </c>
      <c r="D63" t="s">
        <v>64</v>
      </c>
      <c r="E63" t="s">
        <v>41</v>
      </c>
      <c r="F63" t="s">
        <v>42</v>
      </c>
      <c r="G63" s="3">
        <v>1</v>
      </c>
      <c r="I63" t="str">
        <f t="shared" si="0"/>
        <v>25-34</v>
      </c>
      <c r="J63" t="str">
        <f t="shared" si="1"/>
        <v>Promoted in 1-3 years</v>
      </c>
      <c r="K63">
        <f t="shared" si="2"/>
        <v>1</v>
      </c>
    </row>
    <row r="64" spans="1:11" x14ac:dyDescent="0.25">
      <c r="A64" s="5">
        <v>631</v>
      </c>
      <c r="B64" s="3">
        <v>32</v>
      </c>
      <c r="C64" t="s">
        <v>32</v>
      </c>
      <c r="D64" t="s">
        <v>35</v>
      </c>
      <c r="E64" t="s">
        <v>61</v>
      </c>
      <c r="F64" t="s">
        <v>42</v>
      </c>
      <c r="G64" s="3">
        <v>1</v>
      </c>
      <c r="I64" t="str">
        <f t="shared" si="0"/>
        <v>25-34</v>
      </c>
      <c r="J64" t="str">
        <f t="shared" si="1"/>
        <v>Promoted in 1-3 years</v>
      </c>
      <c r="K64">
        <f t="shared" si="2"/>
        <v>1</v>
      </c>
    </row>
    <row r="65" spans="1:11" x14ac:dyDescent="0.25">
      <c r="A65" s="5">
        <v>1691</v>
      </c>
      <c r="B65" s="3">
        <v>48</v>
      </c>
      <c r="C65" t="s">
        <v>32</v>
      </c>
      <c r="D65" t="s">
        <v>67</v>
      </c>
      <c r="E65" t="s">
        <v>61</v>
      </c>
      <c r="F65" t="s">
        <v>53</v>
      </c>
      <c r="G65" s="3">
        <v>7</v>
      </c>
      <c r="I65" t="str">
        <f t="shared" si="0"/>
        <v>45-54</v>
      </c>
      <c r="J65" t="str">
        <f t="shared" si="1"/>
        <v>Long Promotion gap</v>
      </c>
      <c r="K65">
        <f t="shared" si="2"/>
        <v>1</v>
      </c>
    </row>
    <row r="66" spans="1:11" x14ac:dyDescent="0.25">
      <c r="A66" s="5">
        <v>1100</v>
      </c>
      <c r="B66" s="3">
        <v>35</v>
      </c>
      <c r="C66" t="s">
        <v>32</v>
      </c>
      <c r="D66" t="s">
        <v>49</v>
      </c>
      <c r="E66" t="s">
        <v>41</v>
      </c>
      <c r="F66" t="s">
        <v>42</v>
      </c>
      <c r="G66" s="3">
        <v>4</v>
      </c>
      <c r="I66" t="str">
        <f t="shared" si="0"/>
        <v>35-44</v>
      </c>
      <c r="J66" t="str">
        <f t="shared" si="1"/>
        <v>Long Promotion gap</v>
      </c>
      <c r="K66">
        <f t="shared" si="2"/>
        <v>1</v>
      </c>
    </row>
    <row r="67" spans="1:11" x14ac:dyDescent="0.25">
      <c r="A67" s="5">
        <v>1797</v>
      </c>
      <c r="B67" s="3">
        <v>35</v>
      </c>
      <c r="C67" t="s">
        <v>32</v>
      </c>
      <c r="D67" t="s">
        <v>49</v>
      </c>
      <c r="E67" t="s">
        <v>41</v>
      </c>
      <c r="F67" t="s">
        <v>42</v>
      </c>
      <c r="G67" s="3">
        <v>7</v>
      </c>
      <c r="I67" t="str">
        <f t="shared" ref="I67:I130" si="3">IF(B67&lt;=24, "18-24", IF(B67&lt;=34,"25-34", IF(B67&lt;=44,"35-44", IF(B67&lt;=54,"45-54", IF(B67&lt;=60, "55-60")))))</f>
        <v>35-44</v>
      </c>
      <c r="J67" t="str">
        <f t="shared" ref="J67:J130" si="4">IF(G67&lt;=0,"Recently promoted",IF(G67&lt;=3,"Promoted in 1-3 years","Long Promotion gap"))</f>
        <v>Long Promotion gap</v>
      </c>
      <c r="K67">
        <f t="shared" ref="K67:K130" si="5">IF(C67="Yes", 1, 0)</f>
        <v>1</v>
      </c>
    </row>
    <row r="68" spans="1:11" x14ac:dyDescent="0.25">
      <c r="A68" s="5">
        <v>582</v>
      </c>
      <c r="B68" s="3">
        <v>33</v>
      </c>
      <c r="C68" t="s">
        <v>32</v>
      </c>
      <c r="D68" t="s">
        <v>64</v>
      </c>
      <c r="E68" t="s">
        <v>61</v>
      </c>
      <c r="F68" t="s">
        <v>42</v>
      </c>
      <c r="G68" s="3">
        <v>3</v>
      </c>
      <c r="I68" t="str">
        <f t="shared" si="3"/>
        <v>25-34</v>
      </c>
      <c r="J68" t="str">
        <f t="shared" si="4"/>
        <v>Promoted in 1-3 years</v>
      </c>
      <c r="K68">
        <f t="shared" si="5"/>
        <v>1</v>
      </c>
    </row>
    <row r="69" spans="1:11" x14ac:dyDescent="0.25">
      <c r="A69" s="5">
        <v>1967</v>
      </c>
      <c r="B69" s="3">
        <v>31</v>
      </c>
      <c r="C69" t="s">
        <v>32</v>
      </c>
      <c r="D69" t="s">
        <v>35</v>
      </c>
      <c r="E69" t="s">
        <v>61</v>
      </c>
      <c r="F69" t="s">
        <v>42</v>
      </c>
      <c r="G69" s="3">
        <v>0</v>
      </c>
      <c r="I69" t="str">
        <f t="shared" si="3"/>
        <v>25-34</v>
      </c>
      <c r="J69" t="str">
        <f t="shared" si="4"/>
        <v>Recently promoted</v>
      </c>
      <c r="K69">
        <f t="shared" si="5"/>
        <v>1</v>
      </c>
    </row>
    <row r="70" spans="1:11" x14ac:dyDescent="0.25">
      <c r="A70" s="5">
        <v>118</v>
      </c>
      <c r="B70" s="3">
        <v>46</v>
      </c>
      <c r="C70" t="s">
        <v>32</v>
      </c>
      <c r="D70" t="s">
        <v>67</v>
      </c>
      <c r="E70" t="s">
        <v>41</v>
      </c>
      <c r="F70" t="s">
        <v>42</v>
      </c>
      <c r="G70" s="3">
        <v>4</v>
      </c>
      <c r="I70" t="str">
        <f t="shared" si="3"/>
        <v>45-54</v>
      </c>
      <c r="J70" t="str">
        <f t="shared" si="4"/>
        <v>Long Promotion gap</v>
      </c>
      <c r="K70">
        <f t="shared" si="5"/>
        <v>1</v>
      </c>
    </row>
    <row r="71" spans="1:11" x14ac:dyDescent="0.25">
      <c r="A71" s="5">
        <v>1082</v>
      </c>
      <c r="B71" s="3">
        <v>28</v>
      </c>
      <c r="C71" t="s">
        <v>32</v>
      </c>
      <c r="D71" t="s">
        <v>67</v>
      </c>
      <c r="E71" t="s">
        <v>41</v>
      </c>
      <c r="F71" t="s">
        <v>42</v>
      </c>
      <c r="G71" s="3">
        <v>1</v>
      </c>
      <c r="I71" t="str">
        <f t="shared" si="3"/>
        <v>25-34</v>
      </c>
      <c r="J71" t="str">
        <f t="shared" si="4"/>
        <v>Promoted in 1-3 years</v>
      </c>
      <c r="K71">
        <f t="shared" si="5"/>
        <v>1</v>
      </c>
    </row>
    <row r="72" spans="1:11" x14ac:dyDescent="0.25">
      <c r="A72" s="5">
        <v>1010</v>
      </c>
      <c r="B72" s="3">
        <v>35</v>
      </c>
      <c r="C72" t="s">
        <v>32</v>
      </c>
      <c r="D72" t="s">
        <v>35</v>
      </c>
      <c r="E72" t="s">
        <v>52</v>
      </c>
      <c r="F72" t="s">
        <v>36</v>
      </c>
      <c r="G72" s="3">
        <v>0</v>
      </c>
      <c r="I72" t="str">
        <f t="shared" si="3"/>
        <v>35-44</v>
      </c>
      <c r="J72" t="str">
        <f t="shared" si="4"/>
        <v>Recently promoted</v>
      </c>
      <c r="K72">
        <f t="shared" si="5"/>
        <v>1</v>
      </c>
    </row>
    <row r="73" spans="1:11" x14ac:dyDescent="0.25">
      <c r="A73" s="5">
        <v>1380</v>
      </c>
      <c r="B73" s="3">
        <v>35</v>
      </c>
      <c r="C73" t="s">
        <v>32</v>
      </c>
      <c r="D73" t="s">
        <v>35</v>
      </c>
      <c r="E73" t="s">
        <v>61</v>
      </c>
      <c r="F73" t="s">
        <v>36</v>
      </c>
      <c r="G73" s="3">
        <v>3</v>
      </c>
      <c r="I73" t="str">
        <f t="shared" si="3"/>
        <v>35-44</v>
      </c>
      <c r="J73" t="str">
        <f t="shared" si="4"/>
        <v>Promoted in 1-3 years</v>
      </c>
      <c r="K73">
        <f t="shared" si="5"/>
        <v>1</v>
      </c>
    </row>
    <row r="74" spans="1:11" x14ac:dyDescent="0.25">
      <c r="A74" s="5">
        <v>970</v>
      </c>
      <c r="B74" s="3">
        <v>37</v>
      </c>
      <c r="C74" t="s">
        <v>32</v>
      </c>
      <c r="D74" t="s">
        <v>35</v>
      </c>
      <c r="E74" t="s">
        <v>61</v>
      </c>
      <c r="F74" t="s">
        <v>42</v>
      </c>
      <c r="G74" s="3">
        <v>11</v>
      </c>
      <c r="I74" t="str">
        <f t="shared" si="3"/>
        <v>35-44</v>
      </c>
      <c r="J74" t="str">
        <f t="shared" si="4"/>
        <v>Long Promotion gap</v>
      </c>
      <c r="K74">
        <f t="shared" si="5"/>
        <v>1</v>
      </c>
    </row>
    <row r="75" spans="1:11" x14ac:dyDescent="0.25">
      <c r="A75" s="5">
        <v>1459</v>
      </c>
      <c r="B75" s="3">
        <v>31</v>
      </c>
      <c r="C75" t="s">
        <v>32</v>
      </c>
      <c r="D75" t="s">
        <v>70</v>
      </c>
      <c r="E75" t="s">
        <v>41</v>
      </c>
      <c r="F75" t="s">
        <v>42</v>
      </c>
      <c r="G75" s="3">
        <v>4</v>
      </c>
      <c r="I75" t="str">
        <f t="shared" si="3"/>
        <v>25-34</v>
      </c>
      <c r="J75" t="str">
        <f t="shared" si="4"/>
        <v>Long Promotion gap</v>
      </c>
      <c r="K75">
        <f t="shared" si="5"/>
        <v>1</v>
      </c>
    </row>
    <row r="76" spans="1:11" x14ac:dyDescent="0.25">
      <c r="A76" s="5">
        <v>283</v>
      </c>
      <c r="B76" s="3">
        <v>29</v>
      </c>
      <c r="C76" t="s">
        <v>32</v>
      </c>
      <c r="D76" t="s">
        <v>49</v>
      </c>
      <c r="E76" t="s">
        <v>61</v>
      </c>
      <c r="F76" t="s">
        <v>50</v>
      </c>
      <c r="G76" s="3">
        <v>1</v>
      </c>
      <c r="I76" t="str">
        <f t="shared" si="3"/>
        <v>25-34</v>
      </c>
      <c r="J76" t="str">
        <f t="shared" si="4"/>
        <v>Promoted in 1-3 years</v>
      </c>
      <c r="K76">
        <f t="shared" si="5"/>
        <v>1</v>
      </c>
    </row>
    <row r="77" spans="1:11" x14ac:dyDescent="0.25">
      <c r="A77" s="5">
        <v>584</v>
      </c>
      <c r="B77" s="3">
        <v>33</v>
      </c>
      <c r="C77" t="s">
        <v>32</v>
      </c>
      <c r="D77" t="s">
        <v>64</v>
      </c>
      <c r="E77" t="s">
        <v>52</v>
      </c>
      <c r="F77" t="s">
        <v>50</v>
      </c>
      <c r="G77" s="3">
        <v>1</v>
      </c>
      <c r="I77" t="str">
        <f t="shared" si="3"/>
        <v>25-34</v>
      </c>
      <c r="J77" t="str">
        <f t="shared" si="4"/>
        <v>Promoted in 1-3 years</v>
      </c>
      <c r="K77">
        <f t="shared" si="5"/>
        <v>1</v>
      </c>
    </row>
    <row r="78" spans="1:11" x14ac:dyDescent="0.25">
      <c r="A78" s="5">
        <v>179</v>
      </c>
      <c r="B78" s="3">
        <v>51</v>
      </c>
      <c r="C78" t="s">
        <v>32</v>
      </c>
      <c r="D78" t="s">
        <v>35</v>
      </c>
      <c r="E78" t="s">
        <v>41</v>
      </c>
      <c r="F78" t="s">
        <v>42</v>
      </c>
      <c r="G78" s="3">
        <v>0</v>
      </c>
      <c r="I78" t="str">
        <f t="shared" si="3"/>
        <v>45-54</v>
      </c>
      <c r="J78" t="str">
        <f t="shared" si="4"/>
        <v>Recently promoted</v>
      </c>
      <c r="K78">
        <f t="shared" si="5"/>
        <v>1</v>
      </c>
    </row>
    <row r="79" spans="1:11" x14ac:dyDescent="0.25">
      <c r="A79" s="5">
        <v>608</v>
      </c>
      <c r="B79" s="3">
        <v>26</v>
      </c>
      <c r="C79" t="s">
        <v>32</v>
      </c>
      <c r="D79" t="s">
        <v>35</v>
      </c>
      <c r="E79" t="s">
        <v>52</v>
      </c>
      <c r="F79" t="s">
        <v>36</v>
      </c>
      <c r="G79" s="3">
        <v>1</v>
      </c>
      <c r="I79" t="str">
        <f t="shared" si="3"/>
        <v>25-34</v>
      </c>
      <c r="J79" t="str">
        <f t="shared" si="4"/>
        <v>Promoted in 1-3 years</v>
      </c>
      <c r="K79">
        <f t="shared" si="5"/>
        <v>1</v>
      </c>
    </row>
    <row r="80" spans="1:11" x14ac:dyDescent="0.25">
      <c r="A80" s="5">
        <v>1960</v>
      </c>
      <c r="B80" s="3">
        <v>28</v>
      </c>
      <c r="C80" t="s">
        <v>32</v>
      </c>
      <c r="D80" t="s">
        <v>49</v>
      </c>
      <c r="E80" t="s">
        <v>52</v>
      </c>
      <c r="F80" t="s">
        <v>36</v>
      </c>
      <c r="G80" s="3">
        <v>0</v>
      </c>
      <c r="I80" t="str">
        <f t="shared" si="3"/>
        <v>25-34</v>
      </c>
      <c r="J80" t="str">
        <f t="shared" si="4"/>
        <v>Recently promoted</v>
      </c>
      <c r="K80">
        <f t="shared" si="5"/>
        <v>1</v>
      </c>
    </row>
    <row r="81" spans="1:11" x14ac:dyDescent="0.25">
      <c r="A81" s="5">
        <v>1639</v>
      </c>
      <c r="B81" s="3">
        <v>35</v>
      </c>
      <c r="C81" t="s">
        <v>32</v>
      </c>
      <c r="D81" t="s">
        <v>49</v>
      </c>
      <c r="E81" t="s">
        <v>61</v>
      </c>
      <c r="F81" t="s">
        <v>42</v>
      </c>
      <c r="G81" s="3">
        <v>6</v>
      </c>
      <c r="I81" t="str">
        <f t="shared" si="3"/>
        <v>35-44</v>
      </c>
      <c r="J81" t="str">
        <f t="shared" si="4"/>
        <v>Long Promotion gap</v>
      </c>
      <c r="K81">
        <f t="shared" si="5"/>
        <v>1</v>
      </c>
    </row>
    <row r="82" spans="1:11" x14ac:dyDescent="0.25">
      <c r="A82" s="5">
        <v>163</v>
      </c>
      <c r="B82" s="3">
        <v>31</v>
      </c>
      <c r="C82" t="s">
        <v>32</v>
      </c>
      <c r="D82" t="s">
        <v>35</v>
      </c>
      <c r="E82" t="s">
        <v>61</v>
      </c>
      <c r="F82" t="s">
        <v>42</v>
      </c>
      <c r="G82" s="3">
        <v>7</v>
      </c>
      <c r="I82" t="str">
        <f t="shared" si="3"/>
        <v>25-34</v>
      </c>
      <c r="J82" t="str">
        <f t="shared" si="4"/>
        <v>Long Promotion gap</v>
      </c>
      <c r="K82">
        <f t="shared" si="5"/>
        <v>1</v>
      </c>
    </row>
    <row r="83" spans="1:11" x14ac:dyDescent="0.25">
      <c r="A83" s="5">
        <v>440</v>
      </c>
      <c r="B83" s="3">
        <v>28</v>
      </c>
      <c r="C83" t="s">
        <v>32</v>
      </c>
      <c r="D83" t="s">
        <v>35</v>
      </c>
      <c r="E83" t="s">
        <v>61</v>
      </c>
      <c r="F83" t="s">
        <v>42</v>
      </c>
      <c r="G83" s="3">
        <v>2</v>
      </c>
      <c r="I83" t="str">
        <f t="shared" si="3"/>
        <v>25-34</v>
      </c>
      <c r="J83" t="str">
        <f t="shared" si="4"/>
        <v>Promoted in 1-3 years</v>
      </c>
      <c r="K83">
        <f t="shared" si="5"/>
        <v>1</v>
      </c>
    </row>
    <row r="84" spans="1:11" x14ac:dyDescent="0.25">
      <c r="A84" s="5">
        <v>650</v>
      </c>
      <c r="B84" s="3">
        <v>31</v>
      </c>
      <c r="C84" t="s">
        <v>32</v>
      </c>
      <c r="D84" t="s">
        <v>35</v>
      </c>
      <c r="E84" t="s">
        <v>52</v>
      </c>
      <c r="F84" t="s">
        <v>42</v>
      </c>
      <c r="G84" s="3">
        <v>1</v>
      </c>
      <c r="I84" t="str">
        <f t="shared" si="3"/>
        <v>25-34</v>
      </c>
      <c r="J84" t="str">
        <f t="shared" si="4"/>
        <v>Promoted in 1-3 years</v>
      </c>
      <c r="K84">
        <f t="shared" si="5"/>
        <v>1</v>
      </c>
    </row>
    <row r="85" spans="1:11" x14ac:dyDescent="0.25">
      <c r="A85" s="5">
        <v>991</v>
      </c>
      <c r="B85" s="3">
        <v>31</v>
      </c>
      <c r="C85" t="s">
        <v>32</v>
      </c>
      <c r="D85" t="s">
        <v>67</v>
      </c>
      <c r="E85" t="s">
        <v>41</v>
      </c>
      <c r="F85" t="s">
        <v>42</v>
      </c>
      <c r="G85" s="3">
        <v>1</v>
      </c>
      <c r="I85" t="str">
        <f t="shared" si="3"/>
        <v>25-34</v>
      </c>
      <c r="J85" t="str">
        <f t="shared" si="4"/>
        <v>Promoted in 1-3 years</v>
      </c>
      <c r="K85">
        <f t="shared" si="5"/>
        <v>1</v>
      </c>
    </row>
    <row r="86" spans="1:11" x14ac:dyDescent="0.25">
      <c r="A86" s="5">
        <v>1537</v>
      </c>
      <c r="B86" s="3">
        <v>31</v>
      </c>
      <c r="C86" t="s">
        <v>32</v>
      </c>
      <c r="D86" t="s">
        <v>49</v>
      </c>
      <c r="E86" t="s">
        <v>41</v>
      </c>
      <c r="F86" t="s">
        <v>42</v>
      </c>
      <c r="G86" s="3">
        <v>7</v>
      </c>
      <c r="I86" t="str">
        <f t="shared" si="3"/>
        <v>25-34</v>
      </c>
      <c r="J86" t="str">
        <f t="shared" si="4"/>
        <v>Long Promotion gap</v>
      </c>
      <c r="K86">
        <f t="shared" si="5"/>
        <v>1</v>
      </c>
    </row>
    <row r="87" spans="1:11" x14ac:dyDescent="0.25">
      <c r="A87" s="5">
        <v>19</v>
      </c>
      <c r="B87" s="3">
        <v>28</v>
      </c>
      <c r="C87" t="s">
        <v>32</v>
      </c>
      <c r="D87" t="s">
        <v>49</v>
      </c>
      <c r="E87" t="s">
        <v>41</v>
      </c>
      <c r="F87" t="s">
        <v>42</v>
      </c>
      <c r="G87" s="3">
        <v>0</v>
      </c>
      <c r="I87" t="str">
        <f t="shared" si="3"/>
        <v>25-34</v>
      </c>
      <c r="J87" t="str">
        <f t="shared" si="4"/>
        <v>Recently promoted</v>
      </c>
      <c r="K87">
        <f t="shared" si="5"/>
        <v>1</v>
      </c>
    </row>
    <row r="88" spans="1:11" x14ac:dyDescent="0.25">
      <c r="A88" s="5">
        <v>2055</v>
      </c>
      <c r="B88" s="3">
        <v>50</v>
      </c>
      <c r="C88" t="s">
        <v>32</v>
      </c>
      <c r="D88" t="s">
        <v>49</v>
      </c>
      <c r="E88" t="s">
        <v>52</v>
      </c>
      <c r="F88" t="s">
        <v>36</v>
      </c>
      <c r="G88" s="3">
        <v>2</v>
      </c>
      <c r="I88" t="str">
        <f t="shared" si="3"/>
        <v>45-54</v>
      </c>
      <c r="J88" t="str">
        <f t="shared" si="4"/>
        <v>Promoted in 1-3 years</v>
      </c>
      <c r="K88">
        <f t="shared" si="5"/>
        <v>1</v>
      </c>
    </row>
    <row r="89" spans="1:11" x14ac:dyDescent="0.25">
      <c r="A89" s="5">
        <v>1053</v>
      </c>
      <c r="B89" s="3">
        <v>26</v>
      </c>
      <c r="C89" t="s">
        <v>32</v>
      </c>
      <c r="D89" t="s">
        <v>49</v>
      </c>
      <c r="E89" t="s">
        <v>61</v>
      </c>
      <c r="F89" t="s">
        <v>36</v>
      </c>
      <c r="G89" s="3">
        <v>1</v>
      </c>
      <c r="I89" t="str">
        <f t="shared" si="3"/>
        <v>25-34</v>
      </c>
      <c r="J89" t="str">
        <f t="shared" si="4"/>
        <v>Promoted in 1-3 years</v>
      </c>
      <c r="K89">
        <f t="shared" si="5"/>
        <v>1</v>
      </c>
    </row>
    <row r="90" spans="1:11" x14ac:dyDescent="0.25">
      <c r="A90" s="5">
        <v>1319</v>
      </c>
      <c r="B90" s="3">
        <v>52</v>
      </c>
      <c r="C90" t="s">
        <v>32</v>
      </c>
      <c r="D90" t="s">
        <v>49</v>
      </c>
      <c r="E90" t="s">
        <v>41</v>
      </c>
      <c r="F90" t="s">
        <v>42</v>
      </c>
      <c r="G90" s="3">
        <v>7</v>
      </c>
      <c r="I90" t="str">
        <f t="shared" si="3"/>
        <v>45-54</v>
      </c>
      <c r="J90" t="str">
        <f t="shared" si="4"/>
        <v>Long Promotion gap</v>
      </c>
      <c r="K90">
        <f t="shared" si="5"/>
        <v>1</v>
      </c>
    </row>
    <row r="91" spans="1:11" x14ac:dyDescent="0.25">
      <c r="A91" s="5">
        <v>1309</v>
      </c>
      <c r="B91" s="3">
        <v>32</v>
      </c>
      <c r="C91" t="s">
        <v>32</v>
      </c>
      <c r="D91" t="s">
        <v>67</v>
      </c>
      <c r="E91" t="s">
        <v>61</v>
      </c>
      <c r="F91" t="s">
        <v>36</v>
      </c>
      <c r="G91" s="3">
        <v>1</v>
      </c>
      <c r="I91" t="str">
        <f t="shared" si="3"/>
        <v>25-34</v>
      </c>
      <c r="J91" t="str">
        <f t="shared" si="4"/>
        <v>Promoted in 1-3 years</v>
      </c>
      <c r="K91">
        <f t="shared" si="5"/>
        <v>1</v>
      </c>
    </row>
    <row r="92" spans="1:11" x14ac:dyDescent="0.25">
      <c r="A92" s="5">
        <v>1</v>
      </c>
      <c r="B92" s="3">
        <v>41</v>
      </c>
      <c r="C92" t="s">
        <v>32</v>
      </c>
      <c r="D92" t="s">
        <v>67</v>
      </c>
      <c r="E92" t="s">
        <v>41</v>
      </c>
      <c r="F92" t="s">
        <v>42</v>
      </c>
      <c r="G92" s="3">
        <v>0</v>
      </c>
      <c r="I92" t="str">
        <f t="shared" si="3"/>
        <v>35-44</v>
      </c>
      <c r="J92" t="str">
        <f t="shared" si="4"/>
        <v>Recently promoted</v>
      </c>
      <c r="K92">
        <f t="shared" si="5"/>
        <v>1</v>
      </c>
    </row>
    <row r="93" spans="1:11" x14ac:dyDescent="0.25">
      <c r="A93" s="5">
        <v>840</v>
      </c>
      <c r="B93" s="3">
        <v>49</v>
      </c>
      <c r="C93" t="s">
        <v>32</v>
      </c>
      <c r="D93" t="s">
        <v>49</v>
      </c>
      <c r="E93" t="s">
        <v>61</v>
      </c>
      <c r="F93" t="s">
        <v>53</v>
      </c>
      <c r="G93" s="3">
        <v>7</v>
      </c>
      <c r="I93" t="str">
        <f t="shared" si="3"/>
        <v>45-54</v>
      </c>
      <c r="J93" t="str">
        <f t="shared" si="4"/>
        <v>Long Promotion gap</v>
      </c>
      <c r="K93">
        <f t="shared" si="5"/>
        <v>1</v>
      </c>
    </row>
    <row r="94" spans="1:11" x14ac:dyDescent="0.25">
      <c r="A94" s="5">
        <v>1017</v>
      </c>
      <c r="B94" s="3">
        <v>30</v>
      </c>
      <c r="C94" t="s">
        <v>32</v>
      </c>
      <c r="D94" t="s">
        <v>49</v>
      </c>
      <c r="E94" t="s">
        <v>41</v>
      </c>
      <c r="F94" t="s">
        <v>42</v>
      </c>
      <c r="G94" s="3">
        <v>1</v>
      </c>
      <c r="I94" t="str">
        <f t="shared" si="3"/>
        <v>25-34</v>
      </c>
      <c r="J94" t="str">
        <f t="shared" si="4"/>
        <v>Promoted in 1-3 years</v>
      </c>
      <c r="K94">
        <f t="shared" si="5"/>
        <v>1</v>
      </c>
    </row>
    <row r="95" spans="1:11" x14ac:dyDescent="0.25">
      <c r="A95" s="5">
        <v>848</v>
      </c>
      <c r="B95" s="3">
        <v>26</v>
      </c>
      <c r="C95" t="s">
        <v>32</v>
      </c>
      <c r="D95" t="s">
        <v>67</v>
      </c>
      <c r="E95" t="s">
        <v>61</v>
      </c>
      <c r="F95" t="s">
        <v>36</v>
      </c>
      <c r="G95" s="3">
        <v>1</v>
      </c>
      <c r="I95" t="str">
        <f t="shared" si="3"/>
        <v>25-34</v>
      </c>
      <c r="J95" t="str">
        <f t="shared" si="4"/>
        <v>Promoted in 1-3 years</v>
      </c>
      <c r="K95">
        <f t="shared" si="5"/>
        <v>1</v>
      </c>
    </row>
    <row r="96" spans="1:11" x14ac:dyDescent="0.25">
      <c r="A96" s="5">
        <v>2044</v>
      </c>
      <c r="B96" s="3">
        <v>50</v>
      </c>
      <c r="C96" t="s">
        <v>32</v>
      </c>
      <c r="D96" t="s">
        <v>35</v>
      </c>
      <c r="E96" t="s">
        <v>52</v>
      </c>
      <c r="F96" t="s">
        <v>53</v>
      </c>
      <c r="G96" s="3">
        <v>0</v>
      </c>
      <c r="I96" t="str">
        <f t="shared" si="3"/>
        <v>45-54</v>
      </c>
      <c r="J96" t="str">
        <f t="shared" si="4"/>
        <v>Recently promoted</v>
      </c>
      <c r="K96">
        <f t="shared" si="5"/>
        <v>1</v>
      </c>
    </row>
    <row r="97" spans="1:11" x14ac:dyDescent="0.25">
      <c r="A97" s="5">
        <v>33</v>
      </c>
      <c r="B97" s="3">
        <v>32</v>
      </c>
      <c r="C97" t="s">
        <v>32</v>
      </c>
      <c r="D97" t="s">
        <v>49</v>
      </c>
      <c r="E97" t="s">
        <v>41</v>
      </c>
      <c r="F97" t="s">
        <v>42</v>
      </c>
      <c r="G97" s="3">
        <v>7</v>
      </c>
      <c r="I97" t="str">
        <f t="shared" si="3"/>
        <v>25-34</v>
      </c>
      <c r="J97" t="str">
        <f t="shared" si="4"/>
        <v>Long Promotion gap</v>
      </c>
      <c r="K97">
        <f t="shared" si="5"/>
        <v>1</v>
      </c>
    </row>
    <row r="98" spans="1:11" x14ac:dyDescent="0.25">
      <c r="A98" s="5">
        <v>376</v>
      </c>
      <c r="B98" s="3">
        <v>47</v>
      </c>
      <c r="C98" t="s">
        <v>32</v>
      </c>
      <c r="D98" t="s">
        <v>49</v>
      </c>
      <c r="E98" t="s">
        <v>41</v>
      </c>
      <c r="F98" t="s">
        <v>42</v>
      </c>
      <c r="G98" s="3">
        <v>13</v>
      </c>
      <c r="I98" t="str">
        <f t="shared" si="3"/>
        <v>45-54</v>
      </c>
      <c r="J98" t="str">
        <f t="shared" si="4"/>
        <v>Long Promotion gap</v>
      </c>
      <c r="K98">
        <f t="shared" si="5"/>
        <v>1</v>
      </c>
    </row>
    <row r="99" spans="1:11" x14ac:dyDescent="0.25">
      <c r="A99" s="5">
        <v>741</v>
      </c>
      <c r="B99" s="3">
        <v>28</v>
      </c>
      <c r="C99" t="s">
        <v>32</v>
      </c>
      <c r="D99" t="s">
        <v>64</v>
      </c>
      <c r="E99" t="s">
        <v>41</v>
      </c>
      <c r="F99" t="s">
        <v>42</v>
      </c>
      <c r="G99" s="3">
        <v>0</v>
      </c>
      <c r="I99" t="str">
        <f t="shared" si="3"/>
        <v>25-34</v>
      </c>
      <c r="J99" t="str">
        <f t="shared" si="4"/>
        <v>Recently promoted</v>
      </c>
      <c r="K99">
        <f t="shared" si="5"/>
        <v>1</v>
      </c>
    </row>
    <row r="100" spans="1:11" x14ac:dyDescent="0.25">
      <c r="A100" s="5">
        <v>819</v>
      </c>
      <c r="B100" s="3">
        <v>33</v>
      </c>
      <c r="C100" t="s">
        <v>32</v>
      </c>
      <c r="D100" t="s">
        <v>49</v>
      </c>
      <c r="E100" t="s">
        <v>61</v>
      </c>
      <c r="F100" t="s">
        <v>36</v>
      </c>
      <c r="G100" s="3">
        <v>1</v>
      </c>
      <c r="I100" t="str">
        <f t="shared" si="3"/>
        <v>25-34</v>
      </c>
      <c r="J100" t="str">
        <f t="shared" si="4"/>
        <v>Promoted in 1-3 years</v>
      </c>
      <c r="K100">
        <f t="shared" si="5"/>
        <v>1</v>
      </c>
    </row>
    <row r="101" spans="1:11" x14ac:dyDescent="0.25">
      <c r="A101" s="5">
        <v>394</v>
      </c>
      <c r="B101" s="3">
        <v>26</v>
      </c>
      <c r="C101" t="s">
        <v>32</v>
      </c>
      <c r="D101" t="s">
        <v>35</v>
      </c>
      <c r="E101" t="s">
        <v>52</v>
      </c>
      <c r="F101" t="s">
        <v>36</v>
      </c>
      <c r="G101" s="3">
        <v>0</v>
      </c>
      <c r="I101" t="str">
        <f t="shared" si="3"/>
        <v>25-34</v>
      </c>
      <c r="J101" t="str">
        <f t="shared" si="4"/>
        <v>Recently promoted</v>
      </c>
      <c r="K101">
        <f t="shared" si="5"/>
        <v>1</v>
      </c>
    </row>
    <row r="102" spans="1:11" x14ac:dyDescent="0.25">
      <c r="A102" s="5">
        <v>478</v>
      </c>
      <c r="B102" s="3">
        <v>21</v>
      </c>
      <c r="C102" t="s">
        <v>32</v>
      </c>
      <c r="D102" t="s">
        <v>64</v>
      </c>
      <c r="E102" t="s">
        <v>41</v>
      </c>
      <c r="F102" t="s">
        <v>42</v>
      </c>
      <c r="G102" s="3">
        <v>1</v>
      </c>
      <c r="I102" t="str">
        <f t="shared" si="3"/>
        <v>18-24</v>
      </c>
      <c r="J102" t="str">
        <f t="shared" si="4"/>
        <v>Promoted in 1-3 years</v>
      </c>
      <c r="K102">
        <f t="shared" si="5"/>
        <v>1</v>
      </c>
    </row>
    <row r="103" spans="1:11" x14ac:dyDescent="0.25">
      <c r="A103" s="5">
        <v>165</v>
      </c>
      <c r="B103" s="3">
        <v>58</v>
      </c>
      <c r="C103" t="s">
        <v>32</v>
      </c>
      <c r="D103" t="s">
        <v>49</v>
      </c>
      <c r="E103" t="s">
        <v>52</v>
      </c>
      <c r="F103" t="s">
        <v>50</v>
      </c>
      <c r="G103" s="3">
        <v>0</v>
      </c>
      <c r="I103" t="str">
        <f t="shared" si="3"/>
        <v>55-60</v>
      </c>
      <c r="J103" t="str">
        <f t="shared" si="4"/>
        <v>Recently promoted</v>
      </c>
      <c r="K103">
        <f t="shared" si="5"/>
        <v>1</v>
      </c>
    </row>
    <row r="104" spans="1:11" x14ac:dyDescent="0.25">
      <c r="A104" s="5">
        <v>47</v>
      </c>
      <c r="B104" s="3">
        <v>50</v>
      </c>
      <c r="C104" t="s">
        <v>32</v>
      </c>
      <c r="D104" t="s">
        <v>35</v>
      </c>
      <c r="E104" t="s">
        <v>52</v>
      </c>
      <c r="F104" t="s">
        <v>42</v>
      </c>
      <c r="G104" s="3">
        <v>0</v>
      </c>
      <c r="I104" t="str">
        <f t="shared" si="3"/>
        <v>45-54</v>
      </c>
      <c r="J104" t="str">
        <f t="shared" si="4"/>
        <v>Recently promoted</v>
      </c>
      <c r="K104">
        <f t="shared" si="5"/>
        <v>1</v>
      </c>
    </row>
    <row r="105" spans="1:11" x14ac:dyDescent="0.25">
      <c r="A105" s="5">
        <v>65</v>
      </c>
      <c r="B105" s="3">
        <v>28</v>
      </c>
      <c r="C105" t="s">
        <v>32</v>
      </c>
      <c r="D105" t="s">
        <v>67</v>
      </c>
      <c r="E105" t="s">
        <v>41</v>
      </c>
      <c r="F105" t="s">
        <v>42</v>
      </c>
      <c r="G105" s="3">
        <v>0</v>
      </c>
      <c r="I105" t="str">
        <f t="shared" si="3"/>
        <v>25-34</v>
      </c>
      <c r="J105" t="str">
        <f t="shared" si="4"/>
        <v>Recently promoted</v>
      </c>
      <c r="K105">
        <f t="shared" si="5"/>
        <v>1</v>
      </c>
    </row>
    <row r="106" spans="1:11" x14ac:dyDescent="0.25">
      <c r="A106" s="5">
        <v>590</v>
      </c>
      <c r="B106" s="3">
        <v>34</v>
      </c>
      <c r="C106" t="s">
        <v>32</v>
      </c>
      <c r="D106" t="s">
        <v>67</v>
      </c>
      <c r="E106" t="s">
        <v>41</v>
      </c>
      <c r="F106" t="s">
        <v>42</v>
      </c>
      <c r="G106" s="3">
        <v>3</v>
      </c>
      <c r="I106" t="str">
        <f t="shared" si="3"/>
        <v>25-34</v>
      </c>
      <c r="J106" t="str">
        <f t="shared" si="4"/>
        <v>Promoted in 1-3 years</v>
      </c>
      <c r="K106">
        <f t="shared" si="5"/>
        <v>1</v>
      </c>
    </row>
    <row r="107" spans="1:11" x14ac:dyDescent="0.25">
      <c r="A107" s="5">
        <v>488</v>
      </c>
      <c r="B107" s="3">
        <v>41</v>
      </c>
      <c r="C107" t="s">
        <v>32</v>
      </c>
      <c r="D107" t="s">
        <v>67</v>
      </c>
      <c r="E107" t="s">
        <v>61</v>
      </c>
      <c r="F107" t="s">
        <v>42</v>
      </c>
      <c r="G107" s="3">
        <v>2</v>
      </c>
      <c r="I107" t="str">
        <f t="shared" si="3"/>
        <v>35-44</v>
      </c>
      <c r="J107" t="str">
        <f t="shared" si="4"/>
        <v>Promoted in 1-3 years</v>
      </c>
      <c r="K107">
        <f t="shared" si="5"/>
        <v>1</v>
      </c>
    </row>
    <row r="108" spans="1:11" x14ac:dyDescent="0.25">
      <c r="A108" s="5">
        <v>133</v>
      </c>
      <c r="B108" s="3">
        <v>37</v>
      </c>
      <c r="C108" t="s">
        <v>32</v>
      </c>
      <c r="D108" t="s">
        <v>49</v>
      </c>
      <c r="E108" t="s">
        <v>52</v>
      </c>
      <c r="F108" t="s">
        <v>36</v>
      </c>
      <c r="G108" s="3">
        <v>0</v>
      </c>
      <c r="I108" t="str">
        <f t="shared" si="3"/>
        <v>35-44</v>
      </c>
      <c r="J108" t="str">
        <f t="shared" si="4"/>
        <v>Recently promoted</v>
      </c>
      <c r="K108">
        <f t="shared" si="5"/>
        <v>1</v>
      </c>
    </row>
    <row r="109" spans="1:11" x14ac:dyDescent="0.25">
      <c r="A109" s="5">
        <v>555</v>
      </c>
      <c r="B109" s="3">
        <v>34</v>
      </c>
      <c r="C109" t="s">
        <v>32</v>
      </c>
      <c r="D109" t="s">
        <v>49</v>
      </c>
      <c r="E109" t="s">
        <v>52</v>
      </c>
      <c r="F109" t="s">
        <v>50</v>
      </c>
      <c r="G109" s="3">
        <v>0</v>
      </c>
      <c r="I109" t="str">
        <f t="shared" si="3"/>
        <v>25-34</v>
      </c>
      <c r="J109" t="str">
        <f t="shared" si="4"/>
        <v>Recently promoted</v>
      </c>
      <c r="K109">
        <f t="shared" si="5"/>
        <v>1</v>
      </c>
    </row>
    <row r="110" spans="1:11" x14ac:dyDescent="0.25">
      <c r="A110" s="5">
        <v>720</v>
      </c>
      <c r="B110" s="3">
        <v>24</v>
      </c>
      <c r="C110" t="s">
        <v>32</v>
      </c>
      <c r="D110" t="s">
        <v>49</v>
      </c>
      <c r="E110" t="s">
        <v>61</v>
      </c>
      <c r="F110" t="s">
        <v>42</v>
      </c>
      <c r="G110" s="3">
        <v>1</v>
      </c>
      <c r="I110" t="str">
        <f t="shared" si="3"/>
        <v>18-24</v>
      </c>
      <c r="J110" t="str">
        <f t="shared" si="4"/>
        <v>Promoted in 1-3 years</v>
      </c>
      <c r="K110">
        <f t="shared" si="5"/>
        <v>1</v>
      </c>
    </row>
    <row r="111" spans="1:11" x14ac:dyDescent="0.25">
      <c r="A111" s="5">
        <v>881</v>
      </c>
      <c r="B111" s="3">
        <v>35</v>
      </c>
      <c r="C111" t="s">
        <v>32</v>
      </c>
      <c r="D111" t="s">
        <v>67</v>
      </c>
      <c r="E111" t="s">
        <v>41</v>
      </c>
      <c r="F111" t="s">
        <v>42</v>
      </c>
      <c r="G111" s="3">
        <v>0</v>
      </c>
      <c r="I111" t="str">
        <f t="shared" si="3"/>
        <v>35-44</v>
      </c>
      <c r="J111" t="str">
        <f t="shared" si="4"/>
        <v>Recently promoted</v>
      </c>
      <c r="K111">
        <f t="shared" si="5"/>
        <v>1</v>
      </c>
    </row>
    <row r="112" spans="1:11" x14ac:dyDescent="0.25">
      <c r="A112" s="5">
        <v>926</v>
      </c>
      <c r="B112" s="3">
        <v>22</v>
      </c>
      <c r="C112" t="s">
        <v>32</v>
      </c>
      <c r="D112" t="s">
        <v>64</v>
      </c>
      <c r="E112" t="s">
        <v>41</v>
      </c>
      <c r="F112" t="s">
        <v>42</v>
      </c>
      <c r="G112" s="3">
        <v>6</v>
      </c>
      <c r="I112" t="str">
        <f t="shared" si="3"/>
        <v>18-24</v>
      </c>
      <c r="J112" t="str">
        <f t="shared" si="4"/>
        <v>Long Promotion gap</v>
      </c>
      <c r="K112">
        <f t="shared" si="5"/>
        <v>1</v>
      </c>
    </row>
    <row r="113" spans="1:11" x14ac:dyDescent="0.25">
      <c r="A113" s="5">
        <v>932</v>
      </c>
      <c r="B113" s="3">
        <v>39</v>
      </c>
      <c r="C113" t="s">
        <v>32</v>
      </c>
      <c r="D113" t="s">
        <v>49</v>
      </c>
      <c r="E113" t="s">
        <v>41</v>
      </c>
      <c r="F113" t="s">
        <v>42</v>
      </c>
      <c r="G113" s="3">
        <v>0</v>
      </c>
      <c r="I113" t="str">
        <f t="shared" si="3"/>
        <v>35-44</v>
      </c>
      <c r="J113" t="str">
        <f t="shared" si="4"/>
        <v>Recently promoted</v>
      </c>
      <c r="K113">
        <f t="shared" si="5"/>
        <v>1</v>
      </c>
    </row>
    <row r="114" spans="1:11" x14ac:dyDescent="0.25">
      <c r="A114" s="5">
        <v>1439</v>
      </c>
      <c r="B114" s="3">
        <v>25</v>
      </c>
      <c r="C114" t="s">
        <v>32</v>
      </c>
      <c r="D114" t="s">
        <v>49</v>
      </c>
      <c r="E114" t="s">
        <v>61</v>
      </c>
      <c r="F114" t="s">
        <v>36</v>
      </c>
      <c r="G114" s="3">
        <v>6</v>
      </c>
      <c r="I114" t="str">
        <f t="shared" si="3"/>
        <v>25-34</v>
      </c>
      <c r="J114" t="str">
        <f t="shared" si="4"/>
        <v>Long Promotion gap</v>
      </c>
      <c r="K114">
        <f t="shared" si="5"/>
        <v>1</v>
      </c>
    </row>
    <row r="115" spans="1:11" x14ac:dyDescent="0.25">
      <c r="A115" s="5">
        <v>1037</v>
      </c>
      <c r="B115" s="3">
        <v>26</v>
      </c>
      <c r="C115" t="s">
        <v>32</v>
      </c>
      <c r="D115" t="s">
        <v>49</v>
      </c>
      <c r="E115" t="s">
        <v>41</v>
      </c>
      <c r="F115" t="s">
        <v>42</v>
      </c>
      <c r="G115" s="3">
        <v>2</v>
      </c>
      <c r="I115" t="str">
        <f t="shared" si="3"/>
        <v>25-34</v>
      </c>
      <c r="J115" t="str">
        <f t="shared" si="4"/>
        <v>Promoted in 1-3 years</v>
      </c>
      <c r="K115">
        <f t="shared" si="5"/>
        <v>1</v>
      </c>
    </row>
    <row r="116" spans="1:11" x14ac:dyDescent="0.25">
      <c r="A116" s="5">
        <v>1160</v>
      </c>
      <c r="B116" s="3">
        <v>31</v>
      </c>
      <c r="C116" t="s">
        <v>32</v>
      </c>
      <c r="D116" t="s">
        <v>67</v>
      </c>
      <c r="E116" t="s">
        <v>61</v>
      </c>
      <c r="F116" t="s">
        <v>42</v>
      </c>
      <c r="G116" s="3">
        <v>0</v>
      </c>
      <c r="I116" t="str">
        <f t="shared" si="3"/>
        <v>25-34</v>
      </c>
      <c r="J116" t="str">
        <f t="shared" si="4"/>
        <v>Recently promoted</v>
      </c>
      <c r="K116">
        <f t="shared" si="5"/>
        <v>1</v>
      </c>
    </row>
    <row r="117" spans="1:11" x14ac:dyDescent="0.25">
      <c r="A117" s="5">
        <v>896</v>
      </c>
      <c r="B117" s="3">
        <v>29</v>
      </c>
      <c r="C117" t="s">
        <v>32</v>
      </c>
      <c r="D117" t="s">
        <v>35</v>
      </c>
      <c r="E117" t="s">
        <v>52</v>
      </c>
      <c r="F117" t="s">
        <v>36</v>
      </c>
      <c r="G117" s="3">
        <v>7</v>
      </c>
      <c r="I117" t="str">
        <f t="shared" si="3"/>
        <v>25-34</v>
      </c>
      <c r="J117" t="str">
        <f t="shared" si="4"/>
        <v>Long Promotion gap</v>
      </c>
      <c r="K117">
        <f t="shared" si="5"/>
        <v>1</v>
      </c>
    </row>
    <row r="118" spans="1:11" x14ac:dyDescent="0.25">
      <c r="A118" s="5">
        <v>922</v>
      </c>
      <c r="B118" s="3">
        <v>20</v>
      </c>
      <c r="C118" t="s">
        <v>32</v>
      </c>
      <c r="D118" t="s">
        <v>64</v>
      </c>
      <c r="E118" t="s">
        <v>61</v>
      </c>
      <c r="F118" t="s">
        <v>36</v>
      </c>
      <c r="G118" s="3">
        <v>0</v>
      </c>
      <c r="I118" t="str">
        <f t="shared" si="3"/>
        <v>18-24</v>
      </c>
      <c r="J118" t="str">
        <f t="shared" si="4"/>
        <v>Recently promoted</v>
      </c>
      <c r="K118">
        <f t="shared" si="5"/>
        <v>1</v>
      </c>
    </row>
    <row r="119" spans="1:11" x14ac:dyDescent="0.25">
      <c r="A119" s="5">
        <v>1167</v>
      </c>
      <c r="B119" s="3">
        <v>42</v>
      </c>
      <c r="C119" t="s">
        <v>32</v>
      </c>
      <c r="D119" t="s">
        <v>35</v>
      </c>
      <c r="E119" t="s">
        <v>61</v>
      </c>
      <c r="F119" t="s">
        <v>36</v>
      </c>
      <c r="G119" s="3">
        <v>5</v>
      </c>
      <c r="I119" t="str">
        <f t="shared" si="3"/>
        <v>35-44</v>
      </c>
      <c r="J119" t="str">
        <f t="shared" si="4"/>
        <v>Long Promotion gap</v>
      </c>
      <c r="K119">
        <f t="shared" si="5"/>
        <v>1</v>
      </c>
    </row>
    <row r="120" spans="1:11" x14ac:dyDescent="0.25">
      <c r="A120" s="5">
        <v>1331</v>
      </c>
      <c r="B120" s="3">
        <v>31</v>
      </c>
      <c r="C120" t="s">
        <v>32</v>
      </c>
      <c r="D120" t="s">
        <v>67</v>
      </c>
      <c r="E120" t="s">
        <v>41</v>
      </c>
      <c r="F120" t="s">
        <v>42</v>
      </c>
      <c r="G120" s="3">
        <v>0</v>
      </c>
      <c r="I120" t="str">
        <f t="shared" si="3"/>
        <v>25-34</v>
      </c>
      <c r="J120" t="str">
        <f t="shared" si="4"/>
        <v>Recently promoted</v>
      </c>
      <c r="K120">
        <f t="shared" si="5"/>
        <v>1</v>
      </c>
    </row>
    <row r="121" spans="1:11" x14ac:dyDescent="0.25">
      <c r="A121" s="5">
        <v>1333</v>
      </c>
      <c r="B121" s="3">
        <v>44</v>
      </c>
      <c r="C121" t="s">
        <v>32</v>
      </c>
      <c r="D121" t="s">
        <v>49</v>
      </c>
      <c r="E121" t="s">
        <v>61</v>
      </c>
      <c r="F121" t="s">
        <v>42</v>
      </c>
      <c r="G121" s="3">
        <v>1</v>
      </c>
      <c r="I121" t="str">
        <f t="shared" si="3"/>
        <v>35-44</v>
      </c>
      <c r="J121" t="str">
        <f t="shared" si="4"/>
        <v>Promoted in 1-3 years</v>
      </c>
      <c r="K121">
        <f t="shared" si="5"/>
        <v>1</v>
      </c>
    </row>
    <row r="122" spans="1:11" x14ac:dyDescent="0.25">
      <c r="A122" s="5">
        <v>1156</v>
      </c>
      <c r="B122" s="3">
        <v>18</v>
      </c>
      <c r="C122" t="s">
        <v>32</v>
      </c>
      <c r="D122" t="s">
        <v>35</v>
      </c>
      <c r="E122" t="s">
        <v>41</v>
      </c>
      <c r="F122" t="s">
        <v>42</v>
      </c>
      <c r="G122" s="3">
        <v>3</v>
      </c>
      <c r="I122" t="str">
        <f t="shared" si="3"/>
        <v>18-24</v>
      </c>
      <c r="J122" t="str">
        <f t="shared" si="4"/>
        <v>Promoted in 1-3 years</v>
      </c>
      <c r="K122">
        <f t="shared" si="5"/>
        <v>1</v>
      </c>
    </row>
    <row r="123" spans="1:11" x14ac:dyDescent="0.25">
      <c r="A123" s="5">
        <v>1372</v>
      </c>
      <c r="B123" s="3">
        <v>55</v>
      </c>
      <c r="C123" t="s">
        <v>32</v>
      </c>
      <c r="D123" t="s">
        <v>35</v>
      </c>
      <c r="E123" t="s">
        <v>41</v>
      </c>
      <c r="F123" t="s">
        <v>42</v>
      </c>
      <c r="G123" s="3">
        <v>2</v>
      </c>
      <c r="I123" t="str">
        <f t="shared" si="3"/>
        <v>55-60</v>
      </c>
      <c r="J123" t="str">
        <f t="shared" si="4"/>
        <v>Promoted in 1-3 years</v>
      </c>
      <c r="K123">
        <f t="shared" si="5"/>
        <v>1</v>
      </c>
    </row>
    <row r="124" spans="1:11" x14ac:dyDescent="0.25">
      <c r="A124" s="5">
        <v>1405</v>
      </c>
      <c r="B124" s="3">
        <v>27</v>
      </c>
      <c r="C124" t="s">
        <v>32</v>
      </c>
      <c r="D124" t="s">
        <v>49</v>
      </c>
      <c r="E124" t="s">
        <v>41</v>
      </c>
      <c r="F124" t="s">
        <v>42</v>
      </c>
      <c r="G124" s="3">
        <v>0</v>
      </c>
      <c r="I124" t="str">
        <f t="shared" si="3"/>
        <v>25-34</v>
      </c>
      <c r="J124" t="str">
        <f t="shared" si="4"/>
        <v>Recently promoted</v>
      </c>
      <c r="K124">
        <f t="shared" si="5"/>
        <v>1</v>
      </c>
    </row>
    <row r="125" spans="1:11" x14ac:dyDescent="0.25">
      <c r="A125" s="5">
        <v>1467</v>
      </c>
      <c r="B125" s="3">
        <v>34</v>
      </c>
      <c r="C125" t="s">
        <v>32</v>
      </c>
      <c r="D125" t="s">
        <v>67</v>
      </c>
      <c r="E125" t="s">
        <v>61</v>
      </c>
      <c r="F125" t="s">
        <v>36</v>
      </c>
      <c r="G125" s="3">
        <v>3</v>
      </c>
      <c r="I125" t="str">
        <f t="shared" si="3"/>
        <v>25-34</v>
      </c>
      <c r="J125" t="str">
        <f t="shared" si="4"/>
        <v>Promoted in 1-3 years</v>
      </c>
      <c r="K125">
        <f t="shared" si="5"/>
        <v>1</v>
      </c>
    </row>
    <row r="126" spans="1:11" x14ac:dyDescent="0.25">
      <c r="A126" s="5">
        <v>1486</v>
      </c>
      <c r="B126" s="3">
        <v>28</v>
      </c>
      <c r="C126" t="s">
        <v>32</v>
      </c>
      <c r="D126" t="s">
        <v>67</v>
      </c>
      <c r="E126" t="s">
        <v>41</v>
      </c>
      <c r="F126" t="s">
        <v>42</v>
      </c>
      <c r="G126" s="3">
        <v>1</v>
      </c>
      <c r="I126" t="str">
        <f t="shared" si="3"/>
        <v>25-34</v>
      </c>
      <c r="J126" t="str">
        <f t="shared" si="4"/>
        <v>Promoted in 1-3 years</v>
      </c>
      <c r="K126">
        <f t="shared" si="5"/>
        <v>1</v>
      </c>
    </row>
    <row r="127" spans="1:11" x14ac:dyDescent="0.25">
      <c r="A127" s="5">
        <v>1504</v>
      </c>
      <c r="B127" s="3">
        <v>28</v>
      </c>
      <c r="C127" t="s">
        <v>32</v>
      </c>
      <c r="D127" t="s">
        <v>67</v>
      </c>
      <c r="E127" t="s">
        <v>41</v>
      </c>
      <c r="F127" t="s">
        <v>42</v>
      </c>
      <c r="G127" s="3">
        <v>2</v>
      </c>
      <c r="I127" t="str">
        <f t="shared" si="3"/>
        <v>25-34</v>
      </c>
      <c r="J127" t="str">
        <f t="shared" si="4"/>
        <v>Promoted in 1-3 years</v>
      </c>
      <c r="K127">
        <f t="shared" si="5"/>
        <v>1</v>
      </c>
    </row>
    <row r="128" spans="1:11" x14ac:dyDescent="0.25">
      <c r="A128" s="5">
        <v>1562</v>
      </c>
      <c r="B128" s="3">
        <v>30</v>
      </c>
      <c r="C128" t="s">
        <v>32</v>
      </c>
      <c r="D128" t="s">
        <v>35</v>
      </c>
      <c r="E128" t="s">
        <v>61</v>
      </c>
      <c r="F128" t="s">
        <v>50</v>
      </c>
      <c r="G128" s="3">
        <v>1</v>
      </c>
      <c r="I128" t="str">
        <f t="shared" si="3"/>
        <v>25-34</v>
      </c>
      <c r="J128" t="str">
        <f t="shared" si="4"/>
        <v>Promoted in 1-3 years</v>
      </c>
      <c r="K128">
        <f t="shared" si="5"/>
        <v>1</v>
      </c>
    </row>
    <row r="129" spans="1:11" x14ac:dyDescent="0.25">
      <c r="A129" s="5">
        <v>1624</v>
      </c>
      <c r="B129" s="3">
        <v>18</v>
      </c>
      <c r="C129" t="s">
        <v>32</v>
      </c>
      <c r="D129" t="s">
        <v>35</v>
      </c>
      <c r="E129" t="s">
        <v>61</v>
      </c>
      <c r="F129" t="s">
        <v>36</v>
      </c>
      <c r="G129" s="3">
        <v>9</v>
      </c>
      <c r="I129" t="str">
        <f t="shared" si="3"/>
        <v>18-24</v>
      </c>
      <c r="J129" t="str">
        <f t="shared" si="4"/>
        <v>Long Promotion gap</v>
      </c>
      <c r="K129">
        <f t="shared" si="5"/>
        <v>1</v>
      </c>
    </row>
    <row r="130" spans="1:11" x14ac:dyDescent="0.25">
      <c r="A130" s="5">
        <v>1649</v>
      </c>
      <c r="B130" s="3">
        <v>40</v>
      </c>
      <c r="C130" t="s">
        <v>32</v>
      </c>
      <c r="D130" t="s">
        <v>35</v>
      </c>
      <c r="E130" t="s">
        <v>61</v>
      </c>
      <c r="F130" t="s">
        <v>42</v>
      </c>
      <c r="G130" s="3">
        <v>2</v>
      </c>
      <c r="I130" t="str">
        <f t="shared" si="3"/>
        <v>35-44</v>
      </c>
      <c r="J130" t="str">
        <f t="shared" si="4"/>
        <v>Promoted in 1-3 years</v>
      </c>
      <c r="K130">
        <f t="shared" si="5"/>
        <v>1</v>
      </c>
    </row>
    <row r="131" spans="1:11" x14ac:dyDescent="0.25">
      <c r="A131" s="5">
        <v>1421</v>
      </c>
      <c r="B131" s="3">
        <v>29</v>
      </c>
      <c r="C131" t="s">
        <v>32</v>
      </c>
      <c r="D131" t="s">
        <v>49</v>
      </c>
      <c r="E131" t="s">
        <v>52</v>
      </c>
      <c r="F131" t="s">
        <v>50</v>
      </c>
      <c r="G131" s="3">
        <v>1</v>
      </c>
      <c r="I131" t="str">
        <f t="shared" ref="I131:I194" si="6">IF(B131&lt;=24, "18-24", IF(B131&lt;=34,"25-34", IF(B131&lt;=44,"35-44", IF(B131&lt;=54,"45-54", IF(B131&lt;=60, "55-60")))))</f>
        <v>25-34</v>
      </c>
      <c r="J131" t="str">
        <f t="shared" ref="J131:J194" si="7">IF(G131&lt;=0,"Recently promoted",IF(G131&lt;=3,"Promoted in 1-3 years","Long Promotion gap"))</f>
        <v>Promoted in 1-3 years</v>
      </c>
      <c r="K131">
        <f t="shared" ref="K131:K194" si="8">IF(C131="Yes", 1, 0)</f>
        <v>1</v>
      </c>
    </row>
    <row r="132" spans="1:11" x14ac:dyDescent="0.25">
      <c r="A132" s="5">
        <v>1702</v>
      </c>
      <c r="B132" s="3">
        <v>23</v>
      </c>
      <c r="C132" t="s">
        <v>32</v>
      </c>
      <c r="D132" t="s">
        <v>67</v>
      </c>
      <c r="E132" t="s">
        <v>52</v>
      </c>
      <c r="F132" t="s">
        <v>36</v>
      </c>
      <c r="G132" s="3">
        <v>1</v>
      </c>
      <c r="I132" t="str">
        <f t="shared" si="6"/>
        <v>18-24</v>
      </c>
      <c r="J132" t="str">
        <f t="shared" si="7"/>
        <v>Promoted in 1-3 years</v>
      </c>
      <c r="K132">
        <f t="shared" si="8"/>
        <v>1</v>
      </c>
    </row>
    <row r="133" spans="1:11" x14ac:dyDescent="0.25">
      <c r="A133" s="5">
        <v>1734</v>
      </c>
      <c r="B133" s="3">
        <v>32</v>
      </c>
      <c r="C133" t="s">
        <v>32</v>
      </c>
      <c r="D133" t="s">
        <v>67</v>
      </c>
      <c r="E133" t="s">
        <v>41</v>
      </c>
      <c r="F133" t="s">
        <v>42</v>
      </c>
      <c r="G133" s="3">
        <v>1</v>
      </c>
      <c r="I133" t="str">
        <f t="shared" si="6"/>
        <v>25-34</v>
      </c>
      <c r="J133" t="str">
        <f t="shared" si="7"/>
        <v>Promoted in 1-3 years</v>
      </c>
      <c r="K133">
        <f t="shared" si="8"/>
        <v>1</v>
      </c>
    </row>
    <row r="134" spans="1:11" x14ac:dyDescent="0.25">
      <c r="A134" s="5">
        <v>1758</v>
      </c>
      <c r="B134" s="3">
        <v>33</v>
      </c>
      <c r="C134" t="s">
        <v>32</v>
      </c>
      <c r="D134" t="s">
        <v>49</v>
      </c>
      <c r="E134" t="s">
        <v>41</v>
      </c>
      <c r="F134" t="s">
        <v>42</v>
      </c>
      <c r="G134" s="3">
        <v>0</v>
      </c>
      <c r="I134" t="str">
        <f t="shared" si="6"/>
        <v>25-34</v>
      </c>
      <c r="J134" t="str">
        <f t="shared" si="7"/>
        <v>Recently promoted</v>
      </c>
      <c r="K134">
        <f t="shared" si="8"/>
        <v>1</v>
      </c>
    </row>
    <row r="135" spans="1:11" x14ac:dyDescent="0.25">
      <c r="A135" s="5">
        <v>1844</v>
      </c>
      <c r="B135" s="3">
        <v>29</v>
      </c>
      <c r="C135" t="s">
        <v>32</v>
      </c>
      <c r="D135" t="s">
        <v>64</v>
      </c>
      <c r="E135" t="s">
        <v>41</v>
      </c>
      <c r="F135" t="s">
        <v>42</v>
      </c>
      <c r="G135" s="3">
        <v>7</v>
      </c>
      <c r="I135" t="str">
        <f t="shared" si="6"/>
        <v>25-34</v>
      </c>
      <c r="J135" t="str">
        <f t="shared" si="7"/>
        <v>Long Promotion gap</v>
      </c>
      <c r="K135">
        <f t="shared" si="8"/>
        <v>1</v>
      </c>
    </row>
    <row r="136" spans="1:11" x14ac:dyDescent="0.25">
      <c r="A136" s="5">
        <v>1821</v>
      </c>
      <c r="B136" s="3">
        <v>46</v>
      </c>
      <c r="C136" t="s">
        <v>32</v>
      </c>
      <c r="D136" t="s">
        <v>49</v>
      </c>
      <c r="E136" t="s">
        <v>61</v>
      </c>
      <c r="F136" t="s">
        <v>36</v>
      </c>
      <c r="G136" s="3">
        <v>1</v>
      </c>
      <c r="I136" t="str">
        <f t="shared" si="6"/>
        <v>45-54</v>
      </c>
      <c r="J136" t="str">
        <f t="shared" si="7"/>
        <v>Promoted in 1-3 years</v>
      </c>
      <c r="K136">
        <f t="shared" si="8"/>
        <v>1</v>
      </c>
    </row>
    <row r="137" spans="1:11" x14ac:dyDescent="0.25">
      <c r="A137" s="5">
        <v>1933</v>
      </c>
      <c r="B137" s="3">
        <v>28</v>
      </c>
      <c r="C137" t="s">
        <v>32</v>
      </c>
      <c r="D137" t="s">
        <v>35</v>
      </c>
      <c r="E137" t="s">
        <v>41</v>
      </c>
      <c r="F137" t="s">
        <v>42</v>
      </c>
      <c r="G137" s="3">
        <v>7</v>
      </c>
      <c r="I137" t="str">
        <f t="shared" si="6"/>
        <v>25-34</v>
      </c>
      <c r="J137" t="str">
        <f t="shared" si="7"/>
        <v>Long Promotion gap</v>
      </c>
      <c r="K137">
        <f t="shared" si="8"/>
        <v>1</v>
      </c>
    </row>
    <row r="138" spans="1:11" x14ac:dyDescent="0.25">
      <c r="A138" s="5">
        <v>2027</v>
      </c>
      <c r="B138" s="3">
        <v>29</v>
      </c>
      <c r="C138" t="s">
        <v>32</v>
      </c>
      <c r="D138" t="s">
        <v>49</v>
      </c>
      <c r="E138" t="s">
        <v>41</v>
      </c>
      <c r="F138" t="s">
        <v>42</v>
      </c>
      <c r="G138" s="3">
        <v>0</v>
      </c>
      <c r="I138" t="str">
        <f t="shared" si="6"/>
        <v>25-34</v>
      </c>
      <c r="J138" t="str">
        <f t="shared" si="7"/>
        <v>Recently promoted</v>
      </c>
      <c r="K138">
        <f t="shared" si="8"/>
        <v>1</v>
      </c>
    </row>
    <row r="139" spans="1:11" x14ac:dyDescent="0.25">
      <c r="A139" s="5">
        <v>752</v>
      </c>
      <c r="B139" s="3">
        <v>42</v>
      </c>
      <c r="C139" t="s">
        <v>32</v>
      </c>
      <c r="D139" t="s">
        <v>49</v>
      </c>
      <c r="E139" t="s">
        <v>52</v>
      </c>
      <c r="F139" t="s">
        <v>42</v>
      </c>
      <c r="G139" s="3">
        <v>2</v>
      </c>
      <c r="I139" t="str">
        <f t="shared" si="6"/>
        <v>35-44</v>
      </c>
      <c r="J139" t="str">
        <f t="shared" si="7"/>
        <v>Promoted in 1-3 years</v>
      </c>
      <c r="K139">
        <f t="shared" si="8"/>
        <v>1</v>
      </c>
    </row>
    <row r="140" spans="1:11" x14ac:dyDescent="0.25">
      <c r="A140" s="5">
        <v>593</v>
      </c>
      <c r="B140" s="3">
        <v>22</v>
      </c>
      <c r="C140" t="s">
        <v>32</v>
      </c>
      <c r="D140" t="s">
        <v>64</v>
      </c>
      <c r="E140" t="s">
        <v>41</v>
      </c>
      <c r="F140" t="s">
        <v>42</v>
      </c>
      <c r="G140" s="3">
        <v>1</v>
      </c>
      <c r="I140" t="str">
        <f t="shared" si="6"/>
        <v>18-24</v>
      </c>
      <c r="J140" t="str">
        <f t="shared" si="7"/>
        <v>Promoted in 1-3 years</v>
      </c>
      <c r="K140">
        <f t="shared" si="8"/>
        <v>1</v>
      </c>
    </row>
    <row r="141" spans="1:11" x14ac:dyDescent="0.25">
      <c r="A141" s="5">
        <v>1645</v>
      </c>
      <c r="B141" s="3">
        <v>35</v>
      </c>
      <c r="C141" t="s">
        <v>32</v>
      </c>
      <c r="D141" t="s">
        <v>67</v>
      </c>
      <c r="E141" t="s">
        <v>52</v>
      </c>
      <c r="F141" t="s">
        <v>53</v>
      </c>
      <c r="G141" s="3">
        <v>2</v>
      </c>
      <c r="I141" t="str">
        <f t="shared" si="6"/>
        <v>35-44</v>
      </c>
      <c r="J141" t="str">
        <f t="shared" si="7"/>
        <v>Promoted in 1-3 years</v>
      </c>
      <c r="K141">
        <f t="shared" si="8"/>
        <v>1</v>
      </c>
    </row>
    <row r="142" spans="1:11" x14ac:dyDescent="0.25">
      <c r="A142" s="5">
        <v>828</v>
      </c>
      <c r="B142" s="3">
        <v>28</v>
      </c>
      <c r="C142" t="s">
        <v>32</v>
      </c>
      <c r="D142" t="s">
        <v>35</v>
      </c>
      <c r="E142" t="s">
        <v>41</v>
      </c>
      <c r="F142" t="s">
        <v>42</v>
      </c>
      <c r="G142" s="3">
        <v>1</v>
      </c>
      <c r="I142" t="str">
        <f t="shared" si="6"/>
        <v>25-34</v>
      </c>
      <c r="J142" t="str">
        <f t="shared" si="7"/>
        <v>Promoted in 1-3 years</v>
      </c>
      <c r="K142">
        <f t="shared" si="8"/>
        <v>1</v>
      </c>
    </row>
    <row r="143" spans="1:11" x14ac:dyDescent="0.25">
      <c r="A143" s="5">
        <v>235</v>
      </c>
      <c r="B143" s="3">
        <v>19</v>
      </c>
      <c r="C143" t="s">
        <v>32</v>
      </c>
      <c r="D143" t="s">
        <v>64</v>
      </c>
      <c r="E143" t="s">
        <v>41</v>
      </c>
      <c r="F143" t="s">
        <v>42</v>
      </c>
      <c r="G143" s="3">
        <v>0</v>
      </c>
      <c r="I143" t="str">
        <f t="shared" si="6"/>
        <v>18-24</v>
      </c>
      <c r="J143" t="str">
        <f t="shared" si="7"/>
        <v>Recently promoted</v>
      </c>
      <c r="K143">
        <f t="shared" si="8"/>
        <v>1</v>
      </c>
    </row>
    <row r="144" spans="1:11" x14ac:dyDescent="0.25">
      <c r="A144" s="5">
        <v>1464</v>
      </c>
      <c r="B144" s="3">
        <v>31</v>
      </c>
      <c r="C144" t="s">
        <v>32</v>
      </c>
      <c r="D144" t="s">
        <v>49</v>
      </c>
      <c r="E144" t="s">
        <v>61</v>
      </c>
      <c r="F144" t="s">
        <v>36</v>
      </c>
      <c r="G144" s="3">
        <v>1</v>
      </c>
      <c r="I144" t="str">
        <f t="shared" si="6"/>
        <v>25-34</v>
      </c>
      <c r="J144" t="str">
        <f t="shared" si="7"/>
        <v>Promoted in 1-3 years</v>
      </c>
      <c r="K144">
        <f t="shared" si="8"/>
        <v>1</v>
      </c>
    </row>
    <row r="145" spans="1:11" x14ac:dyDescent="0.25">
      <c r="A145" s="5">
        <v>825</v>
      </c>
      <c r="B145" s="3">
        <v>58</v>
      </c>
      <c r="C145" t="s">
        <v>32</v>
      </c>
      <c r="D145" t="s">
        <v>35</v>
      </c>
      <c r="E145" t="s">
        <v>41</v>
      </c>
      <c r="F145" t="s">
        <v>42</v>
      </c>
      <c r="G145" s="3">
        <v>13</v>
      </c>
      <c r="I145" t="str">
        <f t="shared" si="6"/>
        <v>55-60</v>
      </c>
      <c r="J145" t="str">
        <f t="shared" si="7"/>
        <v>Long Promotion gap</v>
      </c>
      <c r="K145">
        <f t="shared" si="8"/>
        <v>1</v>
      </c>
    </row>
    <row r="146" spans="1:11" x14ac:dyDescent="0.25">
      <c r="A146" s="5">
        <v>927</v>
      </c>
      <c r="B146" s="3">
        <v>41</v>
      </c>
      <c r="C146" t="s">
        <v>32</v>
      </c>
      <c r="D146" t="s">
        <v>35</v>
      </c>
      <c r="E146" t="s">
        <v>52</v>
      </c>
      <c r="F146" t="s">
        <v>36</v>
      </c>
      <c r="G146" s="3">
        <v>1</v>
      </c>
      <c r="I146" t="str">
        <f t="shared" si="6"/>
        <v>35-44</v>
      </c>
      <c r="J146" t="str">
        <f t="shared" si="7"/>
        <v>Promoted in 1-3 years</v>
      </c>
      <c r="K146">
        <f t="shared" si="8"/>
        <v>1</v>
      </c>
    </row>
    <row r="147" spans="1:11" x14ac:dyDescent="0.25">
      <c r="A147" s="5">
        <v>1108</v>
      </c>
      <c r="B147" s="3">
        <v>33</v>
      </c>
      <c r="C147" t="s">
        <v>32</v>
      </c>
      <c r="D147" t="s">
        <v>49</v>
      </c>
      <c r="E147" t="s">
        <v>41</v>
      </c>
      <c r="F147" t="s">
        <v>42</v>
      </c>
      <c r="G147" s="3">
        <v>1</v>
      </c>
      <c r="I147" t="str">
        <f t="shared" si="6"/>
        <v>25-34</v>
      </c>
      <c r="J147" t="str">
        <f t="shared" si="7"/>
        <v>Promoted in 1-3 years</v>
      </c>
      <c r="K147">
        <f t="shared" si="8"/>
        <v>1</v>
      </c>
    </row>
    <row r="148" spans="1:11" x14ac:dyDescent="0.25">
      <c r="A148" s="5">
        <v>1077</v>
      </c>
      <c r="B148" s="3">
        <v>20</v>
      </c>
      <c r="C148" t="s">
        <v>32</v>
      </c>
      <c r="D148" t="s">
        <v>49</v>
      </c>
      <c r="E148" t="s">
        <v>41</v>
      </c>
      <c r="F148" t="s">
        <v>42</v>
      </c>
      <c r="G148" s="3">
        <v>0</v>
      </c>
      <c r="I148" t="str">
        <f t="shared" si="6"/>
        <v>18-24</v>
      </c>
      <c r="J148" t="str">
        <f t="shared" si="7"/>
        <v>Recently promoted</v>
      </c>
      <c r="K148">
        <f t="shared" si="8"/>
        <v>1</v>
      </c>
    </row>
    <row r="149" spans="1:11" x14ac:dyDescent="0.25">
      <c r="A149" s="5">
        <v>1752</v>
      </c>
      <c r="B149" s="3">
        <v>29</v>
      </c>
      <c r="C149" t="s">
        <v>32</v>
      </c>
      <c r="D149" t="s">
        <v>49</v>
      </c>
      <c r="E149" t="s">
        <v>41</v>
      </c>
      <c r="F149" t="s">
        <v>42</v>
      </c>
      <c r="G149" s="3">
        <v>2</v>
      </c>
      <c r="I149" t="str">
        <f t="shared" si="6"/>
        <v>25-34</v>
      </c>
      <c r="J149" t="str">
        <f t="shared" si="7"/>
        <v>Promoted in 1-3 years</v>
      </c>
      <c r="K149">
        <f t="shared" si="8"/>
        <v>1</v>
      </c>
    </row>
    <row r="150" spans="1:11" x14ac:dyDescent="0.25">
      <c r="A150" s="5">
        <v>565</v>
      </c>
      <c r="B150" s="3">
        <v>29</v>
      </c>
      <c r="C150" t="s">
        <v>32</v>
      </c>
      <c r="D150" t="s">
        <v>70</v>
      </c>
      <c r="E150" t="s">
        <v>61</v>
      </c>
      <c r="F150" t="s">
        <v>42</v>
      </c>
      <c r="G150" s="3">
        <v>1</v>
      </c>
      <c r="I150" t="str">
        <f t="shared" si="6"/>
        <v>25-34</v>
      </c>
      <c r="J150" t="str">
        <f t="shared" si="7"/>
        <v>Promoted in 1-3 years</v>
      </c>
      <c r="K150">
        <f t="shared" si="8"/>
        <v>1</v>
      </c>
    </row>
    <row r="151" spans="1:11" x14ac:dyDescent="0.25">
      <c r="A151" s="5">
        <v>1968</v>
      </c>
      <c r="B151" s="3">
        <v>53</v>
      </c>
      <c r="C151" t="s">
        <v>32</v>
      </c>
      <c r="D151" t="s">
        <v>35</v>
      </c>
      <c r="E151" t="s">
        <v>41</v>
      </c>
      <c r="F151" t="s">
        <v>42</v>
      </c>
      <c r="G151" s="3">
        <v>1</v>
      </c>
      <c r="I151" t="str">
        <f t="shared" si="6"/>
        <v>45-54</v>
      </c>
      <c r="J151" t="str">
        <f t="shared" si="7"/>
        <v>Promoted in 1-3 years</v>
      </c>
      <c r="K151">
        <f t="shared" si="8"/>
        <v>1</v>
      </c>
    </row>
    <row r="152" spans="1:11" x14ac:dyDescent="0.25">
      <c r="A152" s="5">
        <v>1175</v>
      </c>
      <c r="B152" s="3">
        <v>28</v>
      </c>
      <c r="C152" t="s">
        <v>32</v>
      </c>
      <c r="D152" t="s">
        <v>64</v>
      </c>
      <c r="E152" t="s">
        <v>61</v>
      </c>
      <c r="F152" t="s">
        <v>42</v>
      </c>
      <c r="G152" s="3">
        <v>0</v>
      </c>
      <c r="I152" t="str">
        <f t="shared" si="6"/>
        <v>25-34</v>
      </c>
      <c r="J152" t="str">
        <f t="shared" si="7"/>
        <v>Recently promoted</v>
      </c>
      <c r="K152">
        <f t="shared" si="8"/>
        <v>1</v>
      </c>
    </row>
    <row r="153" spans="1:11" x14ac:dyDescent="0.25">
      <c r="A153" s="5">
        <v>58</v>
      </c>
      <c r="B153" s="3">
        <v>41</v>
      </c>
      <c r="C153" t="s">
        <v>32</v>
      </c>
      <c r="D153" t="s">
        <v>49</v>
      </c>
      <c r="E153" t="s">
        <v>61</v>
      </c>
      <c r="F153" t="s">
        <v>42</v>
      </c>
      <c r="G153" s="3">
        <v>15</v>
      </c>
      <c r="I153" t="str">
        <f t="shared" si="6"/>
        <v>35-44</v>
      </c>
      <c r="J153" t="str">
        <f t="shared" si="7"/>
        <v>Long Promotion gap</v>
      </c>
      <c r="K153">
        <f t="shared" si="8"/>
        <v>1</v>
      </c>
    </row>
    <row r="154" spans="1:11" x14ac:dyDescent="0.25">
      <c r="A154" s="5">
        <v>405</v>
      </c>
      <c r="B154" s="3">
        <v>18</v>
      </c>
      <c r="C154" t="s">
        <v>32</v>
      </c>
      <c r="D154" t="s">
        <v>49</v>
      </c>
      <c r="E154" t="s">
        <v>41</v>
      </c>
      <c r="F154" t="s">
        <v>42</v>
      </c>
      <c r="G154" s="3">
        <v>0</v>
      </c>
      <c r="I154" t="str">
        <f t="shared" si="6"/>
        <v>18-24</v>
      </c>
      <c r="J154" t="str">
        <f t="shared" si="7"/>
        <v>Recently promoted</v>
      </c>
      <c r="K154">
        <f t="shared" si="8"/>
        <v>1</v>
      </c>
    </row>
    <row r="155" spans="1:11" x14ac:dyDescent="0.25">
      <c r="A155" s="5">
        <v>1279</v>
      </c>
      <c r="B155" s="3">
        <v>21</v>
      </c>
      <c r="C155" t="s">
        <v>32</v>
      </c>
      <c r="D155" t="s">
        <v>67</v>
      </c>
      <c r="E155" t="s">
        <v>41</v>
      </c>
      <c r="F155" t="s">
        <v>42</v>
      </c>
      <c r="G155" s="3">
        <v>2</v>
      </c>
      <c r="I155" t="str">
        <f t="shared" si="6"/>
        <v>18-24</v>
      </c>
      <c r="J155" t="str">
        <f t="shared" si="7"/>
        <v>Promoted in 1-3 years</v>
      </c>
      <c r="K155">
        <f t="shared" si="8"/>
        <v>1</v>
      </c>
    </row>
    <row r="156" spans="1:11" x14ac:dyDescent="0.25">
      <c r="A156" s="5">
        <v>45</v>
      </c>
      <c r="B156" s="3">
        <v>24</v>
      </c>
      <c r="C156" t="s">
        <v>32</v>
      </c>
      <c r="D156" t="s">
        <v>49</v>
      </c>
      <c r="E156" t="s">
        <v>61</v>
      </c>
      <c r="F156" t="s">
        <v>36</v>
      </c>
      <c r="G156" s="3">
        <v>1</v>
      </c>
      <c r="I156" t="str">
        <f t="shared" si="6"/>
        <v>18-24</v>
      </c>
      <c r="J156" t="str">
        <f t="shared" si="7"/>
        <v>Promoted in 1-3 years</v>
      </c>
      <c r="K156">
        <f t="shared" si="8"/>
        <v>1</v>
      </c>
    </row>
    <row r="157" spans="1:11" x14ac:dyDescent="0.25">
      <c r="A157" s="5">
        <v>1203</v>
      </c>
      <c r="B157" s="3">
        <v>22</v>
      </c>
      <c r="C157" t="s">
        <v>32</v>
      </c>
      <c r="D157" t="s">
        <v>35</v>
      </c>
      <c r="E157" t="s">
        <v>61</v>
      </c>
      <c r="F157" t="s">
        <v>36</v>
      </c>
      <c r="G157" s="3">
        <v>0</v>
      </c>
      <c r="I157" t="str">
        <f t="shared" si="6"/>
        <v>18-24</v>
      </c>
      <c r="J157" t="str">
        <f t="shared" si="7"/>
        <v>Recently promoted</v>
      </c>
      <c r="K157">
        <f t="shared" si="8"/>
        <v>1</v>
      </c>
    </row>
    <row r="158" spans="1:11" x14ac:dyDescent="0.25">
      <c r="A158" s="5">
        <v>1113</v>
      </c>
      <c r="B158" s="3">
        <v>50</v>
      </c>
      <c r="C158" t="s">
        <v>32</v>
      </c>
      <c r="D158" t="s">
        <v>35</v>
      </c>
      <c r="E158" t="s">
        <v>41</v>
      </c>
      <c r="F158" t="s">
        <v>42</v>
      </c>
      <c r="G158" s="3">
        <v>0</v>
      </c>
      <c r="I158" t="str">
        <f t="shared" si="6"/>
        <v>45-54</v>
      </c>
      <c r="J158" t="str">
        <f t="shared" si="7"/>
        <v>Recently promoted</v>
      </c>
      <c r="K158">
        <f t="shared" si="8"/>
        <v>1</v>
      </c>
    </row>
    <row r="159" spans="1:11" x14ac:dyDescent="0.25">
      <c r="A159" s="5">
        <v>1219</v>
      </c>
      <c r="B159" s="3">
        <v>24</v>
      </c>
      <c r="C159" t="s">
        <v>32</v>
      </c>
      <c r="D159" t="s">
        <v>67</v>
      </c>
      <c r="E159" t="s">
        <v>61</v>
      </c>
      <c r="F159" t="s">
        <v>36</v>
      </c>
      <c r="G159" s="3">
        <v>0</v>
      </c>
      <c r="I159" t="str">
        <f t="shared" si="6"/>
        <v>18-24</v>
      </c>
      <c r="J159" t="str">
        <f t="shared" si="7"/>
        <v>Recently promoted</v>
      </c>
      <c r="K159">
        <f t="shared" si="8"/>
        <v>1</v>
      </c>
    </row>
    <row r="160" spans="1:11" x14ac:dyDescent="0.25">
      <c r="A160" s="5">
        <v>175</v>
      </c>
      <c r="B160" s="3">
        <v>31</v>
      </c>
      <c r="C160" t="s">
        <v>32</v>
      </c>
      <c r="D160" t="s">
        <v>49</v>
      </c>
      <c r="E160" t="s">
        <v>61</v>
      </c>
      <c r="F160" t="s">
        <v>36</v>
      </c>
      <c r="G160" s="3">
        <v>2</v>
      </c>
      <c r="I160" t="str">
        <f t="shared" si="6"/>
        <v>25-34</v>
      </c>
      <c r="J160" t="str">
        <f t="shared" si="7"/>
        <v>Promoted in 1-3 years</v>
      </c>
      <c r="K160">
        <f t="shared" si="8"/>
        <v>1</v>
      </c>
    </row>
    <row r="161" spans="1:11" x14ac:dyDescent="0.25">
      <c r="A161" s="5">
        <v>538</v>
      </c>
      <c r="B161" s="3">
        <v>25</v>
      </c>
      <c r="C161" t="s">
        <v>32</v>
      </c>
      <c r="D161" t="s">
        <v>49</v>
      </c>
      <c r="E161" t="s">
        <v>61</v>
      </c>
      <c r="F161" t="s">
        <v>36</v>
      </c>
      <c r="G161" s="3">
        <v>0</v>
      </c>
      <c r="I161" t="str">
        <f t="shared" si="6"/>
        <v>25-34</v>
      </c>
      <c r="J161" t="str">
        <f t="shared" si="7"/>
        <v>Recently promoted</v>
      </c>
      <c r="K161">
        <f t="shared" si="8"/>
        <v>1</v>
      </c>
    </row>
    <row r="162" spans="1:11" x14ac:dyDescent="0.25">
      <c r="A162" s="5">
        <v>1733</v>
      </c>
      <c r="B162" s="3">
        <v>36</v>
      </c>
      <c r="C162" t="s">
        <v>32</v>
      </c>
      <c r="D162" t="s">
        <v>70</v>
      </c>
      <c r="E162" t="s">
        <v>52</v>
      </c>
      <c r="F162" t="s">
        <v>50</v>
      </c>
      <c r="G162" s="3">
        <v>2</v>
      </c>
      <c r="I162" t="str">
        <f t="shared" si="6"/>
        <v>35-44</v>
      </c>
      <c r="J162" t="str">
        <f t="shared" si="7"/>
        <v>Promoted in 1-3 years</v>
      </c>
      <c r="K162">
        <f t="shared" si="8"/>
        <v>1</v>
      </c>
    </row>
    <row r="163" spans="1:11" x14ac:dyDescent="0.25">
      <c r="A163" s="5">
        <v>1862</v>
      </c>
      <c r="B163" s="3">
        <v>32</v>
      </c>
      <c r="C163" t="s">
        <v>32</v>
      </c>
      <c r="D163" t="s">
        <v>35</v>
      </c>
      <c r="E163" t="s">
        <v>41</v>
      </c>
      <c r="F163" t="s">
        <v>42</v>
      </c>
      <c r="G163" s="3">
        <v>2</v>
      </c>
      <c r="I163" t="str">
        <f t="shared" si="6"/>
        <v>25-34</v>
      </c>
      <c r="J163" t="str">
        <f t="shared" si="7"/>
        <v>Promoted in 1-3 years</v>
      </c>
      <c r="K163">
        <f t="shared" si="8"/>
        <v>1</v>
      </c>
    </row>
    <row r="164" spans="1:11" x14ac:dyDescent="0.25">
      <c r="A164" s="5">
        <v>1667</v>
      </c>
      <c r="B164" s="3">
        <v>35</v>
      </c>
      <c r="C164" t="s">
        <v>32</v>
      </c>
      <c r="D164" t="s">
        <v>35</v>
      </c>
      <c r="E164" t="s">
        <v>41</v>
      </c>
      <c r="F164" t="s">
        <v>42</v>
      </c>
      <c r="G164" s="3">
        <v>6</v>
      </c>
      <c r="I164" t="str">
        <f t="shared" si="6"/>
        <v>35-44</v>
      </c>
      <c r="J164" t="str">
        <f t="shared" si="7"/>
        <v>Long Promotion gap</v>
      </c>
      <c r="K164">
        <f t="shared" si="8"/>
        <v>1</v>
      </c>
    </row>
    <row r="165" spans="1:11" x14ac:dyDescent="0.25">
      <c r="A165" s="5">
        <v>1944</v>
      </c>
      <c r="B165" s="3">
        <v>27</v>
      </c>
      <c r="C165" t="s">
        <v>32</v>
      </c>
      <c r="D165" t="s">
        <v>49</v>
      </c>
      <c r="E165" t="s">
        <v>61</v>
      </c>
      <c r="F165" t="s">
        <v>42</v>
      </c>
      <c r="G165" s="3">
        <v>0</v>
      </c>
      <c r="I165" t="str">
        <f t="shared" si="6"/>
        <v>25-34</v>
      </c>
      <c r="J165" t="str">
        <f t="shared" si="7"/>
        <v>Recently promoted</v>
      </c>
      <c r="K165">
        <f t="shared" si="8"/>
        <v>1</v>
      </c>
    </row>
    <row r="166" spans="1:11" x14ac:dyDescent="0.25">
      <c r="A166" s="5">
        <v>331</v>
      </c>
      <c r="B166" s="3">
        <v>32</v>
      </c>
      <c r="C166" t="s">
        <v>32</v>
      </c>
      <c r="D166" t="s">
        <v>49</v>
      </c>
      <c r="E166" t="s">
        <v>41</v>
      </c>
      <c r="F166" t="s">
        <v>42</v>
      </c>
      <c r="G166" s="3">
        <v>1</v>
      </c>
      <c r="I166" t="str">
        <f t="shared" si="6"/>
        <v>25-34</v>
      </c>
      <c r="J166" t="str">
        <f t="shared" si="7"/>
        <v>Promoted in 1-3 years</v>
      </c>
      <c r="K166">
        <f t="shared" si="8"/>
        <v>1</v>
      </c>
    </row>
    <row r="167" spans="1:11" x14ac:dyDescent="0.25">
      <c r="A167" s="5">
        <v>1604</v>
      </c>
      <c r="B167" s="3">
        <v>28</v>
      </c>
      <c r="C167" t="s">
        <v>32</v>
      </c>
      <c r="D167" t="s">
        <v>49</v>
      </c>
      <c r="E167" t="s">
        <v>61</v>
      </c>
      <c r="F167" t="s">
        <v>50</v>
      </c>
      <c r="G167" s="3">
        <v>0</v>
      </c>
      <c r="I167" t="str">
        <f t="shared" si="6"/>
        <v>25-34</v>
      </c>
      <c r="J167" t="str">
        <f t="shared" si="7"/>
        <v>Recently promoted</v>
      </c>
      <c r="K167">
        <f t="shared" si="8"/>
        <v>1</v>
      </c>
    </row>
    <row r="168" spans="1:11" x14ac:dyDescent="0.25">
      <c r="A168" s="5">
        <v>1098</v>
      </c>
      <c r="B168" s="3">
        <v>44</v>
      </c>
      <c r="C168" t="s">
        <v>32</v>
      </c>
      <c r="D168" t="s">
        <v>67</v>
      </c>
      <c r="E168" t="s">
        <v>61</v>
      </c>
      <c r="F168" t="s">
        <v>36</v>
      </c>
      <c r="G168" s="3">
        <v>3</v>
      </c>
      <c r="I168" t="str">
        <f t="shared" si="6"/>
        <v>35-44</v>
      </c>
      <c r="J168" t="str">
        <f t="shared" si="7"/>
        <v>Promoted in 1-3 years</v>
      </c>
      <c r="K168">
        <f t="shared" si="8"/>
        <v>1</v>
      </c>
    </row>
    <row r="169" spans="1:11" x14ac:dyDescent="0.25">
      <c r="A169" s="5">
        <v>977</v>
      </c>
      <c r="B169" s="3">
        <v>58</v>
      </c>
      <c r="C169" t="s">
        <v>32</v>
      </c>
      <c r="D169" t="s">
        <v>49</v>
      </c>
      <c r="E169" t="s">
        <v>41</v>
      </c>
      <c r="F169" t="s">
        <v>42</v>
      </c>
      <c r="G169" s="3">
        <v>0</v>
      </c>
      <c r="I169" t="str">
        <f t="shared" si="6"/>
        <v>55-60</v>
      </c>
      <c r="J169" t="str">
        <f t="shared" si="7"/>
        <v>Recently promoted</v>
      </c>
      <c r="K169">
        <f t="shared" si="8"/>
        <v>1</v>
      </c>
    </row>
    <row r="170" spans="1:11" x14ac:dyDescent="0.25">
      <c r="A170" s="5">
        <v>1052</v>
      </c>
      <c r="B170" s="3">
        <v>36</v>
      </c>
      <c r="C170" t="s">
        <v>32</v>
      </c>
      <c r="D170" t="s">
        <v>49</v>
      </c>
      <c r="E170" t="s">
        <v>52</v>
      </c>
      <c r="F170" t="s">
        <v>36</v>
      </c>
      <c r="G170" s="3">
        <v>0</v>
      </c>
      <c r="I170" t="str">
        <f t="shared" si="6"/>
        <v>35-44</v>
      </c>
      <c r="J170" t="str">
        <f t="shared" si="7"/>
        <v>Recently promoted</v>
      </c>
      <c r="K170">
        <f t="shared" si="8"/>
        <v>1</v>
      </c>
    </row>
    <row r="171" spans="1:11" x14ac:dyDescent="0.25">
      <c r="A171" s="5">
        <v>1427</v>
      </c>
      <c r="B171" s="3">
        <v>31</v>
      </c>
      <c r="C171" t="s">
        <v>32</v>
      </c>
      <c r="D171" t="s">
        <v>35</v>
      </c>
      <c r="E171" t="s">
        <v>41</v>
      </c>
      <c r="F171" t="s">
        <v>42</v>
      </c>
      <c r="G171" s="3">
        <v>0</v>
      </c>
      <c r="I171" t="str">
        <f t="shared" si="6"/>
        <v>25-34</v>
      </c>
      <c r="J171" t="str">
        <f t="shared" si="7"/>
        <v>Recently promoted</v>
      </c>
      <c r="K171">
        <f t="shared" si="8"/>
        <v>1</v>
      </c>
    </row>
    <row r="172" spans="1:11" x14ac:dyDescent="0.25">
      <c r="A172" s="5">
        <v>723</v>
      </c>
      <c r="B172" s="3">
        <v>50</v>
      </c>
      <c r="C172" t="s">
        <v>32</v>
      </c>
      <c r="D172" t="s">
        <v>67</v>
      </c>
      <c r="E172" t="s">
        <v>61</v>
      </c>
      <c r="F172" t="s">
        <v>36</v>
      </c>
      <c r="G172" s="3">
        <v>1</v>
      </c>
      <c r="I172" t="str">
        <f t="shared" si="6"/>
        <v>45-54</v>
      </c>
      <c r="J172" t="str">
        <f t="shared" si="7"/>
        <v>Promoted in 1-3 years</v>
      </c>
      <c r="K172">
        <f t="shared" si="8"/>
        <v>1</v>
      </c>
    </row>
    <row r="173" spans="1:11" x14ac:dyDescent="0.25">
      <c r="A173" s="5">
        <v>701</v>
      </c>
      <c r="B173" s="3">
        <v>20</v>
      </c>
      <c r="C173" t="s">
        <v>32</v>
      </c>
      <c r="D173" t="s">
        <v>64</v>
      </c>
      <c r="E173" t="s">
        <v>41</v>
      </c>
      <c r="F173" t="s">
        <v>42</v>
      </c>
      <c r="G173" s="3">
        <v>0</v>
      </c>
      <c r="I173" t="str">
        <f t="shared" si="6"/>
        <v>18-24</v>
      </c>
      <c r="J173" t="str">
        <f t="shared" si="7"/>
        <v>Recently promoted</v>
      </c>
      <c r="K173">
        <f t="shared" si="8"/>
        <v>1</v>
      </c>
    </row>
    <row r="174" spans="1:11" x14ac:dyDescent="0.25">
      <c r="A174" s="5">
        <v>923</v>
      </c>
      <c r="B174" s="3">
        <v>21</v>
      </c>
      <c r="C174" t="s">
        <v>32</v>
      </c>
      <c r="D174" t="s">
        <v>64</v>
      </c>
      <c r="E174" t="s">
        <v>41</v>
      </c>
      <c r="F174" t="s">
        <v>42</v>
      </c>
      <c r="G174" s="3">
        <v>0</v>
      </c>
      <c r="I174" t="str">
        <f t="shared" si="6"/>
        <v>18-24</v>
      </c>
      <c r="J174" t="str">
        <f t="shared" si="7"/>
        <v>Recently promoted</v>
      </c>
      <c r="K174">
        <f t="shared" si="8"/>
        <v>1</v>
      </c>
    </row>
    <row r="175" spans="1:11" x14ac:dyDescent="0.25">
      <c r="A175" s="5">
        <v>1458</v>
      </c>
      <c r="B175" s="3">
        <v>39</v>
      </c>
      <c r="C175" t="s">
        <v>32</v>
      </c>
      <c r="D175" t="s">
        <v>49</v>
      </c>
      <c r="E175" t="s">
        <v>41</v>
      </c>
      <c r="F175" t="s">
        <v>42</v>
      </c>
      <c r="G175" s="3">
        <v>0</v>
      </c>
      <c r="I175" t="str">
        <f t="shared" si="6"/>
        <v>35-44</v>
      </c>
      <c r="J175" t="str">
        <f t="shared" si="7"/>
        <v>Recently promoted</v>
      </c>
      <c r="K175">
        <f t="shared" si="8"/>
        <v>1</v>
      </c>
    </row>
    <row r="176" spans="1:11" x14ac:dyDescent="0.25">
      <c r="A176" s="5">
        <v>1494</v>
      </c>
      <c r="B176" s="3">
        <v>24</v>
      </c>
      <c r="C176" t="s">
        <v>32</v>
      </c>
      <c r="D176" t="s">
        <v>49</v>
      </c>
      <c r="E176" t="s">
        <v>41</v>
      </c>
      <c r="F176" t="s">
        <v>42</v>
      </c>
      <c r="G176" s="3">
        <v>0</v>
      </c>
      <c r="I176" t="str">
        <f t="shared" si="6"/>
        <v>18-24</v>
      </c>
      <c r="J176" t="str">
        <f t="shared" si="7"/>
        <v>Recently promoted</v>
      </c>
      <c r="K176">
        <f t="shared" si="8"/>
        <v>1</v>
      </c>
    </row>
    <row r="177" spans="1:11" x14ac:dyDescent="0.25">
      <c r="A177" s="5">
        <v>42</v>
      </c>
      <c r="B177" s="3">
        <v>39</v>
      </c>
      <c r="C177" t="s">
        <v>32</v>
      </c>
      <c r="D177" t="s">
        <v>49</v>
      </c>
      <c r="E177" t="s">
        <v>61</v>
      </c>
      <c r="F177" t="s">
        <v>36</v>
      </c>
      <c r="G177" s="3">
        <v>0</v>
      </c>
      <c r="I177" t="str">
        <f t="shared" si="6"/>
        <v>35-44</v>
      </c>
      <c r="J177" t="str">
        <f t="shared" si="7"/>
        <v>Recently promoted</v>
      </c>
      <c r="K177">
        <f t="shared" si="8"/>
        <v>1</v>
      </c>
    </row>
    <row r="178" spans="1:11" x14ac:dyDescent="0.25">
      <c r="A178" s="5">
        <v>1716</v>
      </c>
      <c r="B178" s="3">
        <v>47</v>
      </c>
      <c r="C178" t="s">
        <v>32</v>
      </c>
      <c r="D178" t="s">
        <v>49</v>
      </c>
      <c r="E178" t="s">
        <v>61</v>
      </c>
      <c r="F178" t="s">
        <v>42</v>
      </c>
      <c r="G178" s="3">
        <v>14</v>
      </c>
      <c r="I178" t="str">
        <f t="shared" si="6"/>
        <v>45-54</v>
      </c>
      <c r="J178" t="str">
        <f t="shared" si="7"/>
        <v>Long Promotion gap</v>
      </c>
      <c r="K178">
        <f t="shared" si="8"/>
        <v>1</v>
      </c>
    </row>
    <row r="179" spans="1:11" x14ac:dyDescent="0.25">
      <c r="A179" s="5">
        <v>2023</v>
      </c>
      <c r="B179" s="3">
        <v>23</v>
      </c>
      <c r="C179" t="s">
        <v>32</v>
      </c>
      <c r="D179" t="s">
        <v>49</v>
      </c>
      <c r="E179" t="s">
        <v>61</v>
      </c>
      <c r="F179" t="s">
        <v>36</v>
      </c>
      <c r="G179" s="3">
        <v>1</v>
      </c>
      <c r="I179" t="str">
        <f t="shared" si="6"/>
        <v>18-24</v>
      </c>
      <c r="J179" t="str">
        <f t="shared" si="7"/>
        <v>Promoted in 1-3 years</v>
      </c>
      <c r="K179">
        <f t="shared" si="8"/>
        <v>1</v>
      </c>
    </row>
    <row r="180" spans="1:11" x14ac:dyDescent="0.25">
      <c r="A180" s="5">
        <v>986</v>
      </c>
      <c r="B180" s="3">
        <v>40</v>
      </c>
      <c r="C180" t="s">
        <v>32</v>
      </c>
      <c r="D180" t="s">
        <v>49</v>
      </c>
      <c r="E180" t="s">
        <v>41</v>
      </c>
      <c r="F180" t="s">
        <v>42</v>
      </c>
      <c r="G180" s="3">
        <v>0</v>
      </c>
      <c r="I180" t="str">
        <f t="shared" si="6"/>
        <v>35-44</v>
      </c>
      <c r="J180" t="str">
        <f t="shared" si="7"/>
        <v>Recently promoted</v>
      </c>
      <c r="K180">
        <f t="shared" si="8"/>
        <v>1</v>
      </c>
    </row>
    <row r="181" spans="1:11" x14ac:dyDescent="0.25">
      <c r="A181" s="5">
        <v>1761</v>
      </c>
      <c r="B181" s="3">
        <v>31</v>
      </c>
      <c r="C181" t="s">
        <v>32</v>
      </c>
      <c r="D181" t="s">
        <v>35</v>
      </c>
      <c r="E181" t="s">
        <v>61</v>
      </c>
      <c r="F181" t="s">
        <v>50</v>
      </c>
      <c r="G181" s="3">
        <v>0</v>
      </c>
      <c r="I181" t="str">
        <f t="shared" si="6"/>
        <v>25-34</v>
      </c>
      <c r="J181" t="str">
        <f t="shared" si="7"/>
        <v>Recently promoted</v>
      </c>
      <c r="K181">
        <f t="shared" si="8"/>
        <v>1</v>
      </c>
    </row>
    <row r="182" spans="1:11" x14ac:dyDescent="0.25">
      <c r="A182" s="5">
        <v>1360</v>
      </c>
      <c r="B182" s="3">
        <v>58</v>
      </c>
      <c r="C182" t="s">
        <v>32</v>
      </c>
      <c r="D182" t="s">
        <v>35</v>
      </c>
      <c r="E182" t="s">
        <v>61</v>
      </c>
      <c r="F182" t="s">
        <v>42</v>
      </c>
      <c r="G182" s="3">
        <v>5</v>
      </c>
      <c r="I182" t="str">
        <f t="shared" si="6"/>
        <v>55-60</v>
      </c>
      <c r="J182" t="str">
        <f t="shared" si="7"/>
        <v>Long Promotion gap</v>
      </c>
      <c r="K182">
        <f t="shared" si="8"/>
        <v>1</v>
      </c>
    </row>
    <row r="183" spans="1:11" x14ac:dyDescent="0.25">
      <c r="A183" s="5">
        <v>684</v>
      </c>
      <c r="B183" s="3">
        <v>45</v>
      </c>
      <c r="C183" t="s">
        <v>32</v>
      </c>
      <c r="D183" t="s">
        <v>35</v>
      </c>
      <c r="E183" t="s">
        <v>61</v>
      </c>
      <c r="F183" t="s">
        <v>53</v>
      </c>
      <c r="G183" s="3">
        <v>0</v>
      </c>
      <c r="I183" t="str">
        <f t="shared" si="6"/>
        <v>45-54</v>
      </c>
      <c r="J183" t="str">
        <f t="shared" si="7"/>
        <v>Recently promoted</v>
      </c>
      <c r="K183">
        <f t="shared" si="8"/>
        <v>1</v>
      </c>
    </row>
    <row r="184" spans="1:11" x14ac:dyDescent="0.25">
      <c r="A184" s="5">
        <v>1572</v>
      </c>
      <c r="B184" s="3">
        <v>53</v>
      </c>
      <c r="C184" t="s">
        <v>32</v>
      </c>
      <c r="D184" t="s">
        <v>70</v>
      </c>
      <c r="E184" t="s">
        <v>61</v>
      </c>
      <c r="F184" t="s">
        <v>36</v>
      </c>
      <c r="G184" s="3">
        <v>1</v>
      </c>
      <c r="I184" t="str">
        <f t="shared" si="6"/>
        <v>45-54</v>
      </c>
      <c r="J184" t="str">
        <f t="shared" si="7"/>
        <v>Promoted in 1-3 years</v>
      </c>
      <c r="K184">
        <f t="shared" si="8"/>
        <v>1</v>
      </c>
    </row>
    <row r="185" spans="1:11" x14ac:dyDescent="0.25">
      <c r="A185" s="5">
        <v>1273</v>
      </c>
      <c r="B185" s="3">
        <v>25</v>
      </c>
      <c r="C185" t="s">
        <v>32</v>
      </c>
      <c r="D185" t="s">
        <v>64</v>
      </c>
      <c r="E185" t="s">
        <v>41</v>
      </c>
      <c r="F185" t="s">
        <v>42</v>
      </c>
      <c r="G185" s="3">
        <v>1</v>
      </c>
      <c r="I185" t="str">
        <f t="shared" si="6"/>
        <v>25-34</v>
      </c>
      <c r="J185" t="str">
        <f t="shared" si="7"/>
        <v>Promoted in 1-3 years</v>
      </c>
      <c r="K185">
        <f t="shared" si="8"/>
        <v>1</v>
      </c>
    </row>
    <row r="186" spans="1:11" x14ac:dyDescent="0.25">
      <c r="A186" s="5">
        <v>587</v>
      </c>
      <c r="B186" s="3">
        <v>31</v>
      </c>
      <c r="C186" t="s">
        <v>32</v>
      </c>
      <c r="D186" t="s">
        <v>49</v>
      </c>
      <c r="E186" t="s">
        <v>61</v>
      </c>
      <c r="F186" t="s">
        <v>42</v>
      </c>
      <c r="G186" s="3">
        <v>0</v>
      </c>
      <c r="I186" t="str">
        <f t="shared" si="6"/>
        <v>25-34</v>
      </c>
      <c r="J186" t="str">
        <f t="shared" si="7"/>
        <v>Recently promoted</v>
      </c>
      <c r="K186">
        <f t="shared" si="8"/>
        <v>1</v>
      </c>
    </row>
    <row r="187" spans="1:11" x14ac:dyDescent="0.25">
      <c r="A187" s="5">
        <v>494</v>
      </c>
      <c r="B187" s="3">
        <v>21</v>
      </c>
      <c r="C187" t="s">
        <v>32</v>
      </c>
      <c r="D187" t="s">
        <v>49</v>
      </c>
      <c r="E187" t="s">
        <v>41</v>
      </c>
      <c r="F187" t="s">
        <v>42</v>
      </c>
      <c r="G187" s="3">
        <v>0</v>
      </c>
      <c r="I187" t="str">
        <f t="shared" si="6"/>
        <v>18-24</v>
      </c>
      <c r="J187" t="str">
        <f t="shared" si="7"/>
        <v>Recently promoted</v>
      </c>
      <c r="K187">
        <f t="shared" si="8"/>
        <v>1</v>
      </c>
    </row>
    <row r="188" spans="1:11" x14ac:dyDescent="0.25">
      <c r="A188" s="5">
        <v>952</v>
      </c>
      <c r="B188" s="3">
        <v>25</v>
      </c>
      <c r="C188" t="s">
        <v>32</v>
      </c>
      <c r="D188" t="s">
        <v>67</v>
      </c>
      <c r="E188" t="s">
        <v>61</v>
      </c>
      <c r="F188" t="s">
        <v>50</v>
      </c>
      <c r="G188" s="3">
        <v>0</v>
      </c>
      <c r="I188" t="str">
        <f t="shared" si="6"/>
        <v>25-34</v>
      </c>
      <c r="J188" t="str">
        <f t="shared" si="7"/>
        <v>Recently promoted</v>
      </c>
      <c r="K188">
        <f t="shared" si="8"/>
        <v>1</v>
      </c>
    </row>
    <row r="189" spans="1:11" x14ac:dyDescent="0.25">
      <c r="A189" s="5">
        <v>1165</v>
      </c>
      <c r="B189" s="3">
        <v>29</v>
      </c>
      <c r="C189" t="s">
        <v>32</v>
      </c>
      <c r="D189" t="s">
        <v>64</v>
      </c>
      <c r="E189" t="s">
        <v>61</v>
      </c>
      <c r="F189" t="s">
        <v>36</v>
      </c>
      <c r="G189" s="3">
        <v>3</v>
      </c>
      <c r="I189" t="str">
        <f t="shared" si="6"/>
        <v>25-34</v>
      </c>
      <c r="J189" t="str">
        <f t="shared" si="7"/>
        <v>Promoted in 1-3 years</v>
      </c>
      <c r="K189">
        <f t="shared" si="8"/>
        <v>1</v>
      </c>
    </row>
    <row r="190" spans="1:11" x14ac:dyDescent="0.25">
      <c r="A190" s="5">
        <v>1079</v>
      </c>
      <c r="B190" s="3">
        <v>21</v>
      </c>
      <c r="C190" t="s">
        <v>32</v>
      </c>
      <c r="D190" t="s">
        <v>49</v>
      </c>
      <c r="E190" t="s">
        <v>41</v>
      </c>
      <c r="F190" t="s">
        <v>42</v>
      </c>
      <c r="G190" s="3">
        <v>0</v>
      </c>
      <c r="I190" t="str">
        <f t="shared" si="6"/>
        <v>18-24</v>
      </c>
      <c r="J190" t="str">
        <f t="shared" si="7"/>
        <v>Recently promoted</v>
      </c>
      <c r="K190">
        <f t="shared" si="8"/>
        <v>1</v>
      </c>
    </row>
    <row r="191" spans="1:11" x14ac:dyDescent="0.25">
      <c r="A191" s="5">
        <v>1107</v>
      </c>
      <c r="B191" s="3">
        <v>26</v>
      </c>
      <c r="C191" t="s">
        <v>32</v>
      </c>
      <c r="D191" t="s">
        <v>49</v>
      </c>
      <c r="E191" t="s">
        <v>52</v>
      </c>
      <c r="F191" t="s">
        <v>36</v>
      </c>
      <c r="G191" s="3">
        <v>0</v>
      </c>
      <c r="I191" t="str">
        <f t="shared" si="6"/>
        <v>25-34</v>
      </c>
      <c r="J191" t="str">
        <f t="shared" si="7"/>
        <v>Recently promoted</v>
      </c>
      <c r="K191">
        <f t="shared" si="8"/>
        <v>1</v>
      </c>
    </row>
    <row r="192" spans="1:11" x14ac:dyDescent="0.25">
      <c r="A192" s="5">
        <v>959</v>
      </c>
      <c r="B192" s="3">
        <v>19</v>
      </c>
      <c r="C192" t="s">
        <v>32</v>
      </c>
      <c r="D192" t="s">
        <v>49</v>
      </c>
      <c r="E192" t="s">
        <v>41</v>
      </c>
      <c r="F192" t="s">
        <v>42</v>
      </c>
      <c r="G192" s="3">
        <v>0</v>
      </c>
      <c r="I192" t="str">
        <f t="shared" si="6"/>
        <v>18-24</v>
      </c>
      <c r="J192" t="str">
        <f t="shared" si="7"/>
        <v>Recently promoted</v>
      </c>
      <c r="K192">
        <f t="shared" si="8"/>
        <v>1</v>
      </c>
    </row>
    <row r="193" spans="1:11" x14ac:dyDescent="0.25">
      <c r="A193" s="5">
        <v>702</v>
      </c>
      <c r="B193" s="3">
        <v>33</v>
      </c>
      <c r="C193" t="s">
        <v>32</v>
      </c>
      <c r="D193" t="s">
        <v>49</v>
      </c>
      <c r="E193" t="s">
        <v>41</v>
      </c>
      <c r="F193" t="s">
        <v>42</v>
      </c>
      <c r="G193" s="3">
        <v>9</v>
      </c>
      <c r="I193" t="str">
        <f t="shared" si="6"/>
        <v>25-34</v>
      </c>
      <c r="J193" t="str">
        <f t="shared" si="7"/>
        <v>Long Promotion gap</v>
      </c>
      <c r="K193">
        <f t="shared" si="8"/>
        <v>1</v>
      </c>
    </row>
    <row r="194" spans="1:11" x14ac:dyDescent="0.25">
      <c r="A194" s="5">
        <v>445</v>
      </c>
      <c r="B194" s="3">
        <v>39</v>
      </c>
      <c r="C194" t="s">
        <v>32</v>
      </c>
      <c r="D194" t="s">
        <v>67</v>
      </c>
      <c r="E194" t="s">
        <v>61</v>
      </c>
      <c r="F194" t="s">
        <v>42</v>
      </c>
      <c r="G194" s="3">
        <v>0</v>
      </c>
      <c r="I194" t="str">
        <f t="shared" si="6"/>
        <v>35-44</v>
      </c>
      <c r="J194" t="str">
        <f t="shared" si="7"/>
        <v>Recently promoted</v>
      </c>
      <c r="K194">
        <f t="shared" si="8"/>
        <v>1</v>
      </c>
    </row>
    <row r="195" spans="1:11" x14ac:dyDescent="0.25">
      <c r="A195" s="5">
        <v>1928</v>
      </c>
      <c r="B195" s="3">
        <v>29</v>
      </c>
      <c r="C195" t="s">
        <v>32</v>
      </c>
      <c r="D195" t="s">
        <v>49</v>
      </c>
      <c r="E195" t="s">
        <v>41</v>
      </c>
      <c r="F195" t="s">
        <v>42</v>
      </c>
      <c r="G195" s="3">
        <v>0</v>
      </c>
      <c r="I195" t="str">
        <f t="shared" ref="I195:I258" si="9">IF(B195&lt;=24, "18-24", IF(B195&lt;=34,"25-34", IF(B195&lt;=44,"35-44", IF(B195&lt;=54,"45-54", IF(B195&lt;=60, "55-60")))))</f>
        <v>25-34</v>
      </c>
      <c r="J195" t="str">
        <f t="shared" ref="J195:J258" si="10">IF(G195&lt;=0,"Recently promoted",IF(G195&lt;=3,"Promoted in 1-3 years","Long Promotion gap"))</f>
        <v>Recently promoted</v>
      </c>
      <c r="K195">
        <f t="shared" ref="K195:K258" si="11">IF(C195="Yes", 1, 0)</f>
        <v>1</v>
      </c>
    </row>
    <row r="196" spans="1:11" x14ac:dyDescent="0.25">
      <c r="A196" s="5">
        <v>282</v>
      </c>
      <c r="B196" s="3">
        <v>38</v>
      </c>
      <c r="C196" t="s">
        <v>32</v>
      </c>
      <c r="D196" t="s">
        <v>64</v>
      </c>
      <c r="E196" t="s">
        <v>61</v>
      </c>
      <c r="F196" t="s">
        <v>42</v>
      </c>
      <c r="G196" s="3">
        <v>0</v>
      </c>
      <c r="I196" t="str">
        <f t="shared" si="9"/>
        <v>35-44</v>
      </c>
      <c r="J196" t="str">
        <f t="shared" si="10"/>
        <v>Recently promoted</v>
      </c>
      <c r="K196">
        <f t="shared" si="11"/>
        <v>1</v>
      </c>
    </row>
    <row r="197" spans="1:11" x14ac:dyDescent="0.25">
      <c r="A197" s="5">
        <v>137</v>
      </c>
      <c r="B197" s="3">
        <v>20</v>
      </c>
      <c r="C197" t="s">
        <v>32</v>
      </c>
      <c r="D197" t="s">
        <v>49</v>
      </c>
      <c r="E197" t="s">
        <v>41</v>
      </c>
      <c r="F197" t="s">
        <v>42</v>
      </c>
      <c r="G197" s="3">
        <v>0</v>
      </c>
      <c r="I197" t="str">
        <f t="shared" si="9"/>
        <v>18-24</v>
      </c>
      <c r="J197" t="str">
        <f t="shared" si="10"/>
        <v>Recently promoted</v>
      </c>
      <c r="K197">
        <f t="shared" si="11"/>
        <v>1</v>
      </c>
    </row>
    <row r="198" spans="1:11" x14ac:dyDescent="0.25">
      <c r="A198" s="5">
        <v>780</v>
      </c>
      <c r="B198" s="3">
        <v>33</v>
      </c>
      <c r="C198" t="s">
        <v>32</v>
      </c>
      <c r="D198" t="s">
        <v>35</v>
      </c>
      <c r="E198" t="s">
        <v>41</v>
      </c>
      <c r="F198" t="s">
        <v>42</v>
      </c>
      <c r="G198" s="3">
        <v>7</v>
      </c>
      <c r="I198" t="str">
        <f t="shared" si="9"/>
        <v>25-34</v>
      </c>
      <c r="J198" t="str">
        <f t="shared" si="10"/>
        <v>Long Promotion gap</v>
      </c>
      <c r="K198">
        <f t="shared" si="11"/>
        <v>1</v>
      </c>
    </row>
    <row r="199" spans="1:11" x14ac:dyDescent="0.25">
      <c r="A199" s="5">
        <v>1780</v>
      </c>
      <c r="B199" s="3">
        <v>21</v>
      </c>
      <c r="C199" t="s">
        <v>32</v>
      </c>
      <c r="D199" t="s">
        <v>64</v>
      </c>
      <c r="E199" t="s">
        <v>41</v>
      </c>
      <c r="F199" t="s">
        <v>42</v>
      </c>
      <c r="G199" s="3">
        <v>0</v>
      </c>
      <c r="I199" t="str">
        <f t="shared" si="9"/>
        <v>18-24</v>
      </c>
      <c r="J199" t="str">
        <f t="shared" si="10"/>
        <v>Recently promoted</v>
      </c>
      <c r="K199">
        <f t="shared" si="11"/>
        <v>1</v>
      </c>
    </row>
    <row r="200" spans="1:11" x14ac:dyDescent="0.25">
      <c r="A200" s="5">
        <v>1210</v>
      </c>
      <c r="B200" s="3">
        <v>41</v>
      </c>
      <c r="C200" t="s">
        <v>32</v>
      </c>
      <c r="D200" t="s">
        <v>67</v>
      </c>
      <c r="E200" t="s">
        <v>52</v>
      </c>
      <c r="F200" t="s">
        <v>36</v>
      </c>
      <c r="G200" s="3">
        <v>0</v>
      </c>
      <c r="I200" t="str">
        <f t="shared" si="9"/>
        <v>35-44</v>
      </c>
      <c r="J200" t="str">
        <f t="shared" si="10"/>
        <v>Recently promoted</v>
      </c>
      <c r="K200">
        <f t="shared" si="11"/>
        <v>1</v>
      </c>
    </row>
    <row r="201" spans="1:11" x14ac:dyDescent="0.25">
      <c r="A201" s="5">
        <v>364</v>
      </c>
      <c r="B201" s="3">
        <v>28</v>
      </c>
      <c r="C201" t="s">
        <v>32</v>
      </c>
      <c r="D201" t="s">
        <v>35</v>
      </c>
      <c r="E201" t="s">
        <v>41</v>
      </c>
      <c r="F201" t="s">
        <v>42</v>
      </c>
      <c r="G201" s="3">
        <v>0</v>
      </c>
      <c r="I201" t="str">
        <f t="shared" si="9"/>
        <v>25-34</v>
      </c>
      <c r="J201" t="str">
        <f t="shared" si="10"/>
        <v>Recently promoted</v>
      </c>
      <c r="K201">
        <f t="shared" si="11"/>
        <v>1</v>
      </c>
    </row>
    <row r="202" spans="1:11" x14ac:dyDescent="0.25">
      <c r="A202" s="5">
        <v>918</v>
      </c>
      <c r="B202" s="3">
        <v>58</v>
      </c>
      <c r="C202" t="s">
        <v>32</v>
      </c>
      <c r="D202" t="s">
        <v>64</v>
      </c>
      <c r="E202" t="s">
        <v>52</v>
      </c>
      <c r="F202" t="s">
        <v>36</v>
      </c>
      <c r="G202" s="3">
        <v>0</v>
      </c>
      <c r="I202" t="str">
        <f t="shared" si="9"/>
        <v>55-60</v>
      </c>
      <c r="J202" t="str">
        <f t="shared" si="10"/>
        <v>Recently promoted</v>
      </c>
      <c r="K202">
        <f t="shared" si="11"/>
        <v>1</v>
      </c>
    </row>
    <row r="203" spans="1:11" x14ac:dyDescent="0.25">
      <c r="A203" s="5">
        <v>614</v>
      </c>
      <c r="B203" s="3">
        <v>18</v>
      </c>
      <c r="C203" t="s">
        <v>32</v>
      </c>
      <c r="D203" t="s">
        <v>49</v>
      </c>
      <c r="E203" t="s">
        <v>41</v>
      </c>
      <c r="F203" t="s">
        <v>42</v>
      </c>
      <c r="G203" s="3">
        <v>0</v>
      </c>
      <c r="I203" t="str">
        <f t="shared" si="9"/>
        <v>18-24</v>
      </c>
      <c r="J203" t="str">
        <f t="shared" si="10"/>
        <v>Recently promoted</v>
      </c>
      <c r="K203">
        <f t="shared" si="11"/>
        <v>1</v>
      </c>
    </row>
    <row r="204" spans="1:11" x14ac:dyDescent="0.25">
      <c r="A204" s="5">
        <v>4</v>
      </c>
      <c r="B204" s="3">
        <v>37</v>
      </c>
      <c r="C204" t="s">
        <v>32</v>
      </c>
      <c r="D204" t="s">
        <v>67</v>
      </c>
      <c r="E204" t="s">
        <v>41</v>
      </c>
      <c r="F204" t="s">
        <v>42</v>
      </c>
      <c r="G204" s="3">
        <v>0</v>
      </c>
      <c r="I204" t="str">
        <f t="shared" si="9"/>
        <v>35-44</v>
      </c>
      <c r="J204" t="str">
        <f t="shared" si="10"/>
        <v>Recently promoted</v>
      </c>
      <c r="K204">
        <f t="shared" si="11"/>
        <v>1</v>
      </c>
    </row>
    <row r="205" spans="1:11" x14ac:dyDescent="0.25">
      <c r="A205" s="5">
        <v>90</v>
      </c>
      <c r="B205" s="3">
        <v>36</v>
      </c>
      <c r="C205" t="s">
        <v>32</v>
      </c>
      <c r="D205" t="s">
        <v>49</v>
      </c>
      <c r="E205" t="s">
        <v>61</v>
      </c>
      <c r="F205" t="s">
        <v>36</v>
      </c>
      <c r="G205" s="3">
        <v>0</v>
      </c>
      <c r="I205" t="str">
        <f t="shared" si="9"/>
        <v>35-44</v>
      </c>
      <c r="J205" t="str">
        <f t="shared" si="10"/>
        <v>Recently promoted</v>
      </c>
      <c r="K205">
        <f t="shared" si="11"/>
        <v>1</v>
      </c>
    </row>
    <row r="206" spans="1:11" x14ac:dyDescent="0.25">
      <c r="A206" s="5">
        <v>960</v>
      </c>
      <c r="B206" s="3">
        <v>20</v>
      </c>
      <c r="C206" t="s">
        <v>32</v>
      </c>
      <c r="D206" t="s">
        <v>49</v>
      </c>
      <c r="E206" t="s">
        <v>41</v>
      </c>
      <c r="F206" t="s">
        <v>42</v>
      </c>
      <c r="G206" s="3">
        <v>0</v>
      </c>
      <c r="I206" t="str">
        <f t="shared" si="9"/>
        <v>18-24</v>
      </c>
      <c r="J206" t="str">
        <f t="shared" si="10"/>
        <v>Recently promoted</v>
      </c>
      <c r="K206">
        <f t="shared" si="11"/>
        <v>1</v>
      </c>
    </row>
    <row r="207" spans="1:11" x14ac:dyDescent="0.25">
      <c r="A207" s="5">
        <v>1783</v>
      </c>
      <c r="B207" s="3">
        <v>22</v>
      </c>
      <c r="C207" t="s">
        <v>32</v>
      </c>
      <c r="D207" t="s">
        <v>64</v>
      </c>
      <c r="E207" t="s">
        <v>61</v>
      </c>
      <c r="F207" t="s">
        <v>42</v>
      </c>
      <c r="G207" s="3">
        <v>0</v>
      </c>
      <c r="I207" t="str">
        <f t="shared" si="9"/>
        <v>18-24</v>
      </c>
      <c r="J207" t="str">
        <f t="shared" si="10"/>
        <v>Recently promoted</v>
      </c>
      <c r="K207">
        <f t="shared" si="11"/>
        <v>1</v>
      </c>
    </row>
    <row r="208" spans="1:11" x14ac:dyDescent="0.25">
      <c r="A208" s="5">
        <v>64</v>
      </c>
      <c r="B208" s="3">
        <v>48</v>
      </c>
      <c r="C208" t="s">
        <v>32</v>
      </c>
      <c r="D208" t="s">
        <v>67</v>
      </c>
      <c r="E208" t="s">
        <v>41</v>
      </c>
      <c r="F208" t="s">
        <v>42</v>
      </c>
      <c r="G208" s="3">
        <v>0</v>
      </c>
      <c r="I208" t="str">
        <f t="shared" si="9"/>
        <v>45-54</v>
      </c>
      <c r="J208" t="str">
        <f t="shared" si="10"/>
        <v>Recently promoted</v>
      </c>
      <c r="K208">
        <f t="shared" si="11"/>
        <v>1</v>
      </c>
    </row>
    <row r="209" spans="1:11" x14ac:dyDescent="0.25">
      <c r="A209" s="5">
        <v>1876</v>
      </c>
      <c r="B209" s="3">
        <v>30</v>
      </c>
      <c r="C209" t="s">
        <v>32</v>
      </c>
      <c r="D209" t="s">
        <v>49</v>
      </c>
      <c r="E209" t="s">
        <v>41</v>
      </c>
      <c r="F209" t="s">
        <v>42</v>
      </c>
      <c r="G209" s="3">
        <v>0</v>
      </c>
      <c r="I209" t="str">
        <f t="shared" si="9"/>
        <v>25-34</v>
      </c>
      <c r="J209" t="str">
        <f t="shared" si="10"/>
        <v>Recently promoted</v>
      </c>
      <c r="K209">
        <f t="shared" si="11"/>
        <v>1</v>
      </c>
    </row>
    <row r="210" spans="1:11" x14ac:dyDescent="0.25">
      <c r="A210" s="5">
        <v>167</v>
      </c>
      <c r="B210" s="3">
        <v>19</v>
      </c>
      <c r="C210" t="s">
        <v>32</v>
      </c>
      <c r="D210" t="s">
        <v>64</v>
      </c>
      <c r="E210" t="s">
        <v>41</v>
      </c>
      <c r="F210" t="s">
        <v>42</v>
      </c>
      <c r="G210" s="3">
        <v>0</v>
      </c>
      <c r="I210" t="str">
        <f t="shared" si="9"/>
        <v>18-24</v>
      </c>
      <c r="J210" t="str">
        <f t="shared" si="10"/>
        <v>Recently promoted</v>
      </c>
      <c r="K210">
        <f t="shared" si="11"/>
        <v>1</v>
      </c>
    </row>
    <row r="211" spans="1:11" x14ac:dyDescent="0.25">
      <c r="A211" s="5">
        <v>1379</v>
      </c>
      <c r="B211" s="3">
        <v>31</v>
      </c>
      <c r="C211" t="s">
        <v>32</v>
      </c>
      <c r="D211" t="s">
        <v>49</v>
      </c>
      <c r="E211" t="s">
        <v>41</v>
      </c>
      <c r="F211" t="s">
        <v>42</v>
      </c>
      <c r="G211" s="3">
        <v>0</v>
      </c>
      <c r="I211" t="str">
        <f t="shared" si="9"/>
        <v>25-34</v>
      </c>
      <c r="J211" t="str">
        <f t="shared" si="10"/>
        <v>Recently promoted</v>
      </c>
      <c r="K211">
        <f t="shared" si="11"/>
        <v>1</v>
      </c>
    </row>
    <row r="212" spans="1:11" x14ac:dyDescent="0.25">
      <c r="A212" s="5">
        <v>648</v>
      </c>
      <c r="B212" s="3">
        <v>30</v>
      </c>
      <c r="C212" t="s">
        <v>32</v>
      </c>
      <c r="D212" t="s">
        <v>35</v>
      </c>
      <c r="E212" t="s">
        <v>61</v>
      </c>
      <c r="F212" t="s">
        <v>36</v>
      </c>
      <c r="G212" s="3">
        <v>0</v>
      </c>
      <c r="I212" t="str">
        <f t="shared" si="9"/>
        <v>25-34</v>
      </c>
      <c r="J212" t="str">
        <f t="shared" si="10"/>
        <v>Recently promoted</v>
      </c>
      <c r="K212">
        <f t="shared" si="11"/>
        <v>1</v>
      </c>
    </row>
    <row r="213" spans="1:11" x14ac:dyDescent="0.25">
      <c r="A213" s="5">
        <v>243</v>
      </c>
      <c r="B213" s="3">
        <v>19</v>
      </c>
      <c r="C213" t="s">
        <v>32</v>
      </c>
      <c r="D213" t="s">
        <v>49</v>
      </c>
      <c r="E213" t="s">
        <v>41</v>
      </c>
      <c r="F213" t="s">
        <v>42</v>
      </c>
      <c r="G213" s="3">
        <v>1</v>
      </c>
      <c r="I213" t="str">
        <f t="shared" si="9"/>
        <v>18-24</v>
      </c>
      <c r="J213" t="str">
        <f t="shared" si="10"/>
        <v>Promoted in 1-3 years</v>
      </c>
      <c r="K213">
        <f t="shared" si="11"/>
        <v>1</v>
      </c>
    </row>
    <row r="214" spans="1:11" x14ac:dyDescent="0.25">
      <c r="A214" s="5">
        <v>811</v>
      </c>
      <c r="B214" s="3">
        <v>23</v>
      </c>
      <c r="C214" t="s">
        <v>32</v>
      </c>
      <c r="D214" t="s">
        <v>49</v>
      </c>
      <c r="E214" t="s">
        <v>61</v>
      </c>
      <c r="F214" t="s">
        <v>53</v>
      </c>
      <c r="G214" s="3">
        <v>0</v>
      </c>
      <c r="I214" t="str">
        <f t="shared" si="9"/>
        <v>18-24</v>
      </c>
      <c r="J214" t="str">
        <f t="shared" si="10"/>
        <v>Recently promoted</v>
      </c>
      <c r="K214">
        <f t="shared" si="11"/>
        <v>1</v>
      </c>
    </row>
    <row r="215" spans="1:11" x14ac:dyDescent="0.25">
      <c r="A215" s="5">
        <v>994</v>
      </c>
      <c r="B215" s="3">
        <v>29</v>
      </c>
      <c r="C215" t="s">
        <v>32</v>
      </c>
      <c r="D215" t="s">
        <v>49</v>
      </c>
      <c r="E215" t="s">
        <v>41</v>
      </c>
      <c r="F215" t="s">
        <v>42</v>
      </c>
      <c r="G215" s="3">
        <v>0</v>
      </c>
      <c r="I215" t="str">
        <f t="shared" si="9"/>
        <v>25-34</v>
      </c>
      <c r="J215" t="str">
        <f t="shared" si="10"/>
        <v>Recently promoted</v>
      </c>
      <c r="K215">
        <f t="shared" si="11"/>
        <v>1</v>
      </c>
    </row>
    <row r="216" spans="1:11" x14ac:dyDescent="0.25">
      <c r="A216" s="5">
        <v>1569</v>
      </c>
      <c r="B216" s="3">
        <v>35</v>
      </c>
      <c r="C216" t="s">
        <v>32</v>
      </c>
      <c r="D216" t="s">
        <v>49</v>
      </c>
      <c r="E216" t="s">
        <v>52</v>
      </c>
      <c r="F216" t="s">
        <v>36</v>
      </c>
      <c r="G216" s="3">
        <v>0</v>
      </c>
      <c r="I216" t="str">
        <f t="shared" si="9"/>
        <v>35-44</v>
      </c>
      <c r="J216" t="str">
        <f t="shared" si="10"/>
        <v>Recently promoted</v>
      </c>
      <c r="K216">
        <f t="shared" si="11"/>
        <v>1</v>
      </c>
    </row>
    <row r="217" spans="1:11" x14ac:dyDescent="0.25">
      <c r="A217" s="5">
        <v>622</v>
      </c>
      <c r="B217" s="3">
        <v>26</v>
      </c>
      <c r="C217" t="s">
        <v>32</v>
      </c>
      <c r="D217" t="s">
        <v>49</v>
      </c>
      <c r="E217" t="s">
        <v>41</v>
      </c>
      <c r="F217" t="s">
        <v>42</v>
      </c>
      <c r="G217" s="3">
        <v>0</v>
      </c>
      <c r="I217" t="str">
        <f t="shared" si="9"/>
        <v>25-34</v>
      </c>
      <c r="J217" t="str">
        <f t="shared" si="10"/>
        <v>Recently promoted</v>
      </c>
      <c r="K217">
        <f t="shared" si="11"/>
        <v>1</v>
      </c>
    </row>
    <row r="218" spans="1:11" x14ac:dyDescent="0.25">
      <c r="A218" s="5">
        <v>1111</v>
      </c>
      <c r="B218" s="3">
        <v>28</v>
      </c>
      <c r="C218" t="s">
        <v>32</v>
      </c>
      <c r="D218" t="s">
        <v>49</v>
      </c>
      <c r="E218" t="s">
        <v>52</v>
      </c>
      <c r="F218" t="s">
        <v>53</v>
      </c>
      <c r="G218" s="3">
        <v>0</v>
      </c>
      <c r="I218" t="str">
        <f t="shared" si="9"/>
        <v>25-34</v>
      </c>
      <c r="J218" t="str">
        <f t="shared" si="10"/>
        <v>Recently promoted</v>
      </c>
      <c r="K218">
        <f t="shared" si="11"/>
        <v>1</v>
      </c>
    </row>
    <row r="219" spans="1:11" x14ac:dyDescent="0.25">
      <c r="A219" s="5">
        <v>342</v>
      </c>
      <c r="B219" s="3">
        <v>37</v>
      </c>
      <c r="C219" t="s">
        <v>32</v>
      </c>
      <c r="D219" t="s">
        <v>49</v>
      </c>
      <c r="E219" t="s">
        <v>52</v>
      </c>
      <c r="F219" t="s">
        <v>53</v>
      </c>
      <c r="G219" s="3">
        <v>0</v>
      </c>
      <c r="I219" t="str">
        <f t="shared" si="9"/>
        <v>35-44</v>
      </c>
      <c r="J219" t="str">
        <f t="shared" si="10"/>
        <v>Recently promoted</v>
      </c>
      <c r="K219">
        <f t="shared" si="11"/>
        <v>1</v>
      </c>
    </row>
    <row r="220" spans="1:11" x14ac:dyDescent="0.25">
      <c r="A220" s="5">
        <v>261</v>
      </c>
      <c r="B220" s="3">
        <v>35</v>
      </c>
      <c r="C220" t="s">
        <v>32</v>
      </c>
      <c r="D220" t="s">
        <v>67</v>
      </c>
      <c r="E220" t="s">
        <v>61</v>
      </c>
      <c r="F220" t="s">
        <v>42</v>
      </c>
      <c r="G220" s="3">
        <v>0</v>
      </c>
      <c r="I220" t="str">
        <f t="shared" si="9"/>
        <v>35-44</v>
      </c>
      <c r="J220" t="str">
        <f t="shared" si="10"/>
        <v>Recently promoted</v>
      </c>
      <c r="K220">
        <f t="shared" si="11"/>
        <v>1</v>
      </c>
    </row>
    <row r="221" spans="1:11" x14ac:dyDescent="0.25">
      <c r="A221" s="5">
        <v>1868</v>
      </c>
      <c r="B221" s="3">
        <v>29</v>
      </c>
      <c r="C221" t="s">
        <v>32</v>
      </c>
      <c r="D221" t="s">
        <v>67</v>
      </c>
      <c r="E221" t="s">
        <v>41</v>
      </c>
      <c r="F221" t="s">
        <v>42</v>
      </c>
      <c r="G221" s="3">
        <v>1</v>
      </c>
      <c r="I221" t="str">
        <f t="shared" si="9"/>
        <v>25-34</v>
      </c>
      <c r="J221" t="str">
        <f t="shared" si="10"/>
        <v>Promoted in 1-3 years</v>
      </c>
      <c r="K221">
        <f t="shared" si="11"/>
        <v>1</v>
      </c>
    </row>
    <row r="222" spans="1:11" x14ac:dyDescent="0.25">
      <c r="A222" s="5">
        <v>1433</v>
      </c>
      <c r="B222" s="3">
        <v>31</v>
      </c>
      <c r="C222" t="s">
        <v>32</v>
      </c>
      <c r="D222" t="s">
        <v>49</v>
      </c>
      <c r="E222" t="s">
        <v>41</v>
      </c>
      <c r="F222" t="s">
        <v>42</v>
      </c>
      <c r="G222" s="3">
        <v>0</v>
      </c>
      <c r="I222" t="str">
        <f t="shared" si="9"/>
        <v>25-34</v>
      </c>
      <c r="J222" t="str">
        <f t="shared" si="10"/>
        <v>Recently promoted</v>
      </c>
      <c r="K222">
        <f t="shared" si="11"/>
        <v>1</v>
      </c>
    </row>
    <row r="223" spans="1:11" x14ac:dyDescent="0.25">
      <c r="A223" s="5">
        <v>1878</v>
      </c>
      <c r="B223" s="3">
        <v>22</v>
      </c>
      <c r="C223" t="s">
        <v>32</v>
      </c>
      <c r="D223" t="s">
        <v>64</v>
      </c>
      <c r="E223" t="s">
        <v>41</v>
      </c>
      <c r="F223" t="s">
        <v>42</v>
      </c>
      <c r="G223" s="3">
        <v>0</v>
      </c>
      <c r="I223" t="str">
        <f t="shared" si="9"/>
        <v>18-24</v>
      </c>
      <c r="J223" t="str">
        <f t="shared" si="10"/>
        <v>Recently promoted</v>
      </c>
      <c r="K223">
        <f t="shared" si="11"/>
        <v>1</v>
      </c>
    </row>
    <row r="224" spans="1:11" x14ac:dyDescent="0.25">
      <c r="A224" s="5">
        <v>1692</v>
      </c>
      <c r="B224" s="3">
        <v>32</v>
      </c>
      <c r="C224" t="s">
        <v>32</v>
      </c>
      <c r="D224" t="s">
        <v>35</v>
      </c>
      <c r="E224" t="s">
        <v>41</v>
      </c>
      <c r="F224" t="s">
        <v>42</v>
      </c>
      <c r="G224" s="3">
        <v>0</v>
      </c>
      <c r="I224" t="str">
        <f t="shared" si="9"/>
        <v>25-34</v>
      </c>
      <c r="J224" t="str">
        <f t="shared" si="10"/>
        <v>Recently promoted</v>
      </c>
      <c r="K224">
        <f t="shared" si="11"/>
        <v>1</v>
      </c>
    </row>
    <row r="225" spans="1:11" x14ac:dyDescent="0.25">
      <c r="A225" s="5">
        <v>514</v>
      </c>
      <c r="B225" s="3">
        <v>30</v>
      </c>
      <c r="C225" t="s">
        <v>32</v>
      </c>
      <c r="D225" t="s">
        <v>49</v>
      </c>
      <c r="E225" t="s">
        <v>41</v>
      </c>
      <c r="F225" t="s">
        <v>42</v>
      </c>
      <c r="G225" s="3">
        <v>0</v>
      </c>
      <c r="I225" t="str">
        <f t="shared" si="9"/>
        <v>25-34</v>
      </c>
      <c r="J225" t="str">
        <f t="shared" si="10"/>
        <v>Recently promoted</v>
      </c>
      <c r="K225">
        <f t="shared" si="11"/>
        <v>1</v>
      </c>
    </row>
    <row r="226" spans="1:11" x14ac:dyDescent="0.25">
      <c r="A226" s="5">
        <v>55</v>
      </c>
      <c r="B226" s="3">
        <v>26</v>
      </c>
      <c r="C226" t="s">
        <v>32</v>
      </c>
      <c r="D226" t="s">
        <v>49</v>
      </c>
      <c r="E226" t="s">
        <v>41</v>
      </c>
      <c r="F226" t="s">
        <v>42</v>
      </c>
      <c r="G226" s="3">
        <v>0</v>
      </c>
      <c r="I226" t="str">
        <f t="shared" si="9"/>
        <v>25-34</v>
      </c>
      <c r="J226" t="str">
        <f t="shared" si="10"/>
        <v>Recently promoted</v>
      </c>
      <c r="K226">
        <f t="shared" si="11"/>
        <v>1</v>
      </c>
    </row>
    <row r="227" spans="1:11" x14ac:dyDescent="0.25">
      <c r="A227" s="5">
        <v>485</v>
      </c>
      <c r="B227" s="3">
        <v>33</v>
      </c>
      <c r="C227" t="s">
        <v>32</v>
      </c>
      <c r="D227" t="s">
        <v>49</v>
      </c>
      <c r="E227" t="s">
        <v>41</v>
      </c>
      <c r="F227" t="s">
        <v>42</v>
      </c>
      <c r="G227" s="3">
        <v>0</v>
      </c>
      <c r="I227" t="str">
        <f t="shared" si="9"/>
        <v>25-34</v>
      </c>
      <c r="J227" t="str">
        <f t="shared" si="10"/>
        <v>Recently promoted</v>
      </c>
      <c r="K227">
        <f t="shared" si="11"/>
        <v>1</v>
      </c>
    </row>
    <row r="228" spans="1:11" x14ac:dyDescent="0.25">
      <c r="A228" s="5">
        <v>911</v>
      </c>
      <c r="B228" s="3">
        <v>32</v>
      </c>
      <c r="C228" t="s">
        <v>32</v>
      </c>
      <c r="D228" t="s">
        <v>35</v>
      </c>
      <c r="E228" t="s">
        <v>41</v>
      </c>
      <c r="F228" t="s">
        <v>42</v>
      </c>
      <c r="G228" s="3">
        <v>0</v>
      </c>
      <c r="I228" t="str">
        <f t="shared" si="9"/>
        <v>25-34</v>
      </c>
      <c r="J228" t="str">
        <f t="shared" si="10"/>
        <v>Recently promoted</v>
      </c>
      <c r="K228">
        <f t="shared" si="11"/>
        <v>1</v>
      </c>
    </row>
    <row r="229" spans="1:11" x14ac:dyDescent="0.25">
      <c r="A229" s="5">
        <v>1016</v>
      </c>
      <c r="B229" s="3">
        <v>20</v>
      </c>
      <c r="C229" t="s">
        <v>32</v>
      </c>
      <c r="D229" t="s">
        <v>49</v>
      </c>
      <c r="E229" t="s">
        <v>41</v>
      </c>
      <c r="F229" t="s">
        <v>42</v>
      </c>
      <c r="G229" s="3">
        <v>0</v>
      </c>
      <c r="I229" t="str">
        <f t="shared" si="9"/>
        <v>18-24</v>
      </c>
      <c r="J229" t="str">
        <f t="shared" si="10"/>
        <v>Recently promoted</v>
      </c>
      <c r="K229">
        <f t="shared" si="11"/>
        <v>1</v>
      </c>
    </row>
    <row r="230" spans="1:11" x14ac:dyDescent="0.25">
      <c r="A230" s="5">
        <v>566</v>
      </c>
      <c r="B230" s="3">
        <v>19</v>
      </c>
      <c r="C230" t="s">
        <v>32</v>
      </c>
      <c r="D230" t="s">
        <v>67</v>
      </c>
      <c r="E230" t="s">
        <v>41</v>
      </c>
      <c r="F230" t="s">
        <v>42</v>
      </c>
      <c r="G230" s="3">
        <v>0</v>
      </c>
      <c r="I230" t="str">
        <f t="shared" si="9"/>
        <v>18-24</v>
      </c>
      <c r="J230" t="str">
        <f t="shared" si="10"/>
        <v>Recently promoted</v>
      </c>
      <c r="K230">
        <f t="shared" si="11"/>
        <v>1</v>
      </c>
    </row>
    <row r="231" spans="1:11" x14ac:dyDescent="0.25">
      <c r="A231" s="5">
        <v>1033</v>
      </c>
      <c r="B231" s="3">
        <v>37</v>
      </c>
      <c r="C231" t="s">
        <v>32</v>
      </c>
      <c r="D231" t="s">
        <v>67</v>
      </c>
      <c r="E231" t="s">
        <v>61</v>
      </c>
      <c r="F231" t="s">
        <v>42</v>
      </c>
      <c r="G231" s="3">
        <v>0</v>
      </c>
      <c r="I231" t="str">
        <f t="shared" si="9"/>
        <v>35-44</v>
      </c>
      <c r="J231" t="str">
        <f t="shared" si="10"/>
        <v>Recently promoted</v>
      </c>
      <c r="K231">
        <f t="shared" si="11"/>
        <v>1</v>
      </c>
    </row>
    <row r="232" spans="1:11" x14ac:dyDescent="0.25">
      <c r="A232" s="5">
        <v>1248</v>
      </c>
      <c r="B232" s="3">
        <v>19</v>
      </c>
      <c r="C232" t="s">
        <v>32</v>
      </c>
      <c r="D232" t="s">
        <v>49</v>
      </c>
      <c r="E232" t="s">
        <v>41</v>
      </c>
      <c r="F232" t="s">
        <v>42</v>
      </c>
      <c r="G232" s="3">
        <v>0</v>
      </c>
      <c r="I232" t="str">
        <f t="shared" si="9"/>
        <v>18-24</v>
      </c>
      <c r="J232" t="str">
        <f t="shared" si="10"/>
        <v>Recently promoted</v>
      </c>
      <c r="K232">
        <f t="shared" si="11"/>
        <v>1</v>
      </c>
    </row>
    <row r="233" spans="1:11" x14ac:dyDescent="0.25">
      <c r="A233" s="5">
        <v>392</v>
      </c>
      <c r="B233" s="3">
        <v>44</v>
      </c>
      <c r="C233" t="s">
        <v>32</v>
      </c>
      <c r="D233" t="s">
        <v>49</v>
      </c>
      <c r="E233" t="s">
        <v>52</v>
      </c>
      <c r="F233" t="s">
        <v>36</v>
      </c>
      <c r="G233" s="3">
        <v>0</v>
      </c>
      <c r="I233" t="str">
        <f t="shared" si="9"/>
        <v>35-44</v>
      </c>
      <c r="J233" t="str">
        <f t="shared" si="10"/>
        <v>Recently promoted</v>
      </c>
      <c r="K233">
        <f t="shared" si="11"/>
        <v>1</v>
      </c>
    </row>
    <row r="234" spans="1:11" x14ac:dyDescent="0.25">
      <c r="A234" s="5">
        <v>1842</v>
      </c>
      <c r="B234" s="3">
        <v>31</v>
      </c>
      <c r="C234" t="s">
        <v>32</v>
      </c>
      <c r="D234" t="s">
        <v>70</v>
      </c>
      <c r="E234" t="s">
        <v>61</v>
      </c>
      <c r="F234" t="s">
        <v>42</v>
      </c>
      <c r="G234" s="3">
        <v>0</v>
      </c>
      <c r="I234" t="str">
        <f t="shared" si="9"/>
        <v>25-34</v>
      </c>
      <c r="J234" t="str">
        <f t="shared" si="10"/>
        <v>Recently promoted</v>
      </c>
      <c r="K234">
        <f t="shared" si="11"/>
        <v>1</v>
      </c>
    </row>
    <row r="235" spans="1:11" x14ac:dyDescent="0.25">
      <c r="A235" s="5">
        <v>1767</v>
      </c>
      <c r="B235" s="3">
        <v>43</v>
      </c>
      <c r="C235" t="s">
        <v>32</v>
      </c>
      <c r="D235" t="s">
        <v>49</v>
      </c>
      <c r="E235" t="s">
        <v>61</v>
      </c>
      <c r="F235" t="s">
        <v>36</v>
      </c>
      <c r="G235" s="3">
        <v>0</v>
      </c>
      <c r="I235" t="str">
        <f t="shared" si="9"/>
        <v>35-44</v>
      </c>
      <c r="J235" t="str">
        <f t="shared" si="10"/>
        <v>Recently promoted</v>
      </c>
      <c r="K235">
        <f t="shared" si="11"/>
        <v>1</v>
      </c>
    </row>
    <row r="236" spans="1:11" x14ac:dyDescent="0.25">
      <c r="A236" s="5">
        <v>1714</v>
      </c>
      <c r="B236" s="3">
        <v>24</v>
      </c>
      <c r="C236" t="s">
        <v>32</v>
      </c>
      <c r="D236" t="s">
        <v>64</v>
      </c>
      <c r="E236" t="s">
        <v>61</v>
      </c>
      <c r="F236" t="s">
        <v>36</v>
      </c>
      <c r="G236" s="3">
        <v>0</v>
      </c>
      <c r="I236" t="str">
        <f t="shared" si="9"/>
        <v>18-24</v>
      </c>
      <c r="J236" t="str">
        <f t="shared" si="10"/>
        <v>Recently promoted</v>
      </c>
      <c r="K236">
        <f t="shared" si="11"/>
        <v>1</v>
      </c>
    </row>
    <row r="237" spans="1:11" x14ac:dyDescent="0.25">
      <c r="A237" s="5">
        <v>816</v>
      </c>
      <c r="B237" s="3">
        <v>29</v>
      </c>
      <c r="C237" t="s">
        <v>32</v>
      </c>
      <c r="D237" t="s">
        <v>67</v>
      </c>
      <c r="E237" t="s">
        <v>61</v>
      </c>
      <c r="F237" t="s">
        <v>36</v>
      </c>
      <c r="G237" s="3">
        <v>0</v>
      </c>
      <c r="I237" t="str">
        <f t="shared" si="9"/>
        <v>25-34</v>
      </c>
      <c r="J237" t="str">
        <f t="shared" si="10"/>
        <v>Recently promoted</v>
      </c>
      <c r="K237">
        <f t="shared" si="11"/>
        <v>1</v>
      </c>
    </row>
    <row r="238" spans="1:11" x14ac:dyDescent="0.25">
      <c r="A238" s="5">
        <v>355</v>
      </c>
      <c r="B238" s="3">
        <v>31</v>
      </c>
      <c r="C238" t="s">
        <v>32</v>
      </c>
      <c r="D238" t="s">
        <v>67</v>
      </c>
      <c r="E238" t="s">
        <v>41</v>
      </c>
      <c r="F238" t="s">
        <v>42</v>
      </c>
      <c r="G238" s="3">
        <v>1</v>
      </c>
      <c r="I238" t="str">
        <f t="shared" si="9"/>
        <v>25-34</v>
      </c>
      <c r="J238" t="str">
        <f t="shared" si="10"/>
        <v>Promoted in 1-3 years</v>
      </c>
      <c r="K238">
        <f t="shared" si="11"/>
        <v>1</v>
      </c>
    </row>
    <row r="239" spans="1:11" x14ac:dyDescent="0.25">
      <c r="A239" s="5">
        <v>2019</v>
      </c>
      <c r="B239" s="3">
        <v>52</v>
      </c>
      <c r="C239" t="s">
        <v>43</v>
      </c>
      <c r="D239" t="s">
        <v>35</v>
      </c>
      <c r="E239" t="s">
        <v>52</v>
      </c>
      <c r="F239" t="s">
        <v>53</v>
      </c>
      <c r="G239" s="3">
        <v>0</v>
      </c>
      <c r="I239" t="str">
        <f t="shared" si="9"/>
        <v>45-54</v>
      </c>
      <c r="J239" t="str">
        <f t="shared" si="10"/>
        <v>Recently promoted</v>
      </c>
      <c r="K239">
        <f t="shared" si="11"/>
        <v>0</v>
      </c>
    </row>
    <row r="240" spans="1:11" x14ac:dyDescent="0.25">
      <c r="A240" s="5">
        <v>1374</v>
      </c>
      <c r="B240" s="3">
        <v>34</v>
      </c>
      <c r="C240" t="s">
        <v>43</v>
      </c>
      <c r="D240" t="s">
        <v>64</v>
      </c>
      <c r="E240" t="s">
        <v>52</v>
      </c>
      <c r="F240" t="s">
        <v>50</v>
      </c>
      <c r="G240" s="3">
        <v>0</v>
      </c>
      <c r="I240" t="str">
        <f t="shared" si="9"/>
        <v>25-34</v>
      </c>
      <c r="J240" t="str">
        <f t="shared" si="10"/>
        <v>Recently promoted</v>
      </c>
      <c r="K240">
        <f t="shared" si="11"/>
        <v>0</v>
      </c>
    </row>
    <row r="241" spans="1:11" x14ac:dyDescent="0.25">
      <c r="A241" s="5">
        <v>900</v>
      </c>
      <c r="B241" s="3">
        <v>37</v>
      </c>
      <c r="C241" t="s">
        <v>43</v>
      </c>
      <c r="D241" t="s">
        <v>67</v>
      </c>
      <c r="E241" t="s">
        <v>61</v>
      </c>
      <c r="F241" t="s">
        <v>36</v>
      </c>
      <c r="G241" s="3">
        <v>0</v>
      </c>
      <c r="I241" t="str">
        <f t="shared" si="9"/>
        <v>35-44</v>
      </c>
      <c r="J241" t="str">
        <f t="shared" si="10"/>
        <v>Recently promoted</v>
      </c>
      <c r="K241">
        <f t="shared" si="11"/>
        <v>0</v>
      </c>
    </row>
    <row r="242" spans="1:11" x14ac:dyDescent="0.25">
      <c r="A242" s="5">
        <v>1340</v>
      </c>
      <c r="B242" s="3">
        <v>40</v>
      </c>
      <c r="C242" t="s">
        <v>43</v>
      </c>
      <c r="D242" t="s">
        <v>67</v>
      </c>
      <c r="E242" t="s">
        <v>52</v>
      </c>
      <c r="F242" t="s">
        <v>36</v>
      </c>
      <c r="G242" s="3">
        <v>0</v>
      </c>
      <c r="I242" t="str">
        <f t="shared" si="9"/>
        <v>35-44</v>
      </c>
      <c r="J242" t="str">
        <f t="shared" si="10"/>
        <v>Recently promoted</v>
      </c>
      <c r="K242">
        <f t="shared" si="11"/>
        <v>0</v>
      </c>
    </row>
    <row r="243" spans="1:11" x14ac:dyDescent="0.25">
      <c r="A243" s="5">
        <v>2060</v>
      </c>
      <c r="B243" s="3">
        <v>26</v>
      </c>
      <c r="C243" t="s">
        <v>43</v>
      </c>
      <c r="D243" t="s">
        <v>49</v>
      </c>
      <c r="E243" t="s">
        <v>41</v>
      </c>
      <c r="F243" t="s">
        <v>42</v>
      </c>
      <c r="G243" s="3">
        <v>0</v>
      </c>
      <c r="I243" t="str">
        <f t="shared" si="9"/>
        <v>25-34</v>
      </c>
      <c r="J243" t="str">
        <f t="shared" si="10"/>
        <v>Recently promoted</v>
      </c>
      <c r="K243">
        <f t="shared" si="11"/>
        <v>0</v>
      </c>
    </row>
    <row r="244" spans="1:11" x14ac:dyDescent="0.25">
      <c r="A244" s="5">
        <v>1839</v>
      </c>
      <c r="B244" s="3">
        <v>18</v>
      </c>
      <c r="C244" t="s">
        <v>43</v>
      </c>
      <c r="D244" t="s">
        <v>49</v>
      </c>
      <c r="E244" t="s">
        <v>41</v>
      </c>
      <c r="F244" t="s">
        <v>42</v>
      </c>
      <c r="G244" s="3">
        <v>0</v>
      </c>
      <c r="I244" t="str">
        <f t="shared" si="9"/>
        <v>18-24</v>
      </c>
      <c r="J244" t="str">
        <f t="shared" si="10"/>
        <v>Recently promoted</v>
      </c>
      <c r="K244">
        <f t="shared" si="11"/>
        <v>0</v>
      </c>
    </row>
    <row r="245" spans="1:11" x14ac:dyDescent="0.25">
      <c r="A245" s="5">
        <v>113</v>
      </c>
      <c r="B245" s="3">
        <v>23</v>
      </c>
      <c r="C245" t="s">
        <v>43</v>
      </c>
      <c r="D245" t="s">
        <v>64</v>
      </c>
      <c r="E245" t="s">
        <v>52</v>
      </c>
      <c r="F245" t="s">
        <v>36</v>
      </c>
      <c r="G245" s="3">
        <v>0</v>
      </c>
      <c r="I245" t="str">
        <f t="shared" si="9"/>
        <v>18-24</v>
      </c>
      <c r="J245" t="str">
        <f t="shared" si="10"/>
        <v>Recently promoted</v>
      </c>
      <c r="K245">
        <f t="shared" si="11"/>
        <v>0</v>
      </c>
    </row>
    <row r="246" spans="1:11" x14ac:dyDescent="0.25">
      <c r="A246" s="5">
        <v>850</v>
      </c>
      <c r="B246" s="3">
        <v>27</v>
      </c>
      <c r="C246" t="s">
        <v>43</v>
      </c>
      <c r="D246" t="s">
        <v>49</v>
      </c>
      <c r="E246" t="s">
        <v>61</v>
      </c>
      <c r="F246" t="s">
        <v>50</v>
      </c>
      <c r="G246" s="3">
        <v>0</v>
      </c>
      <c r="I246" t="str">
        <f t="shared" si="9"/>
        <v>25-34</v>
      </c>
      <c r="J246" t="str">
        <f t="shared" si="10"/>
        <v>Recently promoted</v>
      </c>
      <c r="K246">
        <f t="shared" si="11"/>
        <v>0</v>
      </c>
    </row>
    <row r="247" spans="1:11" x14ac:dyDescent="0.25">
      <c r="A247" s="5">
        <v>1860</v>
      </c>
      <c r="B247" s="3">
        <v>42</v>
      </c>
      <c r="C247" t="s">
        <v>43</v>
      </c>
      <c r="D247" t="s">
        <v>49</v>
      </c>
      <c r="E247" t="s">
        <v>41</v>
      </c>
      <c r="F247" t="s">
        <v>42</v>
      </c>
      <c r="G247" s="3">
        <v>0</v>
      </c>
      <c r="I247" t="str">
        <f t="shared" si="9"/>
        <v>35-44</v>
      </c>
      <c r="J247" t="str">
        <f t="shared" si="10"/>
        <v>Recently promoted</v>
      </c>
      <c r="K247">
        <f t="shared" si="11"/>
        <v>0</v>
      </c>
    </row>
    <row r="248" spans="1:11" x14ac:dyDescent="0.25">
      <c r="A248" s="5">
        <v>1012</v>
      </c>
      <c r="B248" s="3">
        <v>18</v>
      </c>
      <c r="C248" t="s">
        <v>43</v>
      </c>
      <c r="D248" t="s">
        <v>67</v>
      </c>
      <c r="E248" t="s">
        <v>41</v>
      </c>
      <c r="F248" t="s">
        <v>42</v>
      </c>
      <c r="G248" s="3">
        <v>0</v>
      </c>
      <c r="I248" t="str">
        <f t="shared" si="9"/>
        <v>18-24</v>
      </c>
      <c r="J248" t="str">
        <f t="shared" si="10"/>
        <v>Recently promoted</v>
      </c>
      <c r="K248">
        <f t="shared" si="11"/>
        <v>0</v>
      </c>
    </row>
    <row r="249" spans="1:11" x14ac:dyDescent="0.25">
      <c r="A249" s="5">
        <v>834</v>
      </c>
      <c r="B249" s="3">
        <v>45</v>
      </c>
      <c r="C249" t="s">
        <v>43</v>
      </c>
      <c r="D249" t="s">
        <v>49</v>
      </c>
      <c r="E249" t="s">
        <v>41</v>
      </c>
      <c r="F249" t="s">
        <v>42</v>
      </c>
      <c r="G249" s="3">
        <v>0</v>
      </c>
      <c r="I249" t="str">
        <f t="shared" si="9"/>
        <v>45-54</v>
      </c>
      <c r="J249" t="str">
        <f t="shared" si="10"/>
        <v>Recently promoted</v>
      </c>
      <c r="K249">
        <f t="shared" si="11"/>
        <v>0</v>
      </c>
    </row>
    <row r="250" spans="1:11" x14ac:dyDescent="0.25">
      <c r="A250" s="5">
        <v>1581</v>
      </c>
      <c r="B250" s="3">
        <v>26</v>
      </c>
      <c r="C250" t="s">
        <v>43</v>
      </c>
      <c r="D250" t="s">
        <v>49</v>
      </c>
      <c r="E250" t="s">
        <v>61</v>
      </c>
      <c r="F250" t="s">
        <v>42</v>
      </c>
      <c r="G250" s="3">
        <v>0</v>
      </c>
      <c r="I250" t="str">
        <f t="shared" si="9"/>
        <v>25-34</v>
      </c>
      <c r="J250" t="str">
        <f t="shared" si="10"/>
        <v>Recently promoted</v>
      </c>
      <c r="K250">
        <f t="shared" si="11"/>
        <v>0</v>
      </c>
    </row>
    <row r="251" spans="1:11" x14ac:dyDescent="0.25">
      <c r="A251" s="5">
        <v>134</v>
      </c>
      <c r="B251" s="3">
        <v>32</v>
      </c>
      <c r="C251" t="s">
        <v>43</v>
      </c>
      <c r="D251" t="s">
        <v>64</v>
      </c>
      <c r="E251" t="s">
        <v>41</v>
      </c>
      <c r="F251" t="s">
        <v>42</v>
      </c>
      <c r="G251" s="3">
        <v>0</v>
      </c>
      <c r="I251" t="str">
        <f t="shared" si="9"/>
        <v>25-34</v>
      </c>
      <c r="J251" t="str">
        <f t="shared" si="10"/>
        <v>Recently promoted</v>
      </c>
      <c r="K251">
        <f t="shared" si="11"/>
        <v>0</v>
      </c>
    </row>
    <row r="252" spans="1:11" x14ac:dyDescent="0.25">
      <c r="A252" s="5">
        <v>1542</v>
      </c>
      <c r="B252" s="3">
        <v>42</v>
      </c>
      <c r="C252" t="s">
        <v>43</v>
      </c>
      <c r="D252" t="s">
        <v>49</v>
      </c>
      <c r="E252" t="s">
        <v>61</v>
      </c>
      <c r="F252" t="s">
        <v>36</v>
      </c>
      <c r="G252" s="3">
        <v>0</v>
      </c>
      <c r="I252" t="str">
        <f t="shared" si="9"/>
        <v>35-44</v>
      </c>
      <c r="J252" t="str">
        <f t="shared" si="10"/>
        <v>Recently promoted</v>
      </c>
      <c r="K252">
        <f t="shared" si="11"/>
        <v>0</v>
      </c>
    </row>
    <row r="253" spans="1:11" x14ac:dyDescent="0.25">
      <c r="A253" s="5">
        <v>1994</v>
      </c>
      <c r="B253" s="3">
        <v>33</v>
      </c>
      <c r="C253" t="s">
        <v>43</v>
      </c>
      <c r="D253" t="s">
        <v>67</v>
      </c>
      <c r="E253" t="s">
        <v>52</v>
      </c>
      <c r="F253" t="s">
        <v>50</v>
      </c>
      <c r="G253" s="3">
        <v>0</v>
      </c>
      <c r="I253" t="str">
        <f t="shared" si="9"/>
        <v>25-34</v>
      </c>
      <c r="J253" t="str">
        <f t="shared" si="10"/>
        <v>Recently promoted</v>
      </c>
      <c r="K253">
        <f t="shared" si="11"/>
        <v>0</v>
      </c>
    </row>
    <row r="254" spans="1:11" x14ac:dyDescent="0.25">
      <c r="A254" s="5">
        <v>1762</v>
      </c>
      <c r="B254" s="3">
        <v>29</v>
      </c>
      <c r="C254" t="s">
        <v>43</v>
      </c>
      <c r="D254" t="s">
        <v>49</v>
      </c>
      <c r="E254" t="s">
        <v>52</v>
      </c>
      <c r="F254" t="s">
        <v>36</v>
      </c>
      <c r="G254" s="3">
        <v>0</v>
      </c>
      <c r="I254" t="str">
        <f t="shared" si="9"/>
        <v>25-34</v>
      </c>
      <c r="J254" t="str">
        <f t="shared" si="10"/>
        <v>Recently promoted</v>
      </c>
      <c r="K254">
        <f t="shared" si="11"/>
        <v>0</v>
      </c>
    </row>
    <row r="255" spans="1:11" x14ac:dyDescent="0.25">
      <c r="A255" s="5">
        <v>1364</v>
      </c>
      <c r="B255" s="3">
        <v>27</v>
      </c>
      <c r="C255" t="s">
        <v>43</v>
      </c>
      <c r="D255" t="s">
        <v>49</v>
      </c>
      <c r="E255" t="s">
        <v>61</v>
      </c>
      <c r="F255" t="s">
        <v>36</v>
      </c>
      <c r="G255" s="3">
        <v>0</v>
      </c>
      <c r="I255" t="str">
        <f t="shared" si="9"/>
        <v>25-34</v>
      </c>
      <c r="J255" t="str">
        <f t="shared" si="10"/>
        <v>Recently promoted</v>
      </c>
      <c r="K255">
        <f t="shared" si="11"/>
        <v>0</v>
      </c>
    </row>
    <row r="256" spans="1:11" x14ac:dyDescent="0.25">
      <c r="A256" s="5">
        <v>704</v>
      </c>
      <c r="B256" s="3">
        <v>35</v>
      </c>
      <c r="C256" t="s">
        <v>43</v>
      </c>
      <c r="D256" t="s">
        <v>49</v>
      </c>
      <c r="E256" t="s">
        <v>61</v>
      </c>
      <c r="F256" t="s">
        <v>53</v>
      </c>
      <c r="G256" s="3">
        <v>0</v>
      </c>
      <c r="I256" t="str">
        <f t="shared" si="9"/>
        <v>35-44</v>
      </c>
      <c r="J256" t="str">
        <f t="shared" si="10"/>
        <v>Recently promoted</v>
      </c>
      <c r="K256">
        <f t="shared" si="11"/>
        <v>0</v>
      </c>
    </row>
    <row r="257" spans="1:11" x14ac:dyDescent="0.25">
      <c r="A257" s="5">
        <v>353</v>
      </c>
      <c r="B257" s="3">
        <v>51</v>
      </c>
      <c r="C257" t="s">
        <v>43</v>
      </c>
      <c r="D257" t="s">
        <v>49</v>
      </c>
      <c r="E257" t="s">
        <v>61</v>
      </c>
      <c r="F257" t="s">
        <v>42</v>
      </c>
      <c r="G257" s="3">
        <v>0</v>
      </c>
      <c r="I257" t="str">
        <f t="shared" si="9"/>
        <v>45-54</v>
      </c>
      <c r="J257" t="str">
        <f t="shared" si="10"/>
        <v>Recently promoted</v>
      </c>
      <c r="K257">
        <f t="shared" si="11"/>
        <v>0</v>
      </c>
    </row>
    <row r="258" spans="1:11" x14ac:dyDescent="0.25">
      <c r="A258" s="5">
        <v>933</v>
      </c>
      <c r="B258" s="3">
        <v>27</v>
      </c>
      <c r="C258" t="s">
        <v>43</v>
      </c>
      <c r="D258" t="s">
        <v>49</v>
      </c>
      <c r="E258" t="s">
        <v>41</v>
      </c>
      <c r="F258" t="s">
        <v>42</v>
      </c>
      <c r="G258" s="3">
        <v>0</v>
      </c>
      <c r="I258" t="str">
        <f t="shared" si="9"/>
        <v>25-34</v>
      </c>
      <c r="J258" t="str">
        <f t="shared" si="10"/>
        <v>Recently promoted</v>
      </c>
      <c r="K258">
        <f t="shared" si="11"/>
        <v>0</v>
      </c>
    </row>
    <row r="259" spans="1:11" x14ac:dyDescent="0.25">
      <c r="A259" s="5">
        <v>11</v>
      </c>
      <c r="B259" s="3">
        <v>30</v>
      </c>
      <c r="C259" t="s">
        <v>43</v>
      </c>
      <c r="D259" t="s">
        <v>64</v>
      </c>
      <c r="E259" t="s">
        <v>52</v>
      </c>
      <c r="F259" t="s">
        <v>36</v>
      </c>
      <c r="G259" s="3">
        <v>0</v>
      </c>
      <c r="I259" t="str">
        <f t="shared" ref="I259:I322" si="12">IF(B259&lt;=24, "18-24", IF(B259&lt;=34,"25-34", IF(B259&lt;=44,"35-44", IF(B259&lt;=54,"45-54", IF(B259&lt;=60, "55-60")))))</f>
        <v>25-34</v>
      </c>
      <c r="J259" t="str">
        <f t="shared" ref="J259:J322" si="13">IF(G259&lt;=0,"Recently promoted",IF(G259&lt;=3,"Promoted in 1-3 years","Long Promotion gap"))</f>
        <v>Recently promoted</v>
      </c>
      <c r="K259">
        <f t="shared" ref="K259:K322" si="14">IF(C259="Yes", 1, 0)</f>
        <v>0</v>
      </c>
    </row>
    <row r="260" spans="1:11" x14ac:dyDescent="0.25">
      <c r="A260" s="5">
        <v>1193</v>
      </c>
      <c r="B260" s="3">
        <v>19</v>
      </c>
      <c r="C260" t="s">
        <v>43</v>
      </c>
      <c r="D260" t="s">
        <v>67</v>
      </c>
      <c r="E260" t="s">
        <v>41</v>
      </c>
      <c r="F260" t="s">
        <v>42</v>
      </c>
      <c r="G260" s="3">
        <v>0</v>
      </c>
      <c r="I260" t="str">
        <f t="shared" si="12"/>
        <v>18-24</v>
      </c>
      <c r="J260" t="str">
        <f t="shared" si="13"/>
        <v>Recently promoted</v>
      </c>
      <c r="K260">
        <f t="shared" si="14"/>
        <v>0</v>
      </c>
    </row>
    <row r="261" spans="1:11" x14ac:dyDescent="0.25">
      <c r="A261" s="5">
        <v>657</v>
      </c>
      <c r="B261" s="3">
        <v>20</v>
      </c>
      <c r="C261" t="s">
        <v>43</v>
      </c>
      <c r="D261" t="s">
        <v>49</v>
      </c>
      <c r="E261" t="s">
        <v>41</v>
      </c>
      <c r="F261" t="s">
        <v>42</v>
      </c>
      <c r="G261" s="3">
        <v>0</v>
      </c>
      <c r="I261" t="str">
        <f t="shared" si="12"/>
        <v>18-24</v>
      </c>
      <c r="J261" t="str">
        <f t="shared" si="13"/>
        <v>Recently promoted</v>
      </c>
      <c r="K261">
        <f t="shared" si="14"/>
        <v>0</v>
      </c>
    </row>
    <row r="262" spans="1:11" x14ac:dyDescent="0.25">
      <c r="A262" s="5">
        <v>309</v>
      </c>
      <c r="B262" s="3">
        <v>59</v>
      </c>
      <c r="C262" t="s">
        <v>43</v>
      </c>
      <c r="D262" t="s">
        <v>49</v>
      </c>
      <c r="E262" t="s">
        <v>61</v>
      </c>
      <c r="F262" t="s">
        <v>36</v>
      </c>
      <c r="G262" s="3">
        <v>0</v>
      </c>
      <c r="I262" t="str">
        <f t="shared" si="12"/>
        <v>55-60</v>
      </c>
      <c r="J262" t="str">
        <f t="shared" si="13"/>
        <v>Recently promoted</v>
      </c>
      <c r="K262">
        <f t="shared" si="14"/>
        <v>0</v>
      </c>
    </row>
    <row r="263" spans="1:11" x14ac:dyDescent="0.25">
      <c r="A263" s="5">
        <v>1265</v>
      </c>
      <c r="B263" s="3">
        <v>34</v>
      </c>
      <c r="C263" t="s">
        <v>43</v>
      </c>
      <c r="D263" t="s">
        <v>49</v>
      </c>
      <c r="E263" t="s">
        <v>61</v>
      </c>
      <c r="F263" t="s">
        <v>42</v>
      </c>
      <c r="G263" s="3">
        <v>0</v>
      </c>
      <c r="I263" t="str">
        <f t="shared" si="12"/>
        <v>25-34</v>
      </c>
      <c r="J263" t="str">
        <f t="shared" si="13"/>
        <v>Recently promoted</v>
      </c>
      <c r="K263">
        <f t="shared" si="14"/>
        <v>0</v>
      </c>
    </row>
    <row r="264" spans="1:11" x14ac:dyDescent="0.25">
      <c r="A264" s="5">
        <v>1577</v>
      </c>
      <c r="B264" s="3">
        <v>34</v>
      </c>
      <c r="C264" t="s">
        <v>43</v>
      </c>
      <c r="D264" t="s">
        <v>35</v>
      </c>
      <c r="E264" t="s">
        <v>41</v>
      </c>
      <c r="F264" t="s">
        <v>42</v>
      </c>
      <c r="G264" s="3">
        <v>0</v>
      </c>
      <c r="I264" t="str">
        <f t="shared" si="12"/>
        <v>25-34</v>
      </c>
      <c r="J264" t="str">
        <f t="shared" si="13"/>
        <v>Recently promoted</v>
      </c>
      <c r="K264">
        <f t="shared" si="14"/>
        <v>0</v>
      </c>
    </row>
    <row r="265" spans="1:11" x14ac:dyDescent="0.25">
      <c r="A265" s="5">
        <v>812</v>
      </c>
      <c r="B265" s="3">
        <v>24</v>
      </c>
      <c r="C265" t="s">
        <v>43</v>
      </c>
      <c r="D265" t="s">
        <v>49</v>
      </c>
      <c r="E265" t="s">
        <v>52</v>
      </c>
      <c r="F265" t="s">
        <v>50</v>
      </c>
      <c r="G265" s="3">
        <v>0</v>
      </c>
      <c r="I265" t="str">
        <f t="shared" si="12"/>
        <v>18-24</v>
      </c>
      <c r="J265" t="str">
        <f t="shared" si="13"/>
        <v>Recently promoted</v>
      </c>
      <c r="K265">
        <f t="shared" si="14"/>
        <v>0</v>
      </c>
    </row>
    <row r="266" spans="1:11" x14ac:dyDescent="0.25">
      <c r="A266" s="5">
        <v>680</v>
      </c>
      <c r="B266" s="3">
        <v>30</v>
      </c>
      <c r="C266" t="s">
        <v>43</v>
      </c>
      <c r="D266" t="s">
        <v>49</v>
      </c>
      <c r="E266" t="s">
        <v>52</v>
      </c>
      <c r="F266" t="s">
        <v>36</v>
      </c>
      <c r="G266" s="3">
        <v>0</v>
      </c>
      <c r="I266" t="str">
        <f t="shared" si="12"/>
        <v>25-34</v>
      </c>
      <c r="J266" t="str">
        <f t="shared" si="13"/>
        <v>Recently promoted</v>
      </c>
      <c r="K266">
        <f t="shared" si="14"/>
        <v>0</v>
      </c>
    </row>
    <row r="267" spans="1:11" x14ac:dyDescent="0.25">
      <c r="A267" s="5">
        <v>1482</v>
      </c>
      <c r="B267" s="3">
        <v>30</v>
      </c>
      <c r="C267" t="s">
        <v>43</v>
      </c>
      <c r="D267" t="s">
        <v>49</v>
      </c>
      <c r="E267" t="s">
        <v>52</v>
      </c>
      <c r="F267" t="s">
        <v>53</v>
      </c>
      <c r="G267" s="3">
        <v>0</v>
      </c>
      <c r="I267" t="str">
        <f t="shared" si="12"/>
        <v>25-34</v>
      </c>
      <c r="J267" t="str">
        <f t="shared" si="13"/>
        <v>Recently promoted</v>
      </c>
      <c r="K267">
        <f t="shared" si="14"/>
        <v>0</v>
      </c>
    </row>
    <row r="268" spans="1:11" x14ac:dyDescent="0.25">
      <c r="A268" s="5">
        <v>1495</v>
      </c>
      <c r="B268" s="3">
        <v>24</v>
      </c>
      <c r="C268" t="s">
        <v>43</v>
      </c>
      <c r="D268" t="s">
        <v>67</v>
      </c>
      <c r="E268" t="s">
        <v>61</v>
      </c>
      <c r="F268" t="s">
        <v>36</v>
      </c>
      <c r="G268" s="3">
        <v>0</v>
      </c>
      <c r="I268" t="str">
        <f t="shared" si="12"/>
        <v>18-24</v>
      </c>
      <c r="J268" t="str">
        <f t="shared" si="13"/>
        <v>Recently promoted</v>
      </c>
      <c r="K268">
        <f t="shared" si="14"/>
        <v>0</v>
      </c>
    </row>
    <row r="269" spans="1:11" x14ac:dyDescent="0.25">
      <c r="A269" s="5">
        <v>144</v>
      </c>
      <c r="B269" s="3">
        <v>22</v>
      </c>
      <c r="C269" t="s">
        <v>43</v>
      </c>
      <c r="D269" t="s">
        <v>49</v>
      </c>
      <c r="E269" t="s">
        <v>41</v>
      </c>
      <c r="F269" t="s">
        <v>42</v>
      </c>
      <c r="G269" s="3">
        <v>0</v>
      </c>
      <c r="I269" t="str">
        <f t="shared" si="12"/>
        <v>18-24</v>
      </c>
      <c r="J269" t="str">
        <f t="shared" si="13"/>
        <v>Recently promoted</v>
      </c>
      <c r="K269">
        <f t="shared" si="14"/>
        <v>0</v>
      </c>
    </row>
    <row r="270" spans="1:11" x14ac:dyDescent="0.25">
      <c r="A270" s="5">
        <v>1056</v>
      </c>
      <c r="B270" s="3">
        <v>28</v>
      </c>
      <c r="C270" t="s">
        <v>43</v>
      </c>
      <c r="D270" t="s">
        <v>64</v>
      </c>
      <c r="E270" t="s">
        <v>61</v>
      </c>
      <c r="F270" t="s">
        <v>42</v>
      </c>
      <c r="G270" s="3">
        <v>0</v>
      </c>
      <c r="I270" t="str">
        <f t="shared" si="12"/>
        <v>25-34</v>
      </c>
      <c r="J270" t="str">
        <f t="shared" si="13"/>
        <v>Recently promoted</v>
      </c>
      <c r="K270">
        <f t="shared" si="14"/>
        <v>0</v>
      </c>
    </row>
    <row r="271" spans="1:11" x14ac:dyDescent="0.25">
      <c r="A271" s="5">
        <v>1551</v>
      </c>
      <c r="B271" s="3">
        <v>24</v>
      </c>
      <c r="C271" t="s">
        <v>43</v>
      </c>
      <c r="D271" t="s">
        <v>67</v>
      </c>
      <c r="E271" t="s">
        <v>52</v>
      </c>
      <c r="F271" t="s">
        <v>50</v>
      </c>
      <c r="G271" s="3">
        <v>0</v>
      </c>
      <c r="I271" t="str">
        <f t="shared" si="12"/>
        <v>18-24</v>
      </c>
      <c r="J271" t="str">
        <f t="shared" si="13"/>
        <v>Recently promoted</v>
      </c>
      <c r="K271">
        <f t="shared" si="14"/>
        <v>0</v>
      </c>
    </row>
    <row r="272" spans="1:11" x14ac:dyDescent="0.25">
      <c r="A272" s="5">
        <v>61</v>
      </c>
      <c r="B272" s="3">
        <v>37</v>
      </c>
      <c r="C272" t="s">
        <v>43</v>
      </c>
      <c r="D272" t="s">
        <v>67</v>
      </c>
      <c r="E272" t="s">
        <v>61</v>
      </c>
      <c r="F272" t="s">
        <v>42</v>
      </c>
      <c r="G272" s="3">
        <v>0</v>
      </c>
      <c r="I272" t="str">
        <f t="shared" si="12"/>
        <v>35-44</v>
      </c>
      <c r="J272" t="str">
        <f t="shared" si="13"/>
        <v>Recently promoted</v>
      </c>
      <c r="K272">
        <f t="shared" si="14"/>
        <v>0</v>
      </c>
    </row>
    <row r="273" spans="1:11" x14ac:dyDescent="0.25">
      <c r="A273" s="5">
        <v>53</v>
      </c>
      <c r="B273" s="3">
        <v>35</v>
      </c>
      <c r="C273" t="s">
        <v>43</v>
      </c>
      <c r="D273" t="s">
        <v>67</v>
      </c>
      <c r="E273" t="s">
        <v>52</v>
      </c>
      <c r="F273" t="s">
        <v>36</v>
      </c>
      <c r="G273" s="3">
        <v>0</v>
      </c>
      <c r="I273" t="str">
        <f t="shared" si="12"/>
        <v>35-44</v>
      </c>
      <c r="J273" t="str">
        <f t="shared" si="13"/>
        <v>Recently promoted</v>
      </c>
      <c r="K273">
        <f t="shared" si="14"/>
        <v>0</v>
      </c>
    </row>
    <row r="274" spans="1:11" x14ac:dyDescent="0.25">
      <c r="A274" s="5">
        <v>407</v>
      </c>
      <c r="B274" s="3">
        <v>36</v>
      </c>
      <c r="C274" t="s">
        <v>43</v>
      </c>
      <c r="D274" t="s">
        <v>35</v>
      </c>
      <c r="E274" t="s">
        <v>61</v>
      </c>
      <c r="F274" t="s">
        <v>53</v>
      </c>
      <c r="G274" s="3">
        <v>0</v>
      </c>
      <c r="I274" t="str">
        <f t="shared" si="12"/>
        <v>35-44</v>
      </c>
      <c r="J274" t="str">
        <f t="shared" si="13"/>
        <v>Recently promoted</v>
      </c>
      <c r="K274">
        <f t="shared" si="14"/>
        <v>0</v>
      </c>
    </row>
    <row r="275" spans="1:11" x14ac:dyDescent="0.25">
      <c r="A275" s="5">
        <v>1506</v>
      </c>
      <c r="B275" s="3">
        <v>28</v>
      </c>
      <c r="C275" t="s">
        <v>43</v>
      </c>
      <c r="D275" t="s">
        <v>49</v>
      </c>
      <c r="E275" t="s">
        <v>52</v>
      </c>
      <c r="F275" t="s">
        <v>36</v>
      </c>
      <c r="G275" s="3">
        <v>0</v>
      </c>
      <c r="I275" t="str">
        <f t="shared" si="12"/>
        <v>25-34</v>
      </c>
      <c r="J275" t="str">
        <f t="shared" si="13"/>
        <v>Recently promoted</v>
      </c>
      <c r="K275">
        <f t="shared" si="14"/>
        <v>0</v>
      </c>
    </row>
    <row r="276" spans="1:11" x14ac:dyDescent="0.25">
      <c r="A276" s="5">
        <v>30</v>
      </c>
      <c r="B276" s="3">
        <v>21</v>
      </c>
      <c r="C276" t="s">
        <v>43</v>
      </c>
      <c r="D276" t="s">
        <v>67</v>
      </c>
      <c r="E276" t="s">
        <v>41</v>
      </c>
      <c r="F276" t="s">
        <v>42</v>
      </c>
      <c r="G276" s="3">
        <v>0</v>
      </c>
      <c r="I276" t="str">
        <f t="shared" si="12"/>
        <v>18-24</v>
      </c>
      <c r="J276" t="str">
        <f t="shared" si="13"/>
        <v>Recently promoted</v>
      </c>
      <c r="K276">
        <f t="shared" si="14"/>
        <v>0</v>
      </c>
    </row>
    <row r="277" spans="1:11" x14ac:dyDescent="0.25">
      <c r="A277" s="5">
        <v>1875</v>
      </c>
      <c r="B277" s="3">
        <v>28</v>
      </c>
      <c r="C277" t="s">
        <v>43</v>
      </c>
      <c r="D277" t="s">
        <v>49</v>
      </c>
      <c r="E277" t="s">
        <v>61</v>
      </c>
      <c r="F277" t="s">
        <v>36</v>
      </c>
      <c r="G277" s="3">
        <v>0</v>
      </c>
      <c r="I277" t="str">
        <f t="shared" si="12"/>
        <v>25-34</v>
      </c>
      <c r="J277" t="str">
        <f t="shared" si="13"/>
        <v>Recently promoted</v>
      </c>
      <c r="K277">
        <f t="shared" si="14"/>
        <v>0</v>
      </c>
    </row>
    <row r="278" spans="1:11" x14ac:dyDescent="0.25">
      <c r="A278" s="5">
        <v>1270</v>
      </c>
      <c r="B278" s="3">
        <v>23</v>
      </c>
      <c r="C278" t="s">
        <v>43</v>
      </c>
      <c r="D278" t="s">
        <v>67</v>
      </c>
      <c r="E278" t="s">
        <v>61</v>
      </c>
      <c r="F278" t="s">
        <v>36</v>
      </c>
      <c r="G278" s="3">
        <v>0</v>
      </c>
      <c r="I278" t="str">
        <f t="shared" si="12"/>
        <v>18-24</v>
      </c>
      <c r="J278" t="str">
        <f t="shared" si="13"/>
        <v>Recently promoted</v>
      </c>
      <c r="K278">
        <f t="shared" si="14"/>
        <v>0</v>
      </c>
    </row>
    <row r="279" spans="1:11" x14ac:dyDescent="0.25">
      <c r="A279" s="5">
        <v>97</v>
      </c>
      <c r="B279" s="3">
        <v>36</v>
      </c>
      <c r="C279" t="s">
        <v>43</v>
      </c>
      <c r="D279" t="s">
        <v>49</v>
      </c>
      <c r="E279" t="s">
        <v>61</v>
      </c>
      <c r="F279" t="s">
        <v>42</v>
      </c>
      <c r="G279" s="3">
        <v>0</v>
      </c>
      <c r="I279" t="str">
        <f t="shared" si="12"/>
        <v>35-44</v>
      </c>
      <c r="J279" t="str">
        <f t="shared" si="13"/>
        <v>Recently promoted</v>
      </c>
      <c r="K279">
        <f t="shared" si="14"/>
        <v>0</v>
      </c>
    </row>
    <row r="280" spans="1:11" x14ac:dyDescent="0.25">
      <c r="A280" s="5">
        <v>63</v>
      </c>
      <c r="B280" s="3">
        <v>35</v>
      </c>
      <c r="C280" t="s">
        <v>43</v>
      </c>
      <c r="D280" t="s">
        <v>64</v>
      </c>
      <c r="E280" t="s">
        <v>61</v>
      </c>
      <c r="F280" t="s">
        <v>42</v>
      </c>
      <c r="G280" s="3">
        <v>0</v>
      </c>
      <c r="I280" t="str">
        <f t="shared" si="12"/>
        <v>35-44</v>
      </c>
      <c r="J280" t="str">
        <f t="shared" si="13"/>
        <v>Recently promoted</v>
      </c>
      <c r="K280">
        <f t="shared" si="14"/>
        <v>0</v>
      </c>
    </row>
    <row r="281" spans="1:11" x14ac:dyDescent="0.25">
      <c r="A281" s="5">
        <v>945</v>
      </c>
      <c r="B281" s="3">
        <v>48</v>
      </c>
      <c r="C281" t="s">
        <v>43</v>
      </c>
      <c r="D281" t="s">
        <v>35</v>
      </c>
      <c r="E281" t="s">
        <v>61</v>
      </c>
      <c r="F281" t="s">
        <v>53</v>
      </c>
      <c r="G281" s="3">
        <v>0</v>
      </c>
      <c r="I281" t="str">
        <f t="shared" si="12"/>
        <v>45-54</v>
      </c>
      <c r="J281" t="str">
        <f t="shared" si="13"/>
        <v>Recently promoted</v>
      </c>
      <c r="K281">
        <f t="shared" si="14"/>
        <v>0</v>
      </c>
    </row>
    <row r="282" spans="1:11" x14ac:dyDescent="0.25">
      <c r="A282" s="5">
        <v>1206</v>
      </c>
      <c r="B282" s="3">
        <v>44</v>
      </c>
      <c r="C282" t="s">
        <v>43</v>
      </c>
      <c r="D282" t="s">
        <v>49</v>
      </c>
      <c r="E282" t="s">
        <v>41</v>
      </c>
      <c r="F282" t="s">
        <v>42</v>
      </c>
      <c r="G282" s="3">
        <v>0</v>
      </c>
      <c r="I282" t="str">
        <f t="shared" si="12"/>
        <v>35-44</v>
      </c>
      <c r="J282" t="str">
        <f t="shared" si="13"/>
        <v>Recently promoted</v>
      </c>
      <c r="K282">
        <f t="shared" si="14"/>
        <v>0</v>
      </c>
    </row>
    <row r="283" spans="1:11" x14ac:dyDescent="0.25">
      <c r="A283" s="5">
        <v>1258</v>
      </c>
      <c r="B283" s="3">
        <v>48</v>
      </c>
      <c r="C283" t="s">
        <v>43</v>
      </c>
      <c r="D283" t="s">
        <v>67</v>
      </c>
      <c r="E283" t="s">
        <v>41</v>
      </c>
      <c r="F283" t="s">
        <v>42</v>
      </c>
      <c r="G283" s="3">
        <v>0</v>
      </c>
      <c r="I283" t="str">
        <f t="shared" si="12"/>
        <v>45-54</v>
      </c>
      <c r="J283" t="str">
        <f t="shared" si="13"/>
        <v>Recently promoted</v>
      </c>
      <c r="K283">
        <f t="shared" si="14"/>
        <v>0</v>
      </c>
    </row>
    <row r="284" spans="1:11" x14ac:dyDescent="0.25">
      <c r="A284" s="5">
        <v>201</v>
      </c>
      <c r="B284" s="3">
        <v>19</v>
      </c>
      <c r="C284" t="s">
        <v>43</v>
      </c>
      <c r="D284" t="s">
        <v>64</v>
      </c>
      <c r="E284" t="s">
        <v>41</v>
      </c>
      <c r="F284" t="s">
        <v>42</v>
      </c>
      <c r="G284" s="3">
        <v>0</v>
      </c>
      <c r="I284" t="str">
        <f t="shared" si="12"/>
        <v>18-24</v>
      </c>
      <c r="J284" t="str">
        <f t="shared" si="13"/>
        <v>Recently promoted</v>
      </c>
      <c r="K284">
        <f t="shared" si="14"/>
        <v>0</v>
      </c>
    </row>
    <row r="285" spans="1:11" x14ac:dyDescent="0.25">
      <c r="A285" s="5">
        <v>508</v>
      </c>
      <c r="B285" s="3">
        <v>30</v>
      </c>
      <c r="C285" t="s">
        <v>43</v>
      </c>
      <c r="D285" t="s">
        <v>64</v>
      </c>
      <c r="E285" t="s">
        <v>61</v>
      </c>
      <c r="F285" t="s">
        <v>36</v>
      </c>
      <c r="G285" s="3">
        <v>0</v>
      </c>
      <c r="I285" t="str">
        <f t="shared" si="12"/>
        <v>25-34</v>
      </c>
      <c r="J285" t="str">
        <f t="shared" si="13"/>
        <v>Recently promoted</v>
      </c>
      <c r="K285">
        <f t="shared" si="14"/>
        <v>0</v>
      </c>
    </row>
    <row r="286" spans="1:11" x14ac:dyDescent="0.25">
      <c r="A286" s="5">
        <v>1558</v>
      </c>
      <c r="B286" s="3">
        <v>29</v>
      </c>
      <c r="C286" t="s">
        <v>43</v>
      </c>
      <c r="D286" t="s">
        <v>49</v>
      </c>
      <c r="E286" t="s">
        <v>61</v>
      </c>
      <c r="F286" t="s">
        <v>53</v>
      </c>
      <c r="G286" s="3">
        <v>0</v>
      </c>
      <c r="I286" t="str">
        <f t="shared" si="12"/>
        <v>25-34</v>
      </c>
      <c r="J286" t="str">
        <f t="shared" si="13"/>
        <v>Recently promoted</v>
      </c>
      <c r="K286">
        <f t="shared" si="14"/>
        <v>0</v>
      </c>
    </row>
    <row r="287" spans="1:11" x14ac:dyDescent="0.25">
      <c r="A287" s="5">
        <v>54</v>
      </c>
      <c r="B287" s="3">
        <v>27</v>
      </c>
      <c r="C287" t="s">
        <v>43</v>
      </c>
      <c r="D287" t="s">
        <v>35</v>
      </c>
      <c r="E287" t="s">
        <v>52</v>
      </c>
      <c r="F287" t="s">
        <v>36</v>
      </c>
      <c r="G287" s="3">
        <v>0</v>
      </c>
      <c r="I287" t="str">
        <f t="shared" si="12"/>
        <v>25-34</v>
      </c>
      <c r="J287" t="str">
        <f t="shared" si="13"/>
        <v>Recently promoted</v>
      </c>
      <c r="K287">
        <f t="shared" si="14"/>
        <v>0</v>
      </c>
    </row>
    <row r="288" spans="1:11" x14ac:dyDescent="0.25">
      <c r="A288" s="5">
        <v>95</v>
      </c>
      <c r="B288" s="3">
        <v>31</v>
      </c>
      <c r="C288" t="s">
        <v>43</v>
      </c>
      <c r="D288" t="s">
        <v>35</v>
      </c>
      <c r="E288" t="s">
        <v>41</v>
      </c>
      <c r="F288" t="s">
        <v>42</v>
      </c>
      <c r="G288" s="3">
        <v>0</v>
      </c>
      <c r="I288" t="str">
        <f t="shared" si="12"/>
        <v>25-34</v>
      </c>
      <c r="J288" t="str">
        <f t="shared" si="13"/>
        <v>Recently promoted</v>
      </c>
      <c r="K288">
        <f t="shared" si="14"/>
        <v>0</v>
      </c>
    </row>
    <row r="289" spans="1:11" x14ac:dyDescent="0.25">
      <c r="A289" s="5">
        <v>1492</v>
      </c>
      <c r="B289" s="3">
        <v>35</v>
      </c>
      <c r="C289" t="s">
        <v>43</v>
      </c>
      <c r="D289" t="s">
        <v>64</v>
      </c>
      <c r="E289" t="s">
        <v>61</v>
      </c>
      <c r="F289" t="s">
        <v>36</v>
      </c>
      <c r="G289" s="3">
        <v>0</v>
      </c>
      <c r="I289" t="str">
        <f t="shared" si="12"/>
        <v>35-44</v>
      </c>
      <c r="J289" t="str">
        <f t="shared" si="13"/>
        <v>Recently promoted</v>
      </c>
      <c r="K289">
        <f t="shared" si="14"/>
        <v>0</v>
      </c>
    </row>
    <row r="290" spans="1:11" x14ac:dyDescent="0.25">
      <c r="A290" s="5">
        <v>1961</v>
      </c>
      <c r="B290" s="3">
        <v>38</v>
      </c>
      <c r="C290" t="s">
        <v>43</v>
      </c>
      <c r="D290" t="s">
        <v>49</v>
      </c>
      <c r="E290" t="s">
        <v>41</v>
      </c>
      <c r="F290" t="s">
        <v>42</v>
      </c>
      <c r="G290" s="3">
        <v>0</v>
      </c>
      <c r="I290" t="str">
        <f t="shared" si="12"/>
        <v>35-44</v>
      </c>
      <c r="J290" t="str">
        <f t="shared" si="13"/>
        <v>Recently promoted</v>
      </c>
      <c r="K290">
        <f t="shared" si="14"/>
        <v>0</v>
      </c>
    </row>
    <row r="291" spans="1:11" x14ac:dyDescent="0.25">
      <c r="A291" s="5">
        <v>155</v>
      </c>
      <c r="B291" s="3">
        <v>36</v>
      </c>
      <c r="C291" t="s">
        <v>43</v>
      </c>
      <c r="D291" t="s">
        <v>67</v>
      </c>
      <c r="E291" t="s">
        <v>52</v>
      </c>
      <c r="F291" t="s">
        <v>36</v>
      </c>
      <c r="G291" s="3">
        <v>0</v>
      </c>
      <c r="I291" t="str">
        <f t="shared" si="12"/>
        <v>35-44</v>
      </c>
      <c r="J291" t="str">
        <f t="shared" si="13"/>
        <v>Recently promoted</v>
      </c>
      <c r="K291">
        <f t="shared" si="14"/>
        <v>0</v>
      </c>
    </row>
    <row r="292" spans="1:11" x14ac:dyDescent="0.25">
      <c r="A292" s="5">
        <v>662</v>
      </c>
      <c r="B292" s="3">
        <v>38</v>
      </c>
      <c r="C292" t="s">
        <v>43</v>
      </c>
      <c r="D292" t="s">
        <v>64</v>
      </c>
      <c r="E292" t="s">
        <v>41</v>
      </c>
      <c r="F292" t="s">
        <v>42</v>
      </c>
      <c r="G292" s="3">
        <v>0</v>
      </c>
      <c r="I292" t="str">
        <f t="shared" si="12"/>
        <v>35-44</v>
      </c>
      <c r="J292" t="str">
        <f t="shared" si="13"/>
        <v>Recently promoted</v>
      </c>
      <c r="K292">
        <f t="shared" si="14"/>
        <v>0</v>
      </c>
    </row>
    <row r="293" spans="1:11" x14ac:dyDescent="0.25">
      <c r="A293" s="5">
        <v>1115</v>
      </c>
      <c r="B293" s="3">
        <v>34</v>
      </c>
      <c r="C293" t="s">
        <v>43</v>
      </c>
      <c r="D293" t="s">
        <v>35</v>
      </c>
      <c r="E293" t="s">
        <v>61</v>
      </c>
      <c r="F293" t="s">
        <v>50</v>
      </c>
      <c r="G293" s="3">
        <v>0</v>
      </c>
      <c r="I293" t="str">
        <f t="shared" si="12"/>
        <v>25-34</v>
      </c>
      <c r="J293" t="str">
        <f t="shared" si="13"/>
        <v>Recently promoted</v>
      </c>
      <c r="K293">
        <f t="shared" si="14"/>
        <v>0</v>
      </c>
    </row>
    <row r="294" spans="1:11" x14ac:dyDescent="0.25">
      <c r="A294" s="5">
        <v>1190</v>
      </c>
      <c r="B294" s="3">
        <v>32</v>
      </c>
      <c r="C294" t="s">
        <v>43</v>
      </c>
      <c r="D294" t="s">
        <v>64</v>
      </c>
      <c r="E294" t="s">
        <v>52</v>
      </c>
      <c r="F294" t="s">
        <v>50</v>
      </c>
      <c r="G294" s="3">
        <v>0</v>
      </c>
      <c r="I294" t="str">
        <f t="shared" si="12"/>
        <v>25-34</v>
      </c>
      <c r="J294" t="str">
        <f t="shared" si="13"/>
        <v>Recently promoted</v>
      </c>
      <c r="K294">
        <f t="shared" si="14"/>
        <v>0</v>
      </c>
    </row>
    <row r="295" spans="1:11" x14ac:dyDescent="0.25">
      <c r="A295" s="5">
        <v>39</v>
      </c>
      <c r="B295" s="3">
        <v>33</v>
      </c>
      <c r="C295" t="s">
        <v>43</v>
      </c>
      <c r="D295" t="s">
        <v>49</v>
      </c>
      <c r="E295" t="s">
        <v>41</v>
      </c>
      <c r="F295" t="s">
        <v>42</v>
      </c>
      <c r="G295" s="3">
        <v>0</v>
      </c>
      <c r="I295" t="str">
        <f t="shared" si="12"/>
        <v>25-34</v>
      </c>
      <c r="J295" t="str">
        <f t="shared" si="13"/>
        <v>Recently promoted</v>
      </c>
      <c r="K295">
        <f t="shared" si="14"/>
        <v>0</v>
      </c>
    </row>
    <row r="296" spans="1:11" x14ac:dyDescent="0.25">
      <c r="A296" s="5">
        <v>934</v>
      </c>
      <c r="B296" s="3">
        <v>34</v>
      </c>
      <c r="C296" t="s">
        <v>43</v>
      </c>
      <c r="D296" t="s">
        <v>49</v>
      </c>
      <c r="E296" t="s">
        <v>52</v>
      </c>
      <c r="F296" t="s">
        <v>53</v>
      </c>
      <c r="G296" s="3">
        <v>0</v>
      </c>
      <c r="I296" t="str">
        <f t="shared" si="12"/>
        <v>25-34</v>
      </c>
      <c r="J296" t="str">
        <f t="shared" si="13"/>
        <v>Recently promoted</v>
      </c>
      <c r="K296">
        <f t="shared" si="14"/>
        <v>0</v>
      </c>
    </row>
    <row r="297" spans="1:11" x14ac:dyDescent="0.25">
      <c r="A297" s="5">
        <v>715</v>
      </c>
      <c r="B297" s="3">
        <v>37</v>
      </c>
      <c r="C297" t="s">
        <v>43</v>
      </c>
      <c r="D297" t="s">
        <v>67</v>
      </c>
      <c r="E297" t="s">
        <v>41</v>
      </c>
      <c r="F297" t="s">
        <v>42</v>
      </c>
      <c r="G297" s="3">
        <v>0</v>
      </c>
      <c r="I297" t="str">
        <f t="shared" si="12"/>
        <v>35-44</v>
      </c>
      <c r="J297" t="str">
        <f t="shared" si="13"/>
        <v>Recently promoted</v>
      </c>
      <c r="K297">
        <f t="shared" si="14"/>
        <v>0</v>
      </c>
    </row>
    <row r="298" spans="1:11" x14ac:dyDescent="0.25">
      <c r="A298" s="5">
        <v>1030</v>
      </c>
      <c r="B298" s="3">
        <v>50</v>
      </c>
      <c r="C298" t="s">
        <v>43</v>
      </c>
      <c r="D298" t="s">
        <v>49</v>
      </c>
      <c r="E298" t="s">
        <v>61</v>
      </c>
      <c r="F298" t="s">
        <v>42</v>
      </c>
      <c r="G298" s="3">
        <v>0</v>
      </c>
      <c r="I298" t="str">
        <f t="shared" si="12"/>
        <v>45-54</v>
      </c>
      <c r="J298" t="str">
        <f t="shared" si="13"/>
        <v>Recently promoted</v>
      </c>
      <c r="K298">
        <f t="shared" si="14"/>
        <v>0</v>
      </c>
    </row>
    <row r="299" spans="1:11" x14ac:dyDescent="0.25">
      <c r="A299" s="5">
        <v>1687</v>
      </c>
      <c r="B299" s="3">
        <v>38</v>
      </c>
      <c r="C299" t="s">
        <v>43</v>
      </c>
      <c r="D299" t="s">
        <v>67</v>
      </c>
      <c r="E299" t="s">
        <v>61</v>
      </c>
      <c r="F299" t="s">
        <v>36</v>
      </c>
      <c r="G299" s="3">
        <v>0</v>
      </c>
      <c r="I299" t="str">
        <f t="shared" si="12"/>
        <v>35-44</v>
      </c>
      <c r="J299" t="str">
        <f t="shared" si="13"/>
        <v>Recently promoted</v>
      </c>
      <c r="K299">
        <f t="shared" si="14"/>
        <v>0</v>
      </c>
    </row>
    <row r="300" spans="1:11" x14ac:dyDescent="0.25">
      <c r="A300" s="5">
        <v>643</v>
      </c>
      <c r="B300" s="3">
        <v>24</v>
      </c>
      <c r="C300" t="s">
        <v>43</v>
      </c>
      <c r="D300" t="s">
        <v>67</v>
      </c>
      <c r="E300" t="s">
        <v>61</v>
      </c>
      <c r="F300" t="s">
        <v>36</v>
      </c>
      <c r="G300" s="3">
        <v>0</v>
      </c>
      <c r="I300" t="str">
        <f t="shared" si="12"/>
        <v>18-24</v>
      </c>
      <c r="J300" t="str">
        <f t="shared" si="13"/>
        <v>Recently promoted</v>
      </c>
      <c r="K300">
        <f t="shared" si="14"/>
        <v>0</v>
      </c>
    </row>
    <row r="301" spans="1:11" x14ac:dyDescent="0.25">
      <c r="A301" s="5">
        <v>749</v>
      </c>
      <c r="B301" s="3">
        <v>29</v>
      </c>
      <c r="C301" t="s">
        <v>43</v>
      </c>
      <c r="D301" t="s">
        <v>49</v>
      </c>
      <c r="E301" t="s">
        <v>41</v>
      </c>
      <c r="F301" t="s">
        <v>42</v>
      </c>
      <c r="G301" s="3">
        <v>0</v>
      </c>
      <c r="I301" t="str">
        <f t="shared" si="12"/>
        <v>25-34</v>
      </c>
      <c r="J301" t="str">
        <f t="shared" si="13"/>
        <v>Recently promoted</v>
      </c>
      <c r="K301">
        <f t="shared" si="14"/>
        <v>0</v>
      </c>
    </row>
    <row r="302" spans="1:11" x14ac:dyDescent="0.25">
      <c r="A302" s="5">
        <v>1368</v>
      </c>
      <c r="B302" s="3">
        <v>18</v>
      </c>
      <c r="C302" t="s">
        <v>43</v>
      </c>
      <c r="D302" t="s">
        <v>49</v>
      </c>
      <c r="E302" t="s">
        <v>41</v>
      </c>
      <c r="F302" t="s">
        <v>42</v>
      </c>
      <c r="G302" s="3">
        <v>0</v>
      </c>
      <c r="I302" t="str">
        <f t="shared" si="12"/>
        <v>18-24</v>
      </c>
      <c r="J302" t="str">
        <f t="shared" si="13"/>
        <v>Recently promoted</v>
      </c>
      <c r="K302">
        <f t="shared" si="14"/>
        <v>0</v>
      </c>
    </row>
    <row r="303" spans="1:11" x14ac:dyDescent="0.25">
      <c r="A303" s="5">
        <v>2012</v>
      </c>
      <c r="B303" s="3">
        <v>40</v>
      </c>
      <c r="C303" t="s">
        <v>43</v>
      </c>
      <c r="D303" t="s">
        <v>35</v>
      </c>
      <c r="E303" t="s">
        <v>61</v>
      </c>
      <c r="F303" t="s">
        <v>53</v>
      </c>
      <c r="G303" s="3">
        <v>0</v>
      </c>
      <c r="I303" t="str">
        <f t="shared" si="12"/>
        <v>35-44</v>
      </c>
      <c r="J303" t="str">
        <f t="shared" si="13"/>
        <v>Recently promoted</v>
      </c>
      <c r="K303">
        <f t="shared" si="14"/>
        <v>0</v>
      </c>
    </row>
    <row r="304" spans="1:11" x14ac:dyDescent="0.25">
      <c r="A304" s="5">
        <v>1865</v>
      </c>
      <c r="B304" s="3">
        <v>29</v>
      </c>
      <c r="C304" t="s">
        <v>43</v>
      </c>
      <c r="D304" t="s">
        <v>64</v>
      </c>
      <c r="E304" t="s">
        <v>61</v>
      </c>
      <c r="F304" t="s">
        <v>42</v>
      </c>
      <c r="G304" s="3">
        <v>0</v>
      </c>
      <c r="I304" t="str">
        <f t="shared" si="12"/>
        <v>25-34</v>
      </c>
      <c r="J304" t="str">
        <f t="shared" si="13"/>
        <v>Recently promoted</v>
      </c>
      <c r="K304">
        <f t="shared" si="14"/>
        <v>0</v>
      </c>
    </row>
    <row r="305" spans="1:11" x14ac:dyDescent="0.25">
      <c r="A305" s="5">
        <v>411</v>
      </c>
      <c r="B305" s="3">
        <v>18</v>
      </c>
      <c r="C305" t="s">
        <v>43</v>
      </c>
      <c r="D305" t="s">
        <v>49</v>
      </c>
      <c r="E305" t="s">
        <v>41</v>
      </c>
      <c r="F305" t="s">
        <v>42</v>
      </c>
      <c r="G305" s="3">
        <v>0</v>
      </c>
      <c r="I305" t="str">
        <f t="shared" si="12"/>
        <v>18-24</v>
      </c>
      <c r="J305" t="str">
        <f t="shared" si="13"/>
        <v>Recently promoted</v>
      </c>
      <c r="K305">
        <f t="shared" si="14"/>
        <v>0</v>
      </c>
    </row>
    <row r="306" spans="1:11" x14ac:dyDescent="0.25">
      <c r="A306" s="5">
        <v>556</v>
      </c>
      <c r="B306" s="3">
        <v>38</v>
      </c>
      <c r="C306" t="s">
        <v>43</v>
      </c>
      <c r="D306" t="s">
        <v>67</v>
      </c>
      <c r="E306" t="s">
        <v>61</v>
      </c>
      <c r="F306" t="s">
        <v>36</v>
      </c>
      <c r="G306" s="3">
        <v>0</v>
      </c>
      <c r="I306" t="str">
        <f t="shared" si="12"/>
        <v>35-44</v>
      </c>
      <c r="J306" t="str">
        <f t="shared" si="13"/>
        <v>Recently promoted</v>
      </c>
      <c r="K306">
        <f t="shared" si="14"/>
        <v>0</v>
      </c>
    </row>
    <row r="307" spans="1:11" x14ac:dyDescent="0.25">
      <c r="A307" s="5">
        <v>1158</v>
      </c>
      <c r="B307" s="3">
        <v>41</v>
      </c>
      <c r="C307" t="s">
        <v>43</v>
      </c>
      <c r="D307" t="s">
        <v>35</v>
      </c>
      <c r="E307" t="s">
        <v>61</v>
      </c>
      <c r="F307" t="s">
        <v>36</v>
      </c>
      <c r="G307" s="3">
        <v>0</v>
      </c>
      <c r="I307" t="str">
        <f t="shared" si="12"/>
        <v>35-44</v>
      </c>
      <c r="J307" t="str">
        <f t="shared" si="13"/>
        <v>Recently promoted</v>
      </c>
      <c r="K307">
        <f t="shared" si="14"/>
        <v>0</v>
      </c>
    </row>
    <row r="308" spans="1:11" x14ac:dyDescent="0.25">
      <c r="A308" s="5">
        <v>1055</v>
      </c>
      <c r="B308" s="3">
        <v>34</v>
      </c>
      <c r="C308" t="s">
        <v>43</v>
      </c>
      <c r="D308" t="s">
        <v>35</v>
      </c>
      <c r="E308" t="s">
        <v>61</v>
      </c>
      <c r="F308" t="s">
        <v>36</v>
      </c>
      <c r="G308" s="3">
        <v>0</v>
      </c>
      <c r="I308" t="str">
        <f t="shared" si="12"/>
        <v>25-34</v>
      </c>
      <c r="J308" t="str">
        <f t="shared" si="13"/>
        <v>Recently promoted</v>
      </c>
      <c r="K308">
        <f t="shared" si="14"/>
        <v>0</v>
      </c>
    </row>
    <row r="309" spans="1:11" x14ac:dyDescent="0.25">
      <c r="A309" s="5">
        <v>10</v>
      </c>
      <c r="B309" s="3">
        <v>59</v>
      </c>
      <c r="C309" t="s">
        <v>43</v>
      </c>
      <c r="D309" t="s">
        <v>49</v>
      </c>
      <c r="E309" t="s">
        <v>61</v>
      </c>
      <c r="F309" t="s">
        <v>50</v>
      </c>
      <c r="G309" s="3">
        <v>0</v>
      </c>
      <c r="I309" t="str">
        <f t="shared" si="12"/>
        <v>55-60</v>
      </c>
      <c r="J309" t="str">
        <f t="shared" si="13"/>
        <v>Recently promoted</v>
      </c>
      <c r="K309">
        <f t="shared" si="14"/>
        <v>0</v>
      </c>
    </row>
    <row r="310" spans="1:11" x14ac:dyDescent="0.25">
      <c r="A310" s="5">
        <v>1974</v>
      </c>
      <c r="B310" s="3">
        <v>31</v>
      </c>
      <c r="C310" t="s">
        <v>43</v>
      </c>
      <c r="D310" t="s">
        <v>64</v>
      </c>
      <c r="E310" t="s">
        <v>52</v>
      </c>
      <c r="F310" t="s">
        <v>50</v>
      </c>
      <c r="G310" s="3">
        <v>0</v>
      </c>
      <c r="I310" t="str">
        <f t="shared" si="12"/>
        <v>25-34</v>
      </c>
      <c r="J310" t="str">
        <f t="shared" si="13"/>
        <v>Recently promoted</v>
      </c>
      <c r="K310">
        <f t="shared" si="14"/>
        <v>0</v>
      </c>
    </row>
    <row r="311" spans="1:11" x14ac:dyDescent="0.25">
      <c r="A311" s="5">
        <v>22</v>
      </c>
      <c r="B311" s="3">
        <v>22</v>
      </c>
      <c r="C311" t="s">
        <v>43</v>
      </c>
      <c r="D311" t="s">
        <v>67</v>
      </c>
      <c r="E311" t="s">
        <v>52</v>
      </c>
      <c r="F311" t="s">
        <v>53</v>
      </c>
      <c r="G311" s="3">
        <v>0</v>
      </c>
      <c r="I311" t="str">
        <f t="shared" si="12"/>
        <v>18-24</v>
      </c>
      <c r="J311" t="str">
        <f t="shared" si="13"/>
        <v>Recently promoted</v>
      </c>
      <c r="K311">
        <f t="shared" si="14"/>
        <v>0</v>
      </c>
    </row>
    <row r="312" spans="1:11" x14ac:dyDescent="0.25">
      <c r="A312" s="5">
        <v>964</v>
      </c>
      <c r="B312" s="3">
        <v>40</v>
      </c>
      <c r="C312" t="s">
        <v>43</v>
      </c>
      <c r="D312" t="s">
        <v>35</v>
      </c>
      <c r="E312" t="s">
        <v>52</v>
      </c>
      <c r="F312" t="s">
        <v>36</v>
      </c>
      <c r="G312" s="3">
        <v>0</v>
      </c>
      <c r="I312" t="str">
        <f t="shared" si="12"/>
        <v>35-44</v>
      </c>
      <c r="J312" t="str">
        <f t="shared" si="13"/>
        <v>Recently promoted</v>
      </c>
      <c r="K312">
        <f t="shared" si="14"/>
        <v>0</v>
      </c>
    </row>
    <row r="313" spans="1:11" x14ac:dyDescent="0.25">
      <c r="A313" s="5">
        <v>51</v>
      </c>
      <c r="B313" s="3">
        <v>36</v>
      </c>
      <c r="C313" t="s">
        <v>43</v>
      </c>
      <c r="D313" t="s">
        <v>35</v>
      </c>
      <c r="E313" t="s">
        <v>61</v>
      </c>
      <c r="F313" t="s">
        <v>36</v>
      </c>
      <c r="G313" s="3">
        <v>0</v>
      </c>
      <c r="I313" t="str">
        <f t="shared" si="12"/>
        <v>35-44</v>
      </c>
      <c r="J313" t="str">
        <f t="shared" si="13"/>
        <v>Recently promoted</v>
      </c>
      <c r="K313">
        <f t="shared" si="14"/>
        <v>0</v>
      </c>
    </row>
    <row r="314" spans="1:11" x14ac:dyDescent="0.25">
      <c r="A314" s="5">
        <v>1893</v>
      </c>
      <c r="B314" s="3">
        <v>26</v>
      </c>
      <c r="C314" t="s">
        <v>43</v>
      </c>
      <c r="D314" t="s">
        <v>67</v>
      </c>
      <c r="E314" t="s">
        <v>61</v>
      </c>
      <c r="F314" t="s">
        <v>36</v>
      </c>
      <c r="G314" s="3">
        <v>0</v>
      </c>
      <c r="I314" t="str">
        <f t="shared" si="12"/>
        <v>25-34</v>
      </c>
      <c r="J314" t="str">
        <f t="shared" si="13"/>
        <v>Recently promoted</v>
      </c>
      <c r="K314">
        <f t="shared" si="14"/>
        <v>0</v>
      </c>
    </row>
    <row r="315" spans="1:11" x14ac:dyDescent="0.25">
      <c r="A315" s="5">
        <v>773</v>
      </c>
      <c r="B315" s="3">
        <v>38</v>
      </c>
      <c r="C315" t="s">
        <v>43</v>
      </c>
      <c r="D315" t="s">
        <v>70</v>
      </c>
      <c r="E315" t="s">
        <v>61</v>
      </c>
      <c r="F315" t="s">
        <v>36</v>
      </c>
      <c r="G315" s="3">
        <v>0</v>
      </c>
      <c r="I315" t="str">
        <f t="shared" si="12"/>
        <v>35-44</v>
      </c>
      <c r="J315" t="str">
        <f t="shared" si="13"/>
        <v>Recently promoted</v>
      </c>
      <c r="K315">
        <f t="shared" si="14"/>
        <v>0</v>
      </c>
    </row>
    <row r="316" spans="1:11" x14ac:dyDescent="0.25">
      <c r="A316" s="5">
        <v>214</v>
      </c>
      <c r="B316" s="3">
        <v>58</v>
      </c>
      <c r="C316" t="s">
        <v>43</v>
      </c>
      <c r="D316" t="s">
        <v>49</v>
      </c>
      <c r="E316" t="s">
        <v>61</v>
      </c>
      <c r="F316" t="s">
        <v>36</v>
      </c>
      <c r="G316" s="3">
        <v>0</v>
      </c>
      <c r="I316" t="str">
        <f t="shared" si="12"/>
        <v>55-60</v>
      </c>
      <c r="J316" t="str">
        <f t="shared" si="13"/>
        <v>Recently promoted</v>
      </c>
      <c r="K316">
        <f t="shared" si="14"/>
        <v>0</v>
      </c>
    </row>
    <row r="317" spans="1:11" x14ac:dyDescent="0.25">
      <c r="A317" s="5">
        <v>947</v>
      </c>
      <c r="B317" s="3">
        <v>31</v>
      </c>
      <c r="C317" t="s">
        <v>43</v>
      </c>
      <c r="D317" t="s">
        <v>67</v>
      </c>
      <c r="E317" t="s">
        <v>61</v>
      </c>
      <c r="F317" t="s">
        <v>36</v>
      </c>
      <c r="G317" s="3">
        <v>0</v>
      </c>
      <c r="I317" t="str">
        <f t="shared" si="12"/>
        <v>25-34</v>
      </c>
      <c r="J317" t="str">
        <f t="shared" si="13"/>
        <v>Recently promoted</v>
      </c>
      <c r="K317">
        <f t="shared" si="14"/>
        <v>0</v>
      </c>
    </row>
    <row r="318" spans="1:11" x14ac:dyDescent="0.25">
      <c r="A318" s="5">
        <v>448</v>
      </c>
      <c r="B318" s="3">
        <v>43</v>
      </c>
      <c r="C318" t="s">
        <v>43</v>
      </c>
      <c r="D318" t="s">
        <v>35</v>
      </c>
      <c r="E318" t="s">
        <v>52</v>
      </c>
      <c r="F318" t="s">
        <v>36</v>
      </c>
      <c r="G318" s="3">
        <v>0</v>
      </c>
      <c r="I318" t="str">
        <f t="shared" si="12"/>
        <v>35-44</v>
      </c>
      <c r="J318" t="str">
        <f t="shared" si="13"/>
        <v>Recently promoted</v>
      </c>
      <c r="K318">
        <f t="shared" si="14"/>
        <v>0</v>
      </c>
    </row>
    <row r="319" spans="1:11" x14ac:dyDescent="0.25">
      <c r="A319" s="5">
        <v>867</v>
      </c>
      <c r="B319" s="3">
        <v>52</v>
      </c>
      <c r="C319" t="s">
        <v>43</v>
      </c>
      <c r="D319" t="s">
        <v>35</v>
      </c>
      <c r="E319" t="s">
        <v>61</v>
      </c>
      <c r="F319" t="s">
        <v>42</v>
      </c>
      <c r="G319" s="3">
        <v>0</v>
      </c>
      <c r="I319" t="str">
        <f t="shared" si="12"/>
        <v>45-54</v>
      </c>
      <c r="J319" t="str">
        <f t="shared" si="13"/>
        <v>Recently promoted</v>
      </c>
      <c r="K319">
        <f t="shared" si="14"/>
        <v>0</v>
      </c>
    </row>
    <row r="320" spans="1:11" x14ac:dyDescent="0.25">
      <c r="A320" s="5">
        <v>1369</v>
      </c>
      <c r="B320" s="3">
        <v>35</v>
      </c>
      <c r="C320" t="s">
        <v>43</v>
      </c>
      <c r="D320" t="s">
        <v>49</v>
      </c>
      <c r="E320" t="s">
        <v>61</v>
      </c>
      <c r="F320" t="s">
        <v>36</v>
      </c>
      <c r="G320" s="3">
        <v>0</v>
      </c>
      <c r="I320" t="str">
        <f t="shared" si="12"/>
        <v>35-44</v>
      </c>
      <c r="J320" t="str">
        <f t="shared" si="13"/>
        <v>Recently promoted</v>
      </c>
      <c r="K320">
        <f t="shared" si="14"/>
        <v>0</v>
      </c>
    </row>
    <row r="321" spans="1:11" x14ac:dyDescent="0.25">
      <c r="A321" s="5">
        <v>1677</v>
      </c>
      <c r="B321" s="3">
        <v>49</v>
      </c>
      <c r="C321" t="s">
        <v>43</v>
      </c>
      <c r="D321" t="s">
        <v>49</v>
      </c>
      <c r="E321" t="s">
        <v>41</v>
      </c>
      <c r="F321" t="s">
        <v>42</v>
      </c>
      <c r="G321" s="3">
        <v>0</v>
      </c>
      <c r="I321" t="str">
        <f t="shared" si="12"/>
        <v>45-54</v>
      </c>
      <c r="J321" t="str">
        <f t="shared" si="13"/>
        <v>Recently promoted</v>
      </c>
      <c r="K321">
        <f t="shared" si="14"/>
        <v>0</v>
      </c>
    </row>
    <row r="322" spans="1:11" x14ac:dyDescent="0.25">
      <c r="A322" s="5">
        <v>586</v>
      </c>
      <c r="B322" s="3">
        <v>35</v>
      </c>
      <c r="C322" t="s">
        <v>43</v>
      </c>
      <c r="D322" t="s">
        <v>49</v>
      </c>
      <c r="E322" t="s">
        <v>61</v>
      </c>
      <c r="F322" t="s">
        <v>42</v>
      </c>
      <c r="G322" s="3">
        <v>0</v>
      </c>
      <c r="I322" t="str">
        <f t="shared" si="12"/>
        <v>35-44</v>
      </c>
      <c r="J322" t="str">
        <f t="shared" si="13"/>
        <v>Recently promoted</v>
      </c>
      <c r="K322">
        <f t="shared" si="14"/>
        <v>0</v>
      </c>
    </row>
    <row r="323" spans="1:11" x14ac:dyDescent="0.25">
      <c r="A323" s="5">
        <v>1424</v>
      </c>
      <c r="B323" s="3">
        <v>55</v>
      </c>
      <c r="C323" t="s">
        <v>43</v>
      </c>
      <c r="D323" t="s">
        <v>35</v>
      </c>
      <c r="E323" t="s">
        <v>52</v>
      </c>
      <c r="F323" t="s">
        <v>53</v>
      </c>
      <c r="G323" s="3">
        <v>0</v>
      </c>
      <c r="I323" t="str">
        <f t="shared" ref="I323:I386" si="15">IF(B323&lt;=24, "18-24", IF(B323&lt;=34,"25-34", IF(B323&lt;=44,"35-44", IF(B323&lt;=54,"45-54", IF(B323&lt;=60, "55-60")))))</f>
        <v>55-60</v>
      </c>
      <c r="J323" t="str">
        <f t="shared" ref="J323:J386" si="16">IF(G323&lt;=0,"Recently promoted",IF(G323&lt;=3,"Promoted in 1-3 years","Long Promotion gap"))</f>
        <v>Recently promoted</v>
      </c>
      <c r="K323">
        <f t="shared" ref="K323:K386" si="17">IF(C323="Yes", 1, 0)</f>
        <v>0</v>
      </c>
    </row>
    <row r="324" spans="1:11" x14ac:dyDescent="0.25">
      <c r="A324" s="5">
        <v>2045</v>
      </c>
      <c r="B324" s="3">
        <v>36</v>
      </c>
      <c r="C324" t="s">
        <v>43</v>
      </c>
      <c r="D324" t="s">
        <v>35</v>
      </c>
      <c r="E324" t="s">
        <v>61</v>
      </c>
      <c r="F324" t="s">
        <v>36</v>
      </c>
      <c r="G324" s="3">
        <v>0</v>
      </c>
      <c r="I324" t="str">
        <f t="shared" si="15"/>
        <v>35-44</v>
      </c>
      <c r="J324" t="str">
        <f t="shared" si="16"/>
        <v>Recently promoted</v>
      </c>
      <c r="K324">
        <f t="shared" si="17"/>
        <v>0</v>
      </c>
    </row>
    <row r="325" spans="1:11" x14ac:dyDescent="0.25">
      <c r="A325" s="5">
        <v>1371</v>
      </c>
      <c r="B325" s="3">
        <v>27</v>
      </c>
      <c r="C325" t="s">
        <v>43</v>
      </c>
      <c r="D325" t="s">
        <v>64</v>
      </c>
      <c r="E325" t="s">
        <v>41</v>
      </c>
      <c r="F325" t="s">
        <v>42</v>
      </c>
      <c r="G325" s="3">
        <v>0</v>
      </c>
      <c r="I325" t="str">
        <f t="shared" si="15"/>
        <v>25-34</v>
      </c>
      <c r="J325" t="str">
        <f t="shared" si="16"/>
        <v>Recently promoted</v>
      </c>
      <c r="K325">
        <f t="shared" si="17"/>
        <v>0</v>
      </c>
    </row>
    <row r="326" spans="1:11" x14ac:dyDescent="0.25">
      <c r="A326" s="5">
        <v>1516</v>
      </c>
      <c r="B326" s="3">
        <v>32</v>
      </c>
      <c r="C326" t="s">
        <v>43</v>
      </c>
      <c r="D326" t="s">
        <v>49</v>
      </c>
      <c r="E326" t="s">
        <v>41</v>
      </c>
      <c r="F326" t="s">
        <v>42</v>
      </c>
      <c r="G326" s="3">
        <v>0</v>
      </c>
      <c r="I326" t="str">
        <f t="shared" si="15"/>
        <v>25-34</v>
      </c>
      <c r="J326" t="str">
        <f t="shared" si="16"/>
        <v>Recently promoted</v>
      </c>
      <c r="K326">
        <f t="shared" si="17"/>
        <v>0</v>
      </c>
    </row>
    <row r="327" spans="1:11" x14ac:dyDescent="0.25">
      <c r="A327" s="5">
        <v>499</v>
      </c>
      <c r="B327" s="3">
        <v>49</v>
      </c>
      <c r="C327" t="s">
        <v>43</v>
      </c>
      <c r="D327" t="s">
        <v>49</v>
      </c>
      <c r="E327" t="s">
        <v>41</v>
      </c>
      <c r="F327" t="s">
        <v>42</v>
      </c>
      <c r="G327" s="3">
        <v>0</v>
      </c>
      <c r="I327" t="str">
        <f t="shared" si="15"/>
        <v>45-54</v>
      </c>
      <c r="J327" t="str">
        <f t="shared" si="16"/>
        <v>Recently promoted</v>
      </c>
      <c r="K327">
        <f t="shared" si="17"/>
        <v>0</v>
      </c>
    </row>
    <row r="328" spans="1:11" x14ac:dyDescent="0.25">
      <c r="A328" s="5">
        <v>1622</v>
      </c>
      <c r="B328" s="3">
        <v>28</v>
      </c>
      <c r="C328" t="s">
        <v>43</v>
      </c>
      <c r="D328" t="s">
        <v>49</v>
      </c>
      <c r="E328" t="s">
        <v>52</v>
      </c>
      <c r="F328" t="s">
        <v>36</v>
      </c>
      <c r="G328" s="3">
        <v>0</v>
      </c>
      <c r="I328" t="str">
        <f t="shared" si="15"/>
        <v>25-34</v>
      </c>
      <c r="J328" t="str">
        <f t="shared" si="16"/>
        <v>Recently promoted</v>
      </c>
      <c r="K328">
        <f t="shared" si="17"/>
        <v>0</v>
      </c>
    </row>
    <row r="329" spans="1:11" x14ac:dyDescent="0.25">
      <c r="A329" s="5">
        <v>1212</v>
      </c>
      <c r="B329" s="3">
        <v>40</v>
      </c>
      <c r="C329" t="s">
        <v>43</v>
      </c>
      <c r="D329" t="s">
        <v>35</v>
      </c>
      <c r="E329" t="s">
        <v>61</v>
      </c>
      <c r="F329" t="s">
        <v>50</v>
      </c>
      <c r="G329" s="3">
        <v>0</v>
      </c>
      <c r="I329" t="str">
        <f t="shared" si="15"/>
        <v>35-44</v>
      </c>
      <c r="J329" t="str">
        <f t="shared" si="16"/>
        <v>Recently promoted</v>
      </c>
      <c r="K329">
        <f t="shared" si="17"/>
        <v>0</v>
      </c>
    </row>
    <row r="330" spans="1:11" x14ac:dyDescent="0.25">
      <c r="A330" s="5">
        <v>467</v>
      </c>
      <c r="B330" s="3">
        <v>47</v>
      </c>
      <c r="C330" t="s">
        <v>43</v>
      </c>
      <c r="D330" t="s">
        <v>64</v>
      </c>
      <c r="E330" t="s">
        <v>41</v>
      </c>
      <c r="F330" t="s">
        <v>42</v>
      </c>
      <c r="G330" s="3">
        <v>0</v>
      </c>
      <c r="I330" t="str">
        <f t="shared" si="15"/>
        <v>45-54</v>
      </c>
      <c r="J330" t="str">
        <f t="shared" si="16"/>
        <v>Recently promoted</v>
      </c>
      <c r="K330">
        <f t="shared" si="17"/>
        <v>0</v>
      </c>
    </row>
    <row r="331" spans="1:11" x14ac:dyDescent="0.25">
      <c r="A331" s="5">
        <v>366</v>
      </c>
      <c r="B331" s="3">
        <v>29</v>
      </c>
      <c r="C331" t="s">
        <v>43</v>
      </c>
      <c r="D331" t="s">
        <v>49</v>
      </c>
      <c r="E331" t="s">
        <v>61</v>
      </c>
      <c r="F331" t="s">
        <v>53</v>
      </c>
      <c r="G331" s="3">
        <v>0</v>
      </c>
      <c r="I331" t="str">
        <f t="shared" si="15"/>
        <v>25-34</v>
      </c>
      <c r="J331" t="str">
        <f t="shared" si="16"/>
        <v>Recently promoted</v>
      </c>
      <c r="K331">
        <f t="shared" si="17"/>
        <v>0</v>
      </c>
    </row>
    <row r="332" spans="1:11" x14ac:dyDescent="0.25">
      <c r="A332" s="5">
        <v>618</v>
      </c>
      <c r="B332" s="3">
        <v>26</v>
      </c>
      <c r="C332" t="s">
        <v>43</v>
      </c>
      <c r="D332" t="s">
        <v>67</v>
      </c>
      <c r="E332" t="s">
        <v>52</v>
      </c>
      <c r="F332" t="s">
        <v>53</v>
      </c>
      <c r="G332" s="3">
        <v>0</v>
      </c>
      <c r="I332" t="str">
        <f t="shared" si="15"/>
        <v>25-34</v>
      </c>
      <c r="J332" t="str">
        <f t="shared" si="16"/>
        <v>Recently promoted</v>
      </c>
      <c r="K332">
        <f t="shared" si="17"/>
        <v>0</v>
      </c>
    </row>
    <row r="333" spans="1:11" x14ac:dyDescent="0.25">
      <c r="A333" s="5">
        <v>1853</v>
      </c>
      <c r="B333" s="3">
        <v>32</v>
      </c>
      <c r="C333" t="s">
        <v>43</v>
      </c>
      <c r="D333" t="s">
        <v>35</v>
      </c>
      <c r="E333" t="s">
        <v>41</v>
      </c>
      <c r="F333" t="s">
        <v>42</v>
      </c>
      <c r="G333" s="3">
        <v>0</v>
      </c>
      <c r="I333" t="str">
        <f t="shared" si="15"/>
        <v>25-34</v>
      </c>
      <c r="J333" t="str">
        <f t="shared" si="16"/>
        <v>Recently promoted</v>
      </c>
      <c r="K333">
        <f t="shared" si="17"/>
        <v>0</v>
      </c>
    </row>
    <row r="334" spans="1:11" x14ac:dyDescent="0.25">
      <c r="A334" s="5">
        <v>72</v>
      </c>
      <c r="B334" s="3">
        <v>26</v>
      </c>
      <c r="C334" t="s">
        <v>43</v>
      </c>
      <c r="D334" t="s">
        <v>49</v>
      </c>
      <c r="E334" t="s">
        <v>61</v>
      </c>
      <c r="F334" t="s">
        <v>36</v>
      </c>
      <c r="G334" s="3">
        <v>0</v>
      </c>
      <c r="I334" t="str">
        <f t="shared" si="15"/>
        <v>25-34</v>
      </c>
      <c r="J334" t="str">
        <f t="shared" si="16"/>
        <v>Recently promoted</v>
      </c>
      <c r="K334">
        <f t="shared" si="17"/>
        <v>0</v>
      </c>
    </row>
    <row r="335" spans="1:11" x14ac:dyDescent="0.25">
      <c r="A335" s="5">
        <v>1935</v>
      </c>
      <c r="B335" s="3">
        <v>56</v>
      </c>
      <c r="C335" t="s">
        <v>43</v>
      </c>
      <c r="D335" t="s">
        <v>70</v>
      </c>
      <c r="E335" t="s">
        <v>61</v>
      </c>
      <c r="F335" t="s">
        <v>36</v>
      </c>
      <c r="G335" s="3">
        <v>0</v>
      </c>
      <c r="I335" t="str">
        <f t="shared" si="15"/>
        <v>55-60</v>
      </c>
      <c r="J335" t="str">
        <f t="shared" si="16"/>
        <v>Recently promoted</v>
      </c>
      <c r="K335">
        <f t="shared" si="17"/>
        <v>0</v>
      </c>
    </row>
    <row r="336" spans="1:11" x14ac:dyDescent="0.25">
      <c r="A336" s="5">
        <v>775</v>
      </c>
      <c r="B336" s="3">
        <v>34</v>
      </c>
      <c r="C336" t="s">
        <v>43</v>
      </c>
      <c r="D336" t="s">
        <v>70</v>
      </c>
      <c r="E336" t="s">
        <v>52</v>
      </c>
      <c r="F336" t="s">
        <v>36</v>
      </c>
      <c r="G336" s="3">
        <v>0</v>
      </c>
      <c r="I336" t="str">
        <f t="shared" si="15"/>
        <v>25-34</v>
      </c>
      <c r="J336" t="str">
        <f t="shared" si="16"/>
        <v>Recently promoted</v>
      </c>
      <c r="K336">
        <f t="shared" si="17"/>
        <v>0</v>
      </c>
    </row>
    <row r="337" spans="1:11" x14ac:dyDescent="0.25">
      <c r="A337" s="5">
        <v>1306</v>
      </c>
      <c r="B337" s="3">
        <v>45</v>
      </c>
      <c r="C337" t="s">
        <v>43</v>
      </c>
      <c r="D337" t="s">
        <v>49</v>
      </c>
      <c r="E337" t="s">
        <v>41</v>
      </c>
      <c r="F337" t="s">
        <v>42</v>
      </c>
      <c r="G337" s="3">
        <v>0</v>
      </c>
      <c r="I337" t="str">
        <f t="shared" si="15"/>
        <v>45-54</v>
      </c>
      <c r="J337" t="str">
        <f t="shared" si="16"/>
        <v>Recently promoted</v>
      </c>
      <c r="K337">
        <f t="shared" si="17"/>
        <v>0</v>
      </c>
    </row>
    <row r="338" spans="1:11" x14ac:dyDescent="0.25">
      <c r="A338" s="5">
        <v>1943</v>
      </c>
      <c r="B338" s="3">
        <v>42</v>
      </c>
      <c r="C338" t="s">
        <v>43</v>
      </c>
      <c r="D338" t="s">
        <v>35</v>
      </c>
      <c r="E338" t="s">
        <v>52</v>
      </c>
      <c r="F338" t="s">
        <v>53</v>
      </c>
      <c r="G338" s="3">
        <v>0</v>
      </c>
      <c r="I338" t="str">
        <f t="shared" si="15"/>
        <v>35-44</v>
      </c>
      <c r="J338" t="str">
        <f t="shared" si="16"/>
        <v>Recently promoted</v>
      </c>
      <c r="K338">
        <f t="shared" si="17"/>
        <v>0</v>
      </c>
    </row>
    <row r="339" spans="1:11" x14ac:dyDescent="0.25">
      <c r="A339" s="5">
        <v>1036</v>
      </c>
      <c r="B339" s="3">
        <v>38</v>
      </c>
      <c r="C339" t="s">
        <v>43</v>
      </c>
      <c r="D339" t="s">
        <v>35</v>
      </c>
      <c r="E339" t="s">
        <v>41</v>
      </c>
      <c r="F339" t="s">
        <v>42</v>
      </c>
      <c r="G339" s="3">
        <v>0</v>
      </c>
      <c r="I339" t="str">
        <f t="shared" si="15"/>
        <v>35-44</v>
      </c>
      <c r="J339" t="str">
        <f t="shared" si="16"/>
        <v>Recently promoted</v>
      </c>
      <c r="K339">
        <f t="shared" si="17"/>
        <v>0</v>
      </c>
    </row>
    <row r="340" spans="1:11" x14ac:dyDescent="0.25">
      <c r="A340" s="5">
        <v>271</v>
      </c>
      <c r="B340" s="3">
        <v>38</v>
      </c>
      <c r="C340" t="s">
        <v>43</v>
      </c>
      <c r="D340" t="s">
        <v>35</v>
      </c>
      <c r="E340" t="s">
        <v>61</v>
      </c>
      <c r="F340" t="s">
        <v>42</v>
      </c>
      <c r="G340" s="3">
        <v>0</v>
      </c>
      <c r="I340" t="str">
        <f t="shared" si="15"/>
        <v>35-44</v>
      </c>
      <c r="J340" t="str">
        <f t="shared" si="16"/>
        <v>Recently promoted</v>
      </c>
      <c r="K340">
        <f t="shared" si="17"/>
        <v>0</v>
      </c>
    </row>
    <row r="341" spans="1:11" x14ac:dyDescent="0.25">
      <c r="A341" s="5">
        <v>1263</v>
      </c>
      <c r="B341" s="3">
        <v>48</v>
      </c>
      <c r="C341" t="s">
        <v>43</v>
      </c>
      <c r="D341" t="s">
        <v>49</v>
      </c>
      <c r="E341" t="s">
        <v>41</v>
      </c>
      <c r="F341" t="s">
        <v>42</v>
      </c>
      <c r="G341" s="3">
        <v>0</v>
      </c>
      <c r="I341" t="str">
        <f t="shared" si="15"/>
        <v>45-54</v>
      </c>
      <c r="J341" t="str">
        <f t="shared" si="16"/>
        <v>Recently promoted</v>
      </c>
      <c r="K341">
        <f t="shared" si="17"/>
        <v>0</v>
      </c>
    </row>
    <row r="342" spans="1:11" x14ac:dyDescent="0.25">
      <c r="A342" s="5">
        <v>86</v>
      </c>
      <c r="B342" s="3">
        <v>45</v>
      </c>
      <c r="C342" t="s">
        <v>43</v>
      </c>
      <c r="D342" t="s">
        <v>49</v>
      </c>
      <c r="E342" t="s">
        <v>52</v>
      </c>
      <c r="F342" t="s">
        <v>36</v>
      </c>
      <c r="G342" s="3">
        <v>0</v>
      </c>
      <c r="I342" t="str">
        <f t="shared" si="15"/>
        <v>45-54</v>
      </c>
      <c r="J342" t="str">
        <f t="shared" si="16"/>
        <v>Recently promoted</v>
      </c>
      <c r="K342">
        <f t="shared" si="17"/>
        <v>0</v>
      </c>
    </row>
    <row r="343" spans="1:11" x14ac:dyDescent="0.25">
      <c r="A343" s="5">
        <v>521</v>
      </c>
      <c r="B343" s="3">
        <v>40</v>
      </c>
      <c r="C343" t="s">
        <v>43</v>
      </c>
      <c r="D343" t="s">
        <v>49</v>
      </c>
      <c r="E343" t="s">
        <v>61</v>
      </c>
      <c r="F343" t="s">
        <v>36</v>
      </c>
      <c r="G343" s="3">
        <v>0</v>
      </c>
      <c r="I343" t="str">
        <f t="shared" si="15"/>
        <v>35-44</v>
      </c>
      <c r="J343" t="str">
        <f t="shared" si="16"/>
        <v>Recently promoted</v>
      </c>
      <c r="K343">
        <f t="shared" si="17"/>
        <v>0</v>
      </c>
    </row>
    <row r="344" spans="1:11" x14ac:dyDescent="0.25">
      <c r="A344" s="5">
        <v>1591</v>
      </c>
      <c r="B344" s="3">
        <v>50</v>
      </c>
      <c r="C344" t="s">
        <v>43</v>
      </c>
      <c r="D344" t="s">
        <v>49</v>
      </c>
      <c r="E344" t="s">
        <v>61</v>
      </c>
      <c r="F344" t="s">
        <v>36</v>
      </c>
      <c r="G344" s="3">
        <v>0</v>
      </c>
      <c r="I344" t="str">
        <f t="shared" si="15"/>
        <v>45-54</v>
      </c>
      <c r="J344" t="str">
        <f t="shared" si="16"/>
        <v>Recently promoted</v>
      </c>
      <c r="K344">
        <f t="shared" si="17"/>
        <v>0</v>
      </c>
    </row>
    <row r="345" spans="1:11" x14ac:dyDescent="0.25">
      <c r="A345" s="5">
        <v>1242</v>
      </c>
      <c r="B345" s="3">
        <v>42</v>
      </c>
      <c r="C345" t="s">
        <v>43</v>
      </c>
      <c r="D345" t="s">
        <v>70</v>
      </c>
      <c r="E345" t="s">
        <v>61</v>
      </c>
      <c r="F345" t="s">
        <v>42</v>
      </c>
      <c r="G345" s="3">
        <v>0</v>
      </c>
      <c r="I345" t="str">
        <f t="shared" si="15"/>
        <v>35-44</v>
      </c>
      <c r="J345" t="str">
        <f t="shared" si="16"/>
        <v>Recently promoted</v>
      </c>
      <c r="K345">
        <f t="shared" si="17"/>
        <v>0</v>
      </c>
    </row>
    <row r="346" spans="1:11" x14ac:dyDescent="0.25">
      <c r="A346" s="5">
        <v>139</v>
      </c>
      <c r="B346" s="3">
        <v>37</v>
      </c>
      <c r="C346" t="s">
        <v>43</v>
      </c>
      <c r="D346" t="s">
        <v>67</v>
      </c>
      <c r="E346" t="s">
        <v>52</v>
      </c>
      <c r="F346" t="s">
        <v>36</v>
      </c>
      <c r="G346" s="3">
        <v>0</v>
      </c>
      <c r="I346" t="str">
        <f t="shared" si="15"/>
        <v>35-44</v>
      </c>
      <c r="J346" t="str">
        <f t="shared" si="16"/>
        <v>Recently promoted</v>
      </c>
      <c r="K346">
        <f t="shared" si="17"/>
        <v>0</v>
      </c>
    </row>
    <row r="347" spans="1:11" x14ac:dyDescent="0.25">
      <c r="A347" s="5">
        <v>1966</v>
      </c>
      <c r="B347" s="3">
        <v>32</v>
      </c>
      <c r="C347" t="s">
        <v>43</v>
      </c>
      <c r="D347" t="s">
        <v>35</v>
      </c>
      <c r="E347" t="s">
        <v>41</v>
      </c>
      <c r="F347" t="s">
        <v>42</v>
      </c>
      <c r="G347" s="3">
        <v>0</v>
      </c>
      <c r="I347" t="str">
        <f t="shared" si="15"/>
        <v>25-34</v>
      </c>
      <c r="J347" t="str">
        <f t="shared" si="16"/>
        <v>Recently promoted</v>
      </c>
      <c r="K347">
        <f t="shared" si="17"/>
        <v>0</v>
      </c>
    </row>
    <row r="348" spans="1:11" x14ac:dyDescent="0.25">
      <c r="A348" s="5">
        <v>477</v>
      </c>
      <c r="B348" s="3">
        <v>42</v>
      </c>
      <c r="C348" t="s">
        <v>43</v>
      </c>
      <c r="D348" t="s">
        <v>35</v>
      </c>
      <c r="E348" t="s">
        <v>41</v>
      </c>
      <c r="F348" t="s">
        <v>42</v>
      </c>
      <c r="G348" s="3">
        <v>0</v>
      </c>
      <c r="I348" t="str">
        <f t="shared" si="15"/>
        <v>35-44</v>
      </c>
      <c r="J348" t="str">
        <f t="shared" si="16"/>
        <v>Recently promoted</v>
      </c>
      <c r="K348">
        <f t="shared" si="17"/>
        <v>0</v>
      </c>
    </row>
    <row r="349" spans="1:11" x14ac:dyDescent="0.25">
      <c r="A349" s="5">
        <v>298</v>
      </c>
      <c r="B349" s="3">
        <v>41</v>
      </c>
      <c r="C349" t="s">
        <v>43</v>
      </c>
      <c r="D349" t="s">
        <v>49</v>
      </c>
      <c r="E349" t="s">
        <v>41</v>
      </c>
      <c r="F349" t="s">
        <v>42</v>
      </c>
      <c r="G349" s="3">
        <v>0</v>
      </c>
      <c r="I349" t="str">
        <f t="shared" si="15"/>
        <v>35-44</v>
      </c>
      <c r="J349" t="str">
        <f t="shared" si="16"/>
        <v>Recently promoted</v>
      </c>
      <c r="K349">
        <f t="shared" si="17"/>
        <v>0</v>
      </c>
    </row>
    <row r="350" spans="1:11" x14ac:dyDescent="0.25">
      <c r="A350" s="5">
        <v>634</v>
      </c>
      <c r="B350" s="3">
        <v>38</v>
      </c>
      <c r="C350" t="s">
        <v>43</v>
      </c>
      <c r="D350" t="s">
        <v>49</v>
      </c>
      <c r="E350" t="s">
        <v>61</v>
      </c>
      <c r="F350" t="s">
        <v>36</v>
      </c>
      <c r="G350" s="3">
        <v>0</v>
      </c>
      <c r="I350" t="str">
        <f t="shared" si="15"/>
        <v>35-44</v>
      </c>
      <c r="J350" t="str">
        <f t="shared" si="16"/>
        <v>Recently promoted</v>
      </c>
      <c r="K350">
        <f t="shared" si="17"/>
        <v>0</v>
      </c>
    </row>
    <row r="351" spans="1:11" x14ac:dyDescent="0.25">
      <c r="A351" s="5">
        <v>151</v>
      </c>
      <c r="B351" s="3">
        <v>34</v>
      </c>
      <c r="C351" t="s">
        <v>43</v>
      </c>
      <c r="D351" t="s">
        <v>35</v>
      </c>
      <c r="E351" t="s">
        <v>52</v>
      </c>
      <c r="F351" t="s">
        <v>36</v>
      </c>
      <c r="G351" s="3">
        <v>0</v>
      </c>
      <c r="I351" t="str">
        <f t="shared" si="15"/>
        <v>25-34</v>
      </c>
      <c r="J351" t="str">
        <f t="shared" si="16"/>
        <v>Recently promoted</v>
      </c>
      <c r="K351">
        <f t="shared" si="17"/>
        <v>0</v>
      </c>
    </row>
    <row r="352" spans="1:11" x14ac:dyDescent="0.25">
      <c r="A352" s="5">
        <v>487</v>
      </c>
      <c r="B352" s="3">
        <v>46</v>
      </c>
      <c r="C352" t="s">
        <v>43</v>
      </c>
      <c r="D352" t="s">
        <v>35</v>
      </c>
      <c r="E352" t="s">
        <v>61</v>
      </c>
      <c r="F352" t="s">
        <v>42</v>
      </c>
      <c r="G352" s="3">
        <v>0</v>
      </c>
      <c r="I352" t="str">
        <f t="shared" si="15"/>
        <v>45-54</v>
      </c>
      <c r="J352" t="str">
        <f t="shared" si="16"/>
        <v>Recently promoted</v>
      </c>
      <c r="K352">
        <f t="shared" si="17"/>
        <v>0</v>
      </c>
    </row>
    <row r="353" spans="1:11" x14ac:dyDescent="0.25">
      <c r="A353" s="5">
        <v>1847</v>
      </c>
      <c r="B353" s="3">
        <v>36</v>
      </c>
      <c r="C353" t="s">
        <v>43</v>
      </c>
      <c r="D353" t="s">
        <v>35</v>
      </c>
      <c r="E353" t="s">
        <v>61</v>
      </c>
      <c r="F353" t="s">
        <v>36</v>
      </c>
      <c r="G353" s="3">
        <v>0</v>
      </c>
      <c r="I353" t="str">
        <f t="shared" si="15"/>
        <v>35-44</v>
      </c>
      <c r="J353" t="str">
        <f t="shared" si="16"/>
        <v>Recently promoted</v>
      </c>
      <c r="K353">
        <f t="shared" si="17"/>
        <v>0</v>
      </c>
    </row>
    <row r="354" spans="1:11" x14ac:dyDescent="0.25">
      <c r="A354" s="5">
        <v>868</v>
      </c>
      <c r="B354" s="3">
        <v>37</v>
      </c>
      <c r="C354" t="s">
        <v>43</v>
      </c>
      <c r="D354" t="s">
        <v>35</v>
      </c>
      <c r="E354" t="s">
        <v>52</v>
      </c>
      <c r="F354" t="s">
        <v>53</v>
      </c>
      <c r="G354" s="3">
        <v>0</v>
      </c>
      <c r="I354" t="str">
        <f t="shared" si="15"/>
        <v>35-44</v>
      </c>
      <c r="J354" t="str">
        <f t="shared" si="16"/>
        <v>Recently promoted</v>
      </c>
      <c r="K354">
        <f t="shared" si="17"/>
        <v>0</v>
      </c>
    </row>
    <row r="355" spans="1:11" x14ac:dyDescent="0.25">
      <c r="A355" s="5">
        <v>1256</v>
      </c>
      <c r="B355" s="3">
        <v>49</v>
      </c>
      <c r="C355" t="s">
        <v>43</v>
      </c>
      <c r="D355" t="s">
        <v>67</v>
      </c>
      <c r="E355" t="s">
        <v>61</v>
      </c>
      <c r="F355" t="s">
        <v>36</v>
      </c>
      <c r="G355" s="3">
        <v>0</v>
      </c>
      <c r="I355" t="str">
        <f t="shared" si="15"/>
        <v>45-54</v>
      </c>
      <c r="J355" t="str">
        <f t="shared" si="16"/>
        <v>Recently promoted</v>
      </c>
      <c r="K355">
        <f t="shared" si="17"/>
        <v>0</v>
      </c>
    </row>
    <row r="356" spans="1:11" x14ac:dyDescent="0.25">
      <c r="A356" s="5">
        <v>920</v>
      </c>
      <c r="B356" s="3">
        <v>43</v>
      </c>
      <c r="C356" t="s">
        <v>43</v>
      </c>
      <c r="D356" t="s">
        <v>49</v>
      </c>
      <c r="E356" t="s">
        <v>52</v>
      </c>
      <c r="F356" t="s">
        <v>36</v>
      </c>
      <c r="G356" s="3">
        <v>0</v>
      </c>
      <c r="I356" t="str">
        <f t="shared" si="15"/>
        <v>35-44</v>
      </c>
      <c r="J356" t="str">
        <f t="shared" si="16"/>
        <v>Recently promoted</v>
      </c>
      <c r="K356">
        <f t="shared" si="17"/>
        <v>0</v>
      </c>
    </row>
    <row r="357" spans="1:11" x14ac:dyDescent="0.25">
      <c r="A357" s="5">
        <v>1076</v>
      </c>
      <c r="B357" s="3">
        <v>43</v>
      </c>
      <c r="C357" t="s">
        <v>43</v>
      </c>
      <c r="D357" t="s">
        <v>49</v>
      </c>
      <c r="E357" t="s">
        <v>52</v>
      </c>
      <c r="F357" t="s">
        <v>36</v>
      </c>
      <c r="G357" s="3">
        <v>0</v>
      </c>
      <c r="I357" t="str">
        <f t="shared" si="15"/>
        <v>35-44</v>
      </c>
      <c r="J357" t="str">
        <f t="shared" si="16"/>
        <v>Recently promoted</v>
      </c>
      <c r="K357">
        <f t="shared" si="17"/>
        <v>0</v>
      </c>
    </row>
    <row r="358" spans="1:11" x14ac:dyDescent="0.25">
      <c r="A358" s="5">
        <v>211</v>
      </c>
      <c r="B358" s="3">
        <v>51</v>
      </c>
      <c r="C358" t="s">
        <v>43</v>
      </c>
      <c r="D358" t="s">
        <v>35</v>
      </c>
      <c r="E358" t="s">
        <v>61</v>
      </c>
      <c r="F358" t="s">
        <v>42</v>
      </c>
      <c r="G358" s="3">
        <v>0</v>
      </c>
      <c r="I358" t="str">
        <f t="shared" si="15"/>
        <v>45-54</v>
      </c>
      <c r="J358" t="str">
        <f t="shared" si="16"/>
        <v>Recently promoted</v>
      </c>
      <c r="K358">
        <f t="shared" si="17"/>
        <v>0</v>
      </c>
    </row>
    <row r="359" spans="1:11" x14ac:dyDescent="0.25">
      <c r="A359" s="5">
        <v>1105</v>
      </c>
      <c r="B359" s="3">
        <v>37</v>
      </c>
      <c r="C359" t="s">
        <v>43</v>
      </c>
      <c r="D359" t="s">
        <v>35</v>
      </c>
      <c r="E359" t="s">
        <v>52</v>
      </c>
      <c r="F359" t="s">
        <v>50</v>
      </c>
      <c r="G359" s="3">
        <v>0</v>
      </c>
      <c r="I359" t="str">
        <f t="shared" si="15"/>
        <v>35-44</v>
      </c>
      <c r="J359" t="str">
        <f t="shared" si="16"/>
        <v>Recently promoted</v>
      </c>
      <c r="K359">
        <f t="shared" si="17"/>
        <v>0</v>
      </c>
    </row>
    <row r="360" spans="1:11" x14ac:dyDescent="0.25">
      <c r="A360" s="5">
        <v>1938</v>
      </c>
      <c r="B360" s="3">
        <v>58</v>
      </c>
      <c r="C360" t="s">
        <v>43</v>
      </c>
      <c r="D360" t="s">
        <v>49</v>
      </c>
      <c r="E360" t="s">
        <v>61</v>
      </c>
      <c r="F360" t="s">
        <v>36</v>
      </c>
      <c r="G360" s="3">
        <v>0</v>
      </c>
      <c r="I360" t="str">
        <f t="shared" si="15"/>
        <v>55-60</v>
      </c>
      <c r="J360" t="str">
        <f t="shared" si="16"/>
        <v>Recently promoted</v>
      </c>
      <c r="K360">
        <f t="shared" si="17"/>
        <v>0</v>
      </c>
    </row>
    <row r="361" spans="1:11" x14ac:dyDescent="0.25">
      <c r="A361" s="5">
        <v>1029</v>
      </c>
      <c r="B361" s="3">
        <v>42</v>
      </c>
      <c r="C361" t="s">
        <v>43</v>
      </c>
      <c r="D361" t="s">
        <v>67</v>
      </c>
      <c r="E361" t="s">
        <v>61</v>
      </c>
      <c r="F361" t="s">
        <v>42</v>
      </c>
      <c r="G361" s="3">
        <v>0</v>
      </c>
      <c r="I361" t="str">
        <f t="shared" si="15"/>
        <v>35-44</v>
      </c>
      <c r="J361" t="str">
        <f t="shared" si="16"/>
        <v>Recently promoted</v>
      </c>
      <c r="K361">
        <f t="shared" si="17"/>
        <v>0</v>
      </c>
    </row>
    <row r="362" spans="1:11" x14ac:dyDescent="0.25">
      <c r="A362" s="5">
        <v>1180</v>
      </c>
      <c r="B362" s="3">
        <v>40</v>
      </c>
      <c r="C362" t="s">
        <v>43</v>
      </c>
      <c r="D362" t="s">
        <v>67</v>
      </c>
      <c r="E362" t="s">
        <v>61</v>
      </c>
      <c r="F362" t="s">
        <v>36</v>
      </c>
      <c r="G362" s="3">
        <v>0</v>
      </c>
      <c r="I362" t="str">
        <f t="shared" si="15"/>
        <v>35-44</v>
      </c>
      <c r="J362" t="str">
        <f t="shared" si="16"/>
        <v>Recently promoted</v>
      </c>
      <c r="K362">
        <f t="shared" si="17"/>
        <v>0</v>
      </c>
    </row>
    <row r="363" spans="1:11" x14ac:dyDescent="0.25">
      <c r="A363" s="5">
        <v>1803</v>
      </c>
      <c r="B363" s="3">
        <v>42</v>
      </c>
      <c r="C363" t="s">
        <v>43</v>
      </c>
      <c r="D363" t="s">
        <v>49</v>
      </c>
      <c r="E363" t="s">
        <v>61</v>
      </c>
      <c r="F363" t="s">
        <v>53</v>
      </c>
      <c r="G363" s="3">
        <v>0</v>
      </c>
      <c r="I363" t="str">
        <f t="shared" si="15"/>
        <v>35-44</v>
      </c>
      <c r="J363" t="str">
        <f t="shared" si="16"/>
        <v>Recently promoted</v>
      </c>
      <c r="K363">
        <f t="shared" si="17"/>
        <v>0</v>
      </c>
    </row>
    <row r="364" spans="1:11" x14ac:dyDescent="0.25">
      <c r="A364" s="5">
        <v>743</v>
      </c>
      <c r="B364" s="3">
        <v>38</v>
      </c>
      <c r="C364" t="s">
        <v>43</v>
      </c>
      <c r="D364" t="s">
        <v>49</v>
      </c>
      <c r="E364" t="s">
        <v>41</v>
      </c>
      <c r="F364" t="s">
        <v>42</v>
      </c>
      <c r="G364" s="3">
        <v>0</v>
      </c>
      <c r="I364" t="str">
        <f t="shared" si="15"/>
        <v>35-44</v>
      </c>
      <c r="J364" t="str">
        <f t="shared" si="16"/>
        <v>Recently promoted</v>
      </c>
      <c r="K364">
        <f t="shared" si="17"/>
        <v>0</v>
      </c>
    </row>
    <row r="365" spans="1:11" x14ac:dyDescent="0.25">
      <c r="A365" s="5">
        <v>833</v>
      </c>
      <c r="B365" s="3">
        <v>30</v>
      </c>
      <c r="C365" t="s">
        <v>43</v>
      </c>
      <c r="D365" t="s">
        <v>49</v>
      </c>
      <c r="E365" t="s">
        <v>41</v>
      </c>
      <c r="F365" t="s">
        <v>42</v>
      </c>
      <c r="G365" s="3">
        <v>0</v>
      </c>
      <c r="I365" t="str">
        <f t="shared" si="15"/>
        <v>25-34</v>
      </c>
      <c r="J365" t="str">
        <f t="shared" si="16"/>
        <v>Recently promoted</v>
      </c>
      <c r="K365">
        <f t="shared" si="17"/>
        <v>0</v>
      </c>
    </row>
    <row r="366" spans="1:11" x14ac:dyDescent="0.25">
      <c r="A366" s="5">
        <v>771</v>
      </c>
      <c r="B366" s="3">
        <v>35</v>
      </c>
      <c r="C366" t="s">
        <v>43</v>
      </c>
      <c r="D366" t="s">
        <v>35</v>
      </c>
      <c r="E366" t="s">
        <v>52</v>
      </c>
      <c r="F366" t="s">
        <v>36</v>
      </c>
      <c r="G366" s="3">
        <v>0</v>
      </c>
      <c r="I366" t="str">
        <f t="shared" si="15"/>
        <v>35-44</v>
      </c>
      <c r="J366" t="str">
        <f t="shared" si="16"/>
        <v>Recently promoted</v>
      </c>
      <c r="K366">
        <f t="shared" si="17"/>
        <v>0</v>
      </c>
    </row>
    <row r="367" spans="1:11" x14ac:dyDescent="0.25">
      <c r="A367" s="5">
        <v>1724</v>
      </c>
      <c r="B367" s="3">
        <v>40</v>
      </c>
      <c r="C367" t="s">
        <v>43</v>
      </c>
      <c r="D367" t="s">
        <v>67</v>
      </c>
      <c r="E367" t="s">
        <v>61</v>
      </c>
      <c r="F367" t="s">
        <v>36</v>
      </c>
      <c r="G367" s="3">
        <v>0</v>
      </c>
      <c r="I367" t="str">
        <f t="shared" si="15"/>
        <v>35-44</v>
      </c>
      <c r="J367" t="str">
        <f t="shared" si="16"/>
        <v>Recently promoted</v>
      </c>
      <c r="K367">
        <f t="shared" si="17"/>
        <v>0</v>
      </c>
    </row>
    <row r="368" spans="1:11" x14ac:dyDescent="0.25">
      <c r="A368" s="5">
        <v>661</v>
      </c>
      <c r="B368" s="3">
        <v>43</v>
      </c>
      <c r="C368" t="s">
        <v>43</v>
      </c>
      <c r="D368" t="s">
        <v>35</v>
      </c>
      <c r="E368" t="s">
        <v>52</v>
      </c>
      <c r="F368" t="s">
        <v>36</v>
      </c>
      <c r="G368" s="3">
        <v>0</v>
      </c>
      <c r="I368" t="str">
        <f t="shared" si="15"/>
        <v>35-44</v>
      </c>
      <c r="J368" t="str">
        <f t="shared" si="16"/>
        <v>Recently promoted</v>
      </c>
      <c r="K368">
        <f t="shared" si="17"/>
        <v>0</v>
      </c>
    </row>
    <row r="369" spans="1:11" x14ac:dyDescent="0.25">
      <c r="A369" s="5">
        <v>1125</v>
      </c>
      <c r="B369" s="3">
        <v>38</v>
      </c>
      <c r="C369" t="s">
        <v>43</v>
      </c>
      <c r="D369" t="s">
        <v>67</v>
      </c>
      <c r="E369" t="s">
        <v>41</v>
      </c>
      <c r="F369" t="s">
        <v>42</v>
      </c>
      <c r="G369" s="3">
        <v>0</v>
      </c>
      <c r="I369" t="str">
        <f t="shared" si="15"/>
        <v>35-44</v>
      </c>
      <c r="J369" t="str">
        <f t="shared" si="16"/>
        <v>Recently promoted</v>
      </c>
      <c r="K369">
        <f t="shared" si="17"/>
        <v>0</v>
      </c>
    </row>
    <row r="370" spans="1:11" x14ac:dyDescent="0.25">
      <c r="A370" s="5">
        <v>334</v>
      </c>
      <c r="B370" s="3">
        <v>41</v>
      </c>
      <c r="C370" t="s">
        <v>43</v>
      </c>
      <c r="D370" t="s">
        <v>67</v>
      </c>
      <c r="E370" t="s">
        <v>52</v>
      </c>
      <c r="F370" t="s">
        <v>53</v>
      </c>
      <c r="G370" s="3">
        <v>0</v>
      </c>
      <c r="I370" t="str">
        <f t="shared" si="15"/>
        <v>35-44</v>
      </c>
      <c r="J370" t="str">
        <f t="shared" si="16"/>
        <v>Recently promoted</v>
      </c>
      <c r="K370">
        <f t="shared" si="17"/>
        <v>0</v>
      </c>
    </row>
    <row r="371" spans="1:11" x14ac:dyDescent="0.25">
      <c r="A371" s="5">
        <v>568</v>
      </c>
      <c r="B371" s="3">
        <v>57</v>
      </c>
      <c r="C371" t="s">
        <v>43</v>
      </c>
      <c r="D371" t="s">
        <v>49</v>
      </c>
      <c r="E371" t="s">
        <v>52</v>
      </c>
      <c r="F371" t="s">
        <v>36</v>
      </c>
      <c r="G371" s="3">
        <v>0</v>
      </c>
      <c r="I371" t="str">
        <f t="shared" si="15"/>
        <v>55-60</v>
      </c>
      <c r="J371" t="str">
        <f t="shared" si="16"/>
        <v>Recently promoted</v>
      </c>
      <c r="K371">
        <f t="shared" si="17"/>
        <v>0</v>
      </c>
    </row>
    <row r="372" spans="1:11" x14ac:dyDescent="0.25">
      <c r="A372" s="5">
        <v>1292</v>
      </c>
      <c r="B372" s="3">
        <v>42</v>
      </c>
      <c r="C372" t="s">
        <v>43</v>
      </c>
      <c r="D372" t="s">
        <v>35</v>
      </c>
      <c r="E372" t="s">
        <v>61</v>
      </c>
      <c r="F372" t="s">
        <v>42</v>
      </c>
      <c r="G372" s="3">
        <v>0</v>
      </c>
      <c r="I372" t="str">
        <f t="shared" si="15"/>
        <v>35-44</v>
      </c>
      <c r="J372" t="str">
        <f t="shared" si="16"/>
        <v>Recently promoted</v>
      </c>
      <c r="K372">
        <f t="shared" si="17"/>
        <v>0</v>
      </c>
    </row>
    <row r="373" spans="1:11" x14ac:dyDescent="0.25">
      <c r="A373" s="5">
        <v>101</v>
      </c>
      <c r="B373" s="3">
        <v>45</v>
      </c>
      <c r="C373" t="s">
        <v>43</v>
      </c>
      <c r="D373" t="s">
        <v>35</v>
      </c>
      <c r="E373" t="s">
        <v>61</v>
      </c>
      <c r="F373" t="s">
        <v>42</v>
      </c>
      <c r="G373" s="3">
        <v>0</v>
      </c>
      <c r="I373" t="str">
        <f t="shared" si="15"/>
        <v>45-54</v>
      </c>
      <c r="J373" t="str">
        <f t="shared" si="16"/>
        <v>Recently promoted</v>
      </c>
      <c r="K373">
        <f t="shared" si="17"/>
        <v>0</v>
      </c>
    </row>
    <row r="374" spans="1:11" x14ac:dyDescent="0.25">
      <c r="A374" s="5">
        <v>479</v>
      </c>
      <c r="B374" s="3">
        <v>36</v>
      </c>
      <c r="C374" t="s">
        <v>43</v>
      </c>
      <c r="D374" t="s">
        <v>70</v>
      </c>
      <c r="E374" t="s">
        <v>41</v>
      </c>
      <c r="F374" t="s">
        <v>42</v>
      </c>
      <c r="G374" s="3">
        <v>0</v>
      </c>
      <c r="I374" t="str">
        <f t="shared" si="15"/>
        <v>35-44</v>
      </c>
      <c r="J374" t="str">
        <f t="shared" si="16"/>
        <v>Recently promoted</v>
      </c>
      <c r="K374">
        <f t="shared" si="17"/>
        <v>0</v>
      </c>
    </row>
    <row r="375" spans="1:11" x14ac:dyDescent="0.25">
      <c r="A375" s="5">
        <v>1595</v>
      </c>
      <c r="B375" s="3">
        <v>42</v>
      </c>
      <c r="C375" t="s">
        <v>43</v>
      </c>
      <c r="D375" t="s">
        <v>67</v>
      </c>
      <c r="E375" t="s">
        <v>41</v>
      </c>
      <c r="F375" t="s">
        <v>42</v>
      </c>
      <c r="G375" s="3">
        <v>0</v>
      </c>
      <c r="I375" t="str">
        <f t="shared" si="15"/>
        <v>35-44</v>
      </c>
      <c r="J375" t="str">
        <f t="shared" si="16"/>
        <v>Recently promoted</v>
      </c>
      <c r="K375">
        <f t="shared" si="17"/>
        <v>0</v>
      </c>
    </row>
    <row r="376" spans="1:11" x14ac:dyDescent="0.25">
      <c r="A376" s="5">
        <v>468</v>
      </c>
      <c r="B376" s="3">
        <v>42</v>
      </c>
      <c r="C376" t="s">
        <v>43</v>
      </c>
      <c r="D376" t="s">
        <v>70</v>
      </c>
      <c r="E376" t="s">
        <v>41</v>
      </c>
      <c r="F376" t="s">
        <v>42</v>
      </c>
      <c r="G376" s="3">
        <v>0</v>
      </c>
      <c r="I376" t="str">
        <f t="shared" si="15"/>
        <v>35-44</v>
      </c>
      <c r="J376" t="str">
        <f t="shared" si="16"/>
        <v>Recently promoted</v>
      </c>
      <c r="K376">
        <f t="shared" si="17"/>
        <v>0</v>
      </c>
    </row>
    <row r="377" spans="1:11" x14ac:dyDescent="0.25">
      <c r="A377" s="5">
        <v>1481</v>
      </c>
      <c r="B377" s="3">
        <v>44</v>
      </c>
      <c r="C377" t="s">
        <v>43</v>
      </c>
      <c r="D377" t="s">
        <v>70</v>
      </c>
      <c r="E377" t="s">
        <v>61</v>
      </c>
      <c r="F377" t="s">
        <v>36</v>
      </c>
      <c r="G377" s="3">
        <v>0</v>
      </c>
      <c r="I377" t="str">
        <f t="shared" si="15"/>
        <v>35-44</v>
      </c>
      <c r="J377" t="str">
        <f t="shared" si="16"/>
        <v>Recently promoted</v>
      </c>
      <c r="K377">
        <f t="shared" si="17"/>
        <v>0</v>
      </c>
    </row>
    <row r="378" spans="1:11" x14ac:dyDescent="0.25">
      <c r="A378" s="5">
        <v>1770</v>
      </c>
      <c r="B378" s="3">
        <v>55</v>
      </c>
      <c r="C378" t="s">
        <v>43</v>
      </c>
      <c r="D378" t="s">
        <v>49</v>
      </c>
      <c r="E378" t="s">
        <v>61</v>
      </c>
      <c r="F378" t="s">
        <v>50</v>
      </c>
      <c r="G378" s="3">
        <v>0</v>
      </c>
      <c r="I378" t="str">
        <f t="shared" si="15"/>
        <v>55-60</v>
      </c>
      <c r="J378" t="str">
        <f t="shared" si="16"/>
        <v>Recently promoted</v>
      </c>
      <c r="K378">
        <f t="shared" si="17"/>
        <v>0</v>
      </c>
    </row>
    <row r="379" spans="1:11" x14ac:dyDescent="0.25">
      <c r="A379" s="5">
        <v>1515</v>
      </c>
      <c r="B379" s="3">
        <v>33</v>
      </c>
      <c r="C379" t="s">
        <v>43</v>
      </c>
      <c r="D379" t="s">
        <v>70</v>
      </c>
      <c r="E379" t="s">
        <v>41</v>
      </c>
      <c r="F379" t="s">
        <v>42</v>
      </c>
      <c r="G379" s="3">
        <v>0</v>
      </c>
      <c r="I379" t="str">
        <f t="shared" si="15"/>
        <v>25-34</v>
      </c>
      <c r="J379" t="str">
        <f t="shared" si="16"/>
        <v>Recently promoted</v>
      </c>
      <c r="K379">
        <f t="shared" si="17"/>
        <v>0</v>
      </c>
    </row>
    <row r="380" spans="1:11" x14ac:dyDescent="0.25">
      <c r="A380" s="5">
        <v>1731</v>
      </c>
      <c r="B380" s="3">
        <v>47</v>
      </c>
      <c r="C380" t="s">
        <v>43</v>
      </c>
      <c r="D380" t="s">
        <v>35</v>
      </c>
      <c r="E380" t="s">
        <v>61</v>
      </c>
      <c r="F380" t="s">
        <v>36</v>
      </c>
      <c r="G380" s="3">
        <v>0</v>
      </c>
      <c r="I380" t="str">
        <f t="shared" si="15"/>
        <v>45-54</v>
      </c>
      <c r="J380" t="str">
        <f t="shared" si="16"/>
        <v>Recently promoted</v>
      </c>
      <c r="K380">
        <f t="shared" si="17"/>
        <v>0</v>
      </c>
    </row>
    <row r="381" spans="1:11" x14ac:dyDescent="0.25">
      <c r="A381" s="5">
        <v>954</v>
      </c>
      <c r="B381" s="3">
        <v>40</v>
      </c>
      <c r="C381" t="s">
        <v>43</v>
      </c>
      <c r="D381" t="s">
        <v>35</v>
      </c>
      <c r="E381" t="s">
        <v>52</v>
      </c>
      <c r="F381" t="s">
        <v>36</v>
      </c>
      <c r="G381" s="3">
        <v>0</v>
      </c>
      <c r="I381" t="str">
        <f t="shared" si="15"/>
        <v>35-44</v>
      </c>
      <c r="J381" t="str">
        <f t="shared" si="16"/>
        <v>Recently promoted</v>
      </c>
      <c r="K381">
        <f t="shared" si="17"/>
        <v>0</v>
      </c>
    </row>
    <row r="382" spans="1:11" x14ac:dyDescent="0.25">
      <c r="A382" s="5">
        <v>518</v>
      </c>
      <c r="B382" s="3">
        <v>37</v>
      </c>
      <c r="C382" t="s">
        <v>43</v>
      </c>
      <c r="D382" t="s">
        <v>35</v>
      </c>
      <c r="E382" t="s">
        <v>41</v>
      </c>
      <c r="F382" t="s">
        <v>42</v>
      </c>
      <c r="G382" s="3">
        <v>0</v>
      </c>
      <c r="I382" t="str">
        <f t="shared" si="15"/>
        <v>35-44</v>
      </c>
      <c r="J382" t="str">
        <f t="shared" si="16"/>
        <v>Recently promoted</v>
      </c>
      <c r="K382">
        <f t="shared" si="17"/>
        <v>0</v>
      </c>
    </row>
    <row r="383" spans="1:11" x14ac:dyDescent="0.25">
      <c r="A383" s="5">
        <v>473</v>
      </c>
      <c r="B383" s="3">
        <v>48</v>
      </c>
      <c r="C383" t="s">
        <v>43</v>
      </c>
      <c r="D383" t="s">
        <v>64</v>
      </c>
      <c r="E383" t="s">
        <v>61</v>
      </c>
      <c r="F383" t="s">
        <v>36</v>
      </c>
      <c r="G383" s="3">
        <v>0</v>
      </c>
      <c r="I383" t="str">
        <f t="shared" si="15"/>
        <v>45-54</v>
      </c>
      <c r="J383" t="str">
        <f t="shared" si="16"/>
        <v>Recently promoted</v>
      </c>
      <c r="K383">
        <f t="shared" si="17"/>
        <v>0</v>
      </c>
    </row>
    <row r="384" spans="1:11" x14ac:dyDescent="0.25">
      <c r="A384" s="5">
        <v>496</v>
      </c>
      <c r="B384" s="3">
        <v>35</v>
      </c>
      <c r="C384" t="s">
        <v>43</v>
      </c>
      <c r="D384" t="s">
        <v>35</v>
      </c>
      <c r="E384" t="s">
        <v>41</v>
      </c>
      <c r="F384" t="s">
        <v>42</v>
      </c>
      <c r="G384" s="3">
        <v>0</v>
      </c>
      <c r="I384" t="str">
        <f t="shared" si="15"/>
        <v>35-44</v>
      </c>
      <c r="J384" t="str">
        <f t="shared" si="16"/>
        <v>Recently promoted</v>
      </c>
      <c r="K384">
        <f t="shared" si="17"/>
        <v>0</v>
      </c>
    </row>
    <row r="385" spans="1:11" x14ac:dyDescent="0.25">
      <c r="A385" s="5">
        <v>1697</v>
      </c>
      <c r="B385" s="3">
        <v>60</v>
      </c>
      <c r="C385" t="s">
        <v>43</v>
      </c>
      <c r="D385" t="s">
        <v>35</v>
      </c>
      <c r="E385" t="s">
        <v>52</v>
      </c>
      <c r="F385" t="s">
        <v>36</v>
      </c>
      <c r="G385" s="3">
        <v>0</v>
      </c>
      <c r="I385" t="str">
        <f t="shared" si="15"/>
        <v>55-60</v>
      </c>
      <c r="J385" t="str">
        <f t="shared" si="16"/>
        <v>Recently promoted</v>
      </c>
      <c r="K385">
        <f t="shared" si="17"/>
        <v>0</v>
      </c>
    </row>
    <row r="386" spans="1:11" x14ac:dyDescent="0.25">
      <c r="A386" s="5">
        <v>1585</v>
      </c>
      <c r="B386" s="3">
        <v>36</v>
      </c>
      <c r="C386" t="s">
        <v>43</v>
      </c>
      <c r="D386" t="s">
        <v>35</v>
      </c>
      <c r="E386" t="s">
        <v>41</v>
      </c>
      <c r="F386" t="s">
        <v>42</v>
      </c>
      <c r="G386" s="3">
        <v>0</v>
      </c>
      <c r="I386" t="str">
        <f t="shared" si="15"/>
        <v>35-44</v>
      </c>
      <c r="J386" t="str">
        <f t="shared" si="16"/>
        <v>Recently promoted</v>
      </c>
      <c r="K386">
        <f t="shared" si="17"/>
        <v>0</v>
      </c>
    </row>
    <row r="387" spans="1:11" x14ac:dyDescent="0.25">
      <c r="A387" s="5">
        <v>832</v>
      </c>
      <c r="B387" s="3">
        <v>40</v>
      </c>
      <c r="C387" t="s">
        <v>43</v>
      </c>
      <c r="D387" t="s">
        <v>35</v>
      </c>
      <c r="E387" t="s">
        <v>41</v>
      </c>
      <c r="F387" t="s">
        <v>42</v>
      </c>
      <c r="G387" s="3">
        <v>0</v>
      </c>
      <c r="I387" t="str">
        <f t="shared" ref="I387:I450" si="18">IF(B387&lt;=24, "18-24", IF(B387&lt;=34,"25-34", IF(B387&lt;=44,"35-44", IF(B387&lt;=54,"45-54", IF(B387&lt;=60, "55-60")))))</f>
        <v>35-44</v>
      </c>
      <c r="J387" t="str">
        <f t="shared" ref="J387:J450" si="19">IF(G387&lt;=0,"Recently promoted",IF(G387&lt;=3,"Promoted in 1-3 years","Long Promotion gap"))</f>
        <v>Recently promoted</v>
      </c>
      <c r="K387">
        <f t="shared" ref="K387:K450" si="20">IF(C387="Yes", 1, 0)</f>
        <v>0</v>
      </c>
    </row>
    <row r="388" spans="1:11" x14ac:dyDescent="0.25">
      <c r="A388" s="5">
        <v>1148</v>
      </c>
      <c r="B388" s="3">
        <v>42</v>
      </c>
      <c r="C388" t="s">
        <v>43</v>
      </c>
      <c r="D388" t="s">
        <v>49</v>
      </c>
      <c r="E388" t="s">
        <v>41</v>
      </c>
      <c r="F388" t="s">
        <v>42</v>
      </c>
      <c r="G388" s="3">
        <v>0</v>
      </c>
      <c r="I388" t="str">
        <f t="shared" si="18"/>
        <v>35-44</v>
      </c>
      <c r="J388" t="str">
        <f t="shared" si="19"/>
        <v>Recently promoted</v>
      </c>
      <c r="K388">
        <f t="shared" si="20"/>
        <v>0</v>
      </c>
    </row>
    <row r="389" spans="1:11" x14ac:dyDescent="0.25">
      <c r="A389" s="5">
        <v>451</v>
      </c>
      <c r="B389" s="3">
        <v>43</v>
      </c>
      <c r="C389" t="s">
        <v>43</v>
      </c>
      <c r="D389" t="s">
        <v>49</v>
      </c>
      <c r="E389" t="s">
        <v>61</v>
      </c>
      <c r="F389" t="s">
        <v>36</v>
      </c>
      <c r="G389" s="3">
        <v>0</v>
      </c>
      <c r="I389" t="str">
        <f t="shared" si="18"/>
        <v>35-44</v>
      </c>
      <c r="J389" t="str">
        <f t="shared" si="19"/>
        <v>Recently promoted</v>
      </c>
      <c r="K389">
        <f t="shared" si="20"/>
        <v>0</v>
      </c>
    </row>
    <row r="390" spans="1:11" x14ac:dyDescent="0.25">
      <c r="A390" s="5">
        <v>578</v>
      </c>
      <c r="B390" s="3">
        <v>54</v>
      </c>
      <c r="C390" t="s">
        <v>43</v>
      </c>
      <c r="D390" t="s">
        <v>35</v>
      </c>
      <c r="E390" t="s">
        <v>41</v>
      </c>
      <c r="F390" t="s">
        <v>42</v>
      </c>
      <c r="G390" s="3">
        <v>0</v>
      </c>
      <c r="I390" t="str">
        <f t="shared" si="18"/>
        <v>45-54</v>
      </c>
      <c r="J390" t="str">
        <f t="shared" si="19"/>
        <v>Recently promoted</v>
      </c>
      <c r="K390">
        <f t="shared" si="20"/>
        <v>0</v>
      </c>
    </row>
    <row r="391" spans="1:11" x14ac:dyDescent="0.25">
      <c r="A391" s="5">
        <v>1040</v>
      </c>
      <c r="B391" s="3">
        <v>50</v>
      </c>
      <c r="C391" t="s">
        <v>43</v>
      </c>
      <c r="D391" t="s">
        <v>49</v>
      </c>
      <c r="E391" t="s">
        <v>61</v>
      </c>
      <c r="F391" t="s">
        <v>36</v>
      </c>
      <c r="G391" s="3">
        <v>0</v>
      </c>
      <c r="I391" t="str">
        <f t="shared" si="18"/>
        <v>45-54</v>
      </c>
      <c r="J391" t="str">
        <f t="shared" si="19"/>
        <v>Recently promoted</v>
      </c>
      <c r="K391">
        <f t="shared" si="20"/>
        <v>0</v>
      </c>
    </row>
    <row r="392" spans="1:11" x14ac:dyDescent="0.25">
      <c r="A392" s="5">
        <v>1133</v>
      </c>
      <c r="B392" s="3">
        <v>36</v>
      </c>
      <c r="C392" t="s">
        <v>43</v>
      </c>
      <c r="D392" t="s">
        <v>35</v>
      </c>
      <c r="E392" t="s">
        <v>41</v>
      </c>
      <c r="F392" t="s">
        <v>42</v>
      </c>
      <c r="G392" s="3">
        <v>0</v>
      </c>
      <c r="I392" t="str">
        <f t="shared" si="18"/>
        <v>35-44</v>
      </c>
      <c r="J392" t="str">
        <f t="shared" si="19"/>
        <v>Recently promoted</v>
      </c>
      <c r="K392">
        <f t="shared" si="20"/>
        <v>0</v>
      </c>
    </row>
    <row r="393" spans="1:11" x14ac:dyDescent="0.25">
      <c r="A393" s="5">
        <v>1890</v>
      </c>
      <c r="B393" s="3">
        <v>36</v>
      </c>
      <c r="C393" t="s">
        <v>43</v>
      </c>
      <c r="D393" t="s">
        <v>64</v>
      </c>
      <c r="E393" t="s">
        <v>41</v>
      </c>
      <c r="F393" t="s">
        <v>42</v>
      </c>
      <c r="G393" s="3">
        <v>0</v>
      </c>
      <c r="I393" t="str">
        <f t="shared" si="18"/>
        <v>35-44</v>
      </c>
      <c r="J393" t="str">
        <f t="shared" si="19"/>
        <v>Recently promoted</v>
      </c>
      <c r="K393">
        <f t="shared" si="20"/>
        <v>0</v>
      </c>
    </row>
    <row r="394" spans="1:11" x14ac:dyDescent="0.25">
      <c r="A394" s="5">
        <v>208</v>
      </c>
      <c r="B394" s="3">
        <v>29</v>
      </c>
      <c r="C394" t="s">
        <v>43</v>
      </c>
      <c r="D394" t="s">
        <v>64</v>
      </c>
      <c r="E394" t="s">
        <v>61</v>
      </c>
      <c r="F394" t="s">
        <v>36</v>
      </c>
      <c r="G394" s="3">
        <v>0</v>
      </c>
      <c r="I394" t="str">
        <f t="shared" si="18"/>
        <v>25-34</v>
      </c>
      <c r="J394" t="str">
        <f t="shared" si="19"/>
        <v>Recently promoted</v>
      </c>
      <c r="K394">
        <f t="shared" si="20"/>
        <v>0</v>
      </c>
    </row>
    <row r="395" spans="1:11" x14ac:dyDescent="0.25">
      <c r="A395" s="5">
        <v>159</v>
      </c>
      <c r="B395" s="3">
        <v>30</v>
      </c>
      <c r="C395" t="s">
        <v>43</v>
      </c>
      <c r="D395" t="s">
        <v>49</v>
      </c>
      <c r="E395" t="s">
        <v>52</v>
      </c>
      <c r="F395" t="s">
        <v>50</v>
      </c>
      <c r="G395" s="3">
        <v>0</v>
      </c>
      <c r="I395" t="str">
        <f t="shared" si="18"/>
        <v>25-34</v>
      </c>
      <c r="J395" t="str">
        <f t="shared" si="19"/>
        <v>Recently promoted</v>
      </c>
      <c r="K395">
        <f t="shared" si="20"/>
        <v>0</v>
      </c>
    </row>
    <row r="396" spans="1:11" x14ac:dyDescent="0.25">
      <c r="A396" s="5">
        <v>62</v>
      </c>
      <c r="B396" s="3">
        <v>46</v>
      </c>
      <c r="C396" t="s">
        <v>43</v>
      </c>
      <c r="D396" t="s">
        <v>35</v>
      </c>
      <c r="E396" t="s">
        <v>41</v>
      </c>
      <c r="F396" t="s">
        <v>42</v>
      </c>
      <c r="G396" s="3">
        <v>0</v>
      </c>
      <c r="I396" t="str">
        <f t="shared" si="18"/>
        <v>45-54</v>
      </c>
      <c r="J396" t="str">
        <f t="shared" si="19"/>
        <v>Recently promoted</v>
      </c>
      <c r="K396">
        <f t="shared" si="20"/>
        <v>0</v>
      </c>
    </row>
    <row r="397" spans="1:11" x14ac:dyDescent="0.25">
      <c r="A397" s="5">
        <v>742</v>
      </c>
      <c r="B397" s="3">
        <v>36</v>
      </c>
      <c r="C397" t="s">
        <v>43</v>
      </c>
      <c r="D397" t="s">
        <v>49</v>
      </c>
      <c r="E397" t="s">
        <v>61</v>
      </c>
      <c r="F397" t="s">
        <v>36</v>
      </c>
      <c r="G397" s="3">
        <v>0</v>
      </c>
      <c r="I397" t="str">
        <f t="shared" si="18"/>
        <v>35-44</v>
      </c>
      <c r="J397" t="str">
        <f t="shared" si="19"/>
        <v>Recently promoted</v>
      </c>
      <c r="K397">
        <f t="shared" si="20"/>
        <v>0</v>
      </c>
    </row>
    <row r="398" spans="1:11" x14ac:dyDescent="0.25">
      <c r="A398" s="5">
        <v>1103</v>
      </c>
      <c r="B398" s="3">
        <v>34</v>
      </c>
      <c r="C398" t="s">
        <v>43</v>
      </c>
      <c r="D398" t="s">
        <v>64</v>
      </c>
      <c r="E398" t="s">
        <v>41</v>
      </c>
      <c r="F398" t="s">
        <v>42</v>
      </c>
      <c r="G398" s="3">
        <v>0</v>
      </c>
      <c r="I398" t="str">
        <f t="shared" si="18"/>
        <v>25-34</v>
      </c>
      <c r="J398" t="str">
        <f t="shared" si="19"/>
        <v>Recently promoted</v>
      </c>
      <c r="K398">
        <f t="shared" si="20"/>
        <v>0</v>
      </c>
    </row>
    <row r="399" spans="1:11" x14ac:dyDescent="0.25">
      <c r="A399" s="5">
        <v>714</v>
      </c>
      <c r="B399" s="3">
        <v>27</v>
      </c>
      <c r="C399" t="s">
        <v>43</v>
      </c>
      <c r="D399" t="s">
        <v>64</v>
      </c>
      <c r="E399" t="s">
        <v>52</v>
      </c>
      <c r="F399" t="s">
        <v>53</v>
      </c>
      <c r="G399" s="3">
        <v>0</v>
      </c>
      <c r="I399" t="str">
        <f t="shared" si="18"/>
        <v>25-34</v>
      </c>
      <c r="J399" t="str">
        <f t="shared" si="19"/>
        <v>Recently promoted</v>
      </c>
      <c r="K399">
        <f t="shared" si="20"/>
        <v>0</v>
      </c>
    </row>
    <row r="400" spans="1:11" x14ac:dyDescent="0.25">
      <c r="A400" s="5">
        <v>1397</v>
      </c>
      <c r="B400" s="3">
        <v>39</v>
      </c>
      <c r="C400" t="s">
        <v>43</v>
      </c>
      <c r="D400" t="s">
        <v>67</v>
      </c>
      <c r="E400" t="s">
        <v>61</v>
      </c>
      <c r="F400" t="s">
        <v>36</v>
      </c>
      <c r="G400" s="3">
        <v>0</v>
      </c>
      <c r="I400" t="str">
        <f t="shared" si="18"/>
        <v>35-44</v>
      </c>
      <c r="J400" t="str">
        <f t="shared" si="19"/>
        <v>Recently promoted</v>
      </c>
      <c r="K400">
        <f t="shared" si="20"/>
        <v>0</v>
      </c>
    </row>
    <row r="401" spans="1:11" x14ac:dyDescent="0.25">
      <c r="A401" s="5">
        <v>1401</v>
      </c>
      <c r="B401" s="3">
        <v>52</v>
      </c>
      <c r="C401" t="s">
        <v>43</v>
      </c>
      <c r="D401" t="s">
        <v>67</v>
      </c>
      <c r="E401" t="s">
        <v>61</v>
      </c>
      <c r="F401" t="s">
        <v>36</v>
      </c>
      <c r="G401" s="3">
        <v>0</v>
      </c>
      <c r="I401" t="str">
        <f t="shared" si="18"/>
        <v>45-54</v>
      </c>
      <c r="J401" t="str">
        <f t="shared" si="19"/>
        <v>Recently promoted</v>
      </c>
      <c r="K401">
        <f t="shared" si="20"/>
        <v>0</v>
      </c>
    </row>
    <row r="402" spans="1:11" x14ac:dyDescent="0.25">
      <c r="A402" s="5">
        <v>1471</v>
      </c>
      <c r="B402" s="3">
        <v>44</v>
      </c>
      <c r="C402" t="s">
        <v>43</v>
      </c>
      <c r="D402" t="s">
        <v>49</v>
      </c>
      <c r="E402" t="s">
        <v>41</v>
      </c>
      <c r="F402" t="s">
        <v>42</v>
      </c>
      <c r="G402" s="3">
        <v>0</v>
      </c>
      <c r="I402" t="str">
        <f t="shared" si="18"/>
        <v>35-44</v>
      </c>
      <c r="J402" t="str">
        <f t="shared" si="19"/>
        <v>Recently promoted</v>
      </c>
      <c r="K402">
        <f t="shared" si="20"/>
        <v>0</v>
      </c>
    </row>
    <row r="403" spans="1:11" x14ac:dyDescent="0.25">
      <c r="A403" s="5">
        <v>359</v>
      </c>
      <c r="B403" s="3">
        <v>32</v>
      </c>
      <c r="C403" t="s">
        <v>43</v>
      </c>
      <c r="D403" t="s">
        <v>49</v>
      </c>
      <c r="E403" t="s">
        <v>61</v>
      </c>
      <c r="F403" t="s">
        <v>42</v>
      </c>
      <c r="G403" s="3">
        <v>0</v>
      </c>
      <c r="I403" t="str">
        <f t="shared" si="18"/>
        <v>25-34</v>
      </c>
      <c r="J403" t="str">
        <f t="shared" si="19"/>
        <v>Recently promoted</v>
      </c>
      <c r="K403">
        <f t="shared" si="20"/>
        <v>0</v>
      </c>
    </row>
    <row r="404" spans="1:11" x14ac:dyDescent="0.25">
      <c r="A404" s="5">
        <v>1949</v>
      </c>
      <c r="B404" s="3">
        <v>36</v>
      </c>
      <c r="C404" t="s">
        <v>43</v>
      </c>
      <c r="D404" t="s">
        <v>35</v>
      </c>
      <c r="E404" t="s">
        <v>61</v>
      </c>
      <c r="F404" t="s">
        <v>42</v>
      </c>
      <c r="G404" s="3">
        <v>0</v>
      </c>
      <c r="I404" t="str">
        <f t="shared" si="18"/>
        <v>35-44</v>
      </c>
      <c r="J404" t="str">
        <f t="shared" si="19"/>
        <v>Recently promoted</v>
      </c>
      <c r="K404">
        <f t="shared" si="20"/>
        <v>0</v>
      </c>
    </row>
    <row r="405" spans="1:11" x14ac:dyDescent="0.25">
      <c r="A405" s="5">
        <v>1775</v>
      </c>
      <c r="B405" s="3">
        <v>53</v>
      </c>
      <c r="C405" t="s">
        <v>43</v>
      </c>
      <c r="D405" t="s">
        <v>35</v>
      </c>
      <c r="E405" t="s">
        <v>61</v>
      </c>
      <c r="F405" t="s">
        <v>50</v>
      </c>
      <c r="G405" s="3">
        <v>0</v>
      </c>
      <c r="I405" t="str">
        <f t="shared" si="18"/>
        <v>45-54</v>
      </c>
      <c r="J405" t="str">
        <f t="shared" si="19"/>
        <v>Recently promoted</v>
      </c>
      <c r="K405">
        <f t="shared" si="20"/>
        <v>0</v>
      </c>
    </row>
    <row r="406" spans="1:11" x14ac:dyDescent="0.25">
      <c r="A406" s="5">
        <v>951</v>
      </c>
      <c r="B406" s="3">
        <v>32</v>
      </c>
      <c r="C406" t="s">
        <v>43</v>
      </c>
      <c r="D406" t="s">
        <v>49</v>
      </c>
      <c r="E406" t="s">
        <v>61</v>
      </c>
      <c r="F406" t="s">
        <v>42</v>
      </c>
      <c r="G406" s="3">
        <v>0</v>
      </c>
      <c r="I406" t="str">
        <f t="shared" si="18"/>
        <v>25-34</v>
      </c>
      <c r="J406" t="str">
        <f t="shared" si="19"/>
        <v>Recently promoted</v>
      </c>
      <c r="K406">
        <f t="shared" si="20"/>
        <v>0</v>
      </c>
    </row>
    <row r="407" spans="1:11" x14ac:dyDescent="0.25">
      <c r="A407" s="5">
        <v>1753</v>
      </c>
      <c r="B407" s="3">
        <v>29</v>
      </c>
      <c r="C407" t="s">
        <v>43</v>
      </c>
      <c r="D407" t="s">
        <v>49</v>
      </c>
      <c r="E407" t="s">
        <v>41</v>
      </c>
      <c r="F407" t="s">
        <v>42</v>
      </c>
      <c r="G407" s="3">
        <v>0</v>
      </c>
      <c r="I407" t="str">
        <f t="shared" si="18"/>
        <v>25-34</v>
      </c>
      <c r="J407" t="str">
        <f t="shared" si="19"/>
        <v>Recently promoted</v>
      </c>
      <c r="K407">
        <f t="shared" si="20"/>
        <v>0</v>
      </c>
    </row>
    <row r="408" spans="1:11" x14ac:dyDescent="0.25">
      <c r="A408" s="5">
        <v>1937</v>
      </c>
      <c r="B408" s="3">
        <v>38</v>
      </c>
      <c r="C408" t="s">
        <v>43</v>
      </c>
      <c r="D408" t="s">
        <v>49</v>
      </c>
      <c r="E408" t="s">
        <v>52</v>
      </c>
      <c r="F408" t="s">
        <v>36</v>
      </c>
      <c r="G408" s="3">
        <v>0</v>
      </c>
      <c r="I408" t="str">
        <f t="shared" si="18"/>
        <v>35-44</v>
      </c>
      <c r="J408" t="str">
        <f t="shared" si="19"/>
        <v>Recently promoted</v>
      </c>
      <c r="K408">
        <f t="shared" si="20"/>
        <v>0</v>
      </c>
    </row>
    <row r="409" spans="1:11" x14ac:dyDescent="0.25">
      <c r="A409" s="5">
        <v>999</v>
      </c>
      <c r="B409" s="3">
        <v>41</v>
      </c>
      <c r="C409" t="s">
        <v>43</v>
      </c>
      <c r="D409" t="s">
        <v>49</v>
      </c>
      <c r="E409" t="s">
        <v>52</v>
      </c>
      <c r="F409" t="s">
        <v>36</v>
      </c>
      <c r="G409" s="3">
        <v>0</v>
      </c>
      <c r="I409" t="str">
        <f t="shared" si="18"/>
        <v>35-44</v>
      </c>
      <c r="J409" t="str">
        <f t="shared" si="19"/>
        <v>Recently promoted</v>
      </c>
      <c r="K409">
        <f t="shared" si="20"/>
        <v>0</v>
      </c>
    </row>
    <row r="410" spans="1:11" x14ac:dyDescent="0.25">
      <c r="A410" s="5">
        <v>1774</v>
      </c>
      <c r="B410" s="3">
        <v>34</v>
      </c>
      <c r="C410" t="s">
        <v>43</v>
      </c>
      <c r="D410" t="s">
        <v>49</v>
      </c>
      <c r="E410" t="s">
        <v>52</v>
      </c>
      <c r="F410" t="s">
        <v>36</v>
      </c>
      <c r="G410" s="3">
        <v>0</v>
      </c>
      <c r="I410" t="str">
        <f t="shared" si="18"/>
        <v>25-34</v>
      </c>
      <c r="J410" t="str">
        <f t="shared" si="19"/>
        <v>Recently promoted</v>
      </c>
      <c r="K410">
        <f t="shared" si="20"/>
        <v>0</v>
      </c>
    </row>
    <row r="411" spans="1:11" x14ac:dyDescent="0.25">
      <c r="A411" s="5">
        <v>1257</v>
      </c>
      <c r="B411" s="3">
        <v>36</v>
      </c>
      <c r="C411" t="s">
        <v>43</v>
      </c>
      <c r="D411" t="s">
        <v>49</v>
      </c>
      <c r="E411" t="s">
        <v>61</v>
      </c>
      <c r="F411" t="s">
        <v>42</v>
      </c>
      <c r="G411" s="3">
        <v>0</v>
      </c>
      <c r="I411" t="str">
        <f t="shared" si="18"/>
        <v>35-44</v>
      </c>
      <c r="J411" t="str">
        <f t="shared" si="19"/>
        <v>Recently promoted</v>
      </c>
      <c r="K411">
        <f t="shared" si="20"/>
        <v>0</v>
      </c>
    </row>
    <row r="412" spans="1:11" x14ac:dyDescent="0.25">
      <c r="A412" s="5">
        <v>1642</v>
      </c>
      <c r="B412" s="3">
        <v>44</v>
      </c>
      <c r="C412" t="s">
        <v>43</v>
      </c>
      <c r="D412" t="s">
        <v>70</v>
      </c>
      <c r="E412" t="s">
        <v>61</v>
      </c>
      <c r="F412" t="s">
        <v>42</v>
      </c>
      <c r="G412" s="3">
        <v>0</v>
      </c>
      <c r="I412" t="str">
        <f t="shared" si="18"/>
        <v>35-44</v>
      </c>
      <c r="J412" t="str">
        <f t="shared" si="19"/>
        <v>Recently promoted</v>
      </c>
      <c r="K412">
        <f t="shared" si="20"/>
        <v>0</v>
      </c>
    </row>
    <row r="413" spans="1:11" x14ac:dyDescent="0.25">
      <c r="A413" s="5">
        <v>2049</v>
      </c>
      <c r="B413" s="3">
        <v>35</v>
      </c>
      <c r="C413" t="s">
        <v>43</v>
      </c>
      <c r="D413" t="s">
        <v>35</v>
      </c>
      <c r="E413" t="s">
        <v>61</v>
      </c>
      <c r="F413" t="s">
        <v>53</v>
      </c>
      <c r="G413" s="3">
        <v>0</v>
      </c>
      <c r="I413" t="str">
        <f t="shared" si="18"/>
        <v>35-44</v>
      </c>
      <c r="J413" t="str">
        <f t="shared" si="19"/>
        <v>Recently promoted</v>
      </c>
      <c r="K413">
        <f t="shared" si="20"/>
        <v>0</v>
      </c>
    </row>
    <row r="414" spans="1:11" x14ac:dyDescent="0.25">
      <c r="A414" s="5">
        <v>1220</v>
      </c>
      <c r="B414" s="3">
        <v>33</v>
      </c>
      <c r="C414" t="s">
        <v>43</v>
      </c>
      <c r="D414" t="s">
        <v>49</v>
      </c>
      <c r="E414" t="s">
        <v>61</v>
      </c>
      <c r="F414" t="s">
        <v>36</v>
      </c>
      <c r="G414" s="3">
        <v>0</v>
      </c>
      <c r="I414" t="str">
        <f t="shared" si="18"/>
        <v>25-34</v>
      </c>
      <c r="J414" t="str">
        <f t="shared" si="19"/>
        <v>Recently promoted</v>
      </c>
      <c r="K414">
        <f t="shared" si="20"/>
        <v>0</v>
      </c>
    </row>
    <row r="415" spans="1:11" x14ac:dyDescent="0.25">
      <c r="A415" s="5">
        <v>789</v>
      </c>
      <c r="B415" s="3">
        <v>36</v>
      </c>
      <c r="C415" t="s">
        <v>43</v>
      </c>
      <c r="D415" t="s">
        <v>35</v>
      </c>
      <c r="E415" t="s">
        <v>41</v>
      </c>
      <c r="F415" t="s">
        <v>42</v>
      </c>
      <c r="G415" s="3">
        <v>0</v>
      </c>
      <c r="I415" t="str">
        <f t="shared" si="18"/>
        <v>35-44</v>
      </c>
      <c r="J415" t="str">
        <f t="shared" si="19"/>
        <v>Recently promoted</v>
      </c>
      <c r="K415">
        <f t="shared" si="20"/>
        <v>0</v>
      </c>
    </row>
    <row r="416" spans="1:11" x14ac:dyDescent="0.25">
      <c r="A416" s="5">
        <v>904</v>
      </c>
      <c r="B416" s="3">
        <v>37</v>
      </c>
      <c r="C416" t="s">
        <v>43</v>
      </c>
      <c r="D416" t="s">
        <v>67</v>
      </c>
      <c r="E416" t="s">
        <v>41</v>
      </c>
      <c r="F416" t="s">
        <v>42</v>
      </c>
      <c r="G416" s="3">
        <v>0</v>
      </c>
      <c r="I416" t="str">
        <f t="shared" si="18"/>
        <v>35-44</v>
      </c>
      <c r="J416" t="str">
        <f t="shared" si="19"/>
        <v>Recently promoted</v>
      </c>
      <c r="K416">
        <f t="shared" si="20"/>
        <v>0</v>
      </c>
    </row>
    <row r="417" spans="1:11" x14ac:dyDescent="0.25">
      <c r="A417" s="5">
        <v>306</v>
      </c>
      <c r="B417" s="3">
        <v>37</v>
      </c>
      <c r="C417" t="s">
        <v>43</v>
      </c>
      <c r="D417" t="s">
        <v>49</v>
      </c>
      <c r="E417" t="s">
        <v>52</v>
      </c>
      <c r="F417" t="s">
        <v>50</v>
      </c>
      <c r="G417" s="3">
        <v>0</v>
      </c>
      <c r="I417" t="str">
        <f t="shared" si="18"/>
        <v>35-44</v>
      </c>
      <c r="J417" t="str">
        <f t="shared" si="19"/>
        <v>Recently promoted</v>
      </c>
      <c r="K417">
        <f t="shared" si="20"/>
        <v>0</v>
      </c>
    </row>
    <row r="418" spans="1:11" x14ac:dyDescent="0.25">
      <c r="A418" s="5">
        <v>388</v>
      </c>
      <c r="B418" s="3">
        <v>29</v>
      </c>
      <c r="C418" t="s">
        <v>43</v>
      </c>
      <c r="D418" t="s">
        <v>67</v>
      </c>
      <c r="E418" t="s">
        <v>41</v>
      </c>
      <c r="F418" t="s">
        <v>42</v>
      </c>
      <c r="G418" s="3">
        <v>0</v>
      </c>
      <c r="I418" t="str">
        <f t="shared" si="18"/>
        <v>25-34</v>
      </c>
      <c r="J418" t="str">
        <f t="shared" si="19"/>
        <v>Recently promoted</v>
      </c>
      <c r="K418">
        <f t="shared" si="20"/>
        <v>0</v>
      </c>
    </row>
    <row r="419" spans="1:11" x14ac:dyDescent="0.25">
      <c r="A419" s="5">
        <v>314</v>
      </c>
      <c r="B419" s="3">
        <v>35</v>
      </c>
      <c r="C419" t="s">
        <v>43</v>
      </c>
      <c r="D419" t="s">
        <v>49</v>
      </c>
      <c r="E419" t="s">
        <v>41</v>
      </c>
      <c r="F419" t="s">
        <v>42</v>
      </c>
      <c r="G419" s="3">
        <v>0</v>
      </c>
      <c r="I419" t="str">
        <f t="shared" si="18"/>
        <v>35-44</v>
      </c>
      <c r="J419" t="str">
        <f t="shared" si="19"/>
        <v>Recently promoted</v>
      </c>
      <c r="K419">
        <f t="shared" si="20"/>
        <v>0</v>
      </c>
    </row>
    <row r="420" spans="1:11" x14ac:dyDescent="0.25">
      <c r="A420" s="5">
        <v>419</v>
      </c>
      <c r="B420" s="3">
        <v>36</v>
      </c>
      <c r="C420" t="s">
        <v>43</v>
      </c>
      <c r="D420" t="s">
        <v>35</v>
      </c>
      <c r="E420" t="s">
        <v>61</v>
      </c>
      <c r="F420" t="s">
        <v>36</v>
      </c>
      <c r="G420" s="3">
        <v>0</v>
      </c>
      <c r="I420" t="str">
        <f t="shared" si="18"/>
        <v>35-44</v>
      </c>
      <c r="J420" t="str">
        <f t="shared" si="19"/>
        <v>Recently promoted</v>
      </c>
      <c r="K420">
        <f t="shared" si="20"/>
        <v>0</v>
      </c>
    </row>
    <row r="421" spans="1:11" x14ac:dyDescent="0.25">
      <c r="A421" s="5">
        <v>972</v>
      </c>
      <c r="B421" s="3">
        <v>45</v>
      </c>
      <c r="C421" t="s">
        <v>43</v>
      </c>
      <c r="D421" t="s">
        <v>67</v>
      </c>
      <c r="E421" t="s">
        <v>61</v>
      </c>
      <c r="F421" t="s">
        <v>42</v>
      </c>
      <c r="G421" s="3">
        <v>0</v>
      </c>
      <c r="I421" t="str">
        <f t="shared" si="18"/>
        <v>45-54</v>
      </c>
      <c r="J421" t="str">
        <f t="shared" si="19"/>
        <v>Recently promoted</v>
      </c>
      <c r="K421">
        <f t="shared" si="20"/>
        <v>0</v>
      </c>
    </row>
    <row r="422" spans="1:11" x14ac:dyDescent="0.25">
      <c r="A422" s="5">
        <v>2065</v>
      </c>
      <c r="B422" s="3">
        <v>49</v>
      </c>
      <c r="C422" t="s">
        <v>43</v>
      </c>
      <c r="D422" t="s">
        <v>49</v>
      </c>
      <c r="E422" t="s">
        <v>61</v>
      </c>
      <c r="F422" t="s">
        <v>42</v>
      </c>
      <c r="G422" s="3">
        <v>0</v>
      </c>
      <c r="I422" t="str">
        <f t="shared" si="18"/>
        <v>45-54</v>
      </c>
      <c r="J422" t="str">
        <f t="shared" si="19"/>
        <v>Recently promoted</v>
      </c>
      <c r="K422">
        <f t="shared" si="20"/>
        <v>0</v>
      </c>
    </row>
    <row r="423" spans="1:11" x14ac:dyDescent="0.25">
      <c r="A423" s="5">
        <v>1745</v>
      </c>
      <c r="B423" s="3">
        <v>30</v>
      </c>
      <c r="C423" t="s">
        <v>43</v>
      </c>
      <c r="D423" t="s">
        <v>35</v>
      </c>
      <c r="E423" t="s">
        <v>41</v>
      </c>
      <c r="F423" t="s">
        <v>42</v>
      </c>
      <c r="G423" s="3">
        <v>0</v>
      </c>
      <c r="I423" t="str">
        <f t="shared" si="18"/>
        <v>25-34</v>
      </c>
      <c r="J423" t="str">
        <f t="shared" si="19"/>
        <v>Recently promoted</v>
      </c>
      <c r="K423">
        <f t="shared" si="20"/>
        <v>0</v>
      </c>
    </row>
    <row r="424" spans="1:11" x14ac:dyDescent="0.25">
      <c r="A424" s="5">
        <v>1002</v>
      </c>
      <c r="B424" s="3">
        <v>45</v>
      </c>
      <c r="C424" t="s">
        <v>43</v>
      </c>
      <c r="D424" t="s">
        <v>67</v>
      </c>
      <c r="E424" t="s">
        <v>61</v>
      </c>
      <c r="F424" t="s">
        <v>36</v>
      </c>
      <c r="G424" s="3">
        <v>0</v>
      </c>
      <c r="I424" t="str">
        <f t="shared" si="18"/>
        <v>45-54</v>
      </c>
      <c r="J424" t="str">
        <f t="shared" si="19"/>
        <v>Recently promoted</v>
      </c>
      <c r="K424">
        <f t="shared" si="20"/>
        <v>0</v>
      </c>
    </row>
    <row r="425" spans="1:11" x14ac:dyDescent="0.25">
      <c r="A425" s="5">
        <v>616</v>
      </c>
      <c r="B425" s="3">
        <v>41</v>
      </c>
      <c r="C425" t="s">
        <v>43</v>
      </c>
      <c r="D425" t="s">
        <v>35</v>
      </c>
      <c r="E425" t="s">
        <v>41</v>
      </c>
      <c r="F425" t="s">
        <v>42</v>
      </c>
      <c r="G425" s="3">
        <v>0</v>
      </c>
      <c r="I425" t="str">
        <f t="shared" si="18"/>
        <v>35-44</v>
      </c>
      <c r="J425" t="str">
        <f t="shared" si="19"/>
        <v>Recently promoted</v>
      </c>
      <c r="K425">
        <f t="shared" si="20"/>
        <v>0</v>
      </c>
    </row>
    <row r="426" spans="1:11" x14ac:dyDescent="0.25">
      <c r="A426" s="5">
        <v>1126</v>
      </c>
      <c r="B426" s="3">
        <v>43</v>
      </c>
      <c r="C426" t="s">
        <v>43</v>
      </c>
      <c r="D426" t="s">
        <v>49</v>
      </c>
      <c r="E426" t="s">
        <v>61</v>
      </c>
      <c r="F426" t="s">
        <v>36</v>
      </c>
      <c r="G426" s="3">
        <v>0</v>
      </c>
      <c r="I426" t="str">
        <f t="shared" si="18"/>
        <v>35-44</v>
      </c>
      <c r="J426" t="str">
        <f t="shared" si="19"/>
        <v>Recently promoted</v>
      </c>
      <c r="K426">
        <f t="shared" si="20"/>
        <v>0</v>
      </c>
    </row>
    <row r="427" spans="1:11" x14ac:dyDescent="0.25">
      <c r="A427" s="5">
        <v>1235</v>
      </c>
      <c r="B427" s="3">
        <v>32</v>
      </c>
      <c r="C427" t="s">
        <v>43</v>
      </c>
      <c r="D427" t="s">
        <v>67</v>
      </c>
      <c r="E427" t="s">
        <v>41</v>
      </c>
      <c r="F427" t="s">
        <v>42</v>
      </c>
      <c r="G427" s="3">
        <v>0</v>
      </c>
      <c r="I427" t="str">
        <f t="shared" si="18"/>
        <v>25-34</v>
      </c>
      <c r="J427" t="str">
        <f t="shared" si="19"/>
        <v>Recently promoted</v>
      </c>
      <c r="K427">
        <f t="shared" si="20"/>
        <v>0</v>
      </c>
    </row>
    <row r="428" spans="1:11" x14ac:dyDescent="0.25">
      <c r="A428" s="5">
        <v>141</v>
      </c>
      <c r="B428" s="3">
        <v>50</v>
      </c>
      <c r="C428" t="s">
        <v>43</v>
      </c>
      <c r="D428" t="s">
        <v>49</v>
      </c>
      <c r="E428" t="s">
        <v>61</v>
      </c>
      <c r="F428" t="s">
        <v>42</v>
      </c>
      <c r="G428" s="3">
        <v>0</v>
      </c>
      <c r="I428" t="str">
        <f t="shared" si="18"/>
        <v>45-54</v>
      </c>
      <c r="J428" t="str">
        <f t="shared" si="19"/>
        <v>Recently promoted</v>
      </c>
      <c r="K428">
        <f t="shared" si="20"/>
        <v>0</v>
      </c>
    </row>
    <row r="429" spans="1:11" x14ac:dyDescent="0.25">
      <c r="A429" s="5">
        <v>602</v>
      </c>
      <c r="B429" s="3">
        <v>39</v>
      </c>
      <c r="C429" t="s">
        <v>43</v>
      </c>
      <c r="D429" t="s">
        <v>64</v>
      </c>
      <c r="E429" t="s">
        <v>61</v>
      </c>
      <c r="F429" t="s">
        <v>36</v>
      </c>
      <c r="G429" s="3">
        <v>0</v>
      </c>
      <c r="I429" t="str">
        <f t="shared" si="18"/>
        <v>35-44</v>
      </c>
      <c r="J429" t="str">
        <f t="shared" si="19"/>
        <v>Recently promoted</v>
      </c>
      <c r="K429">
        <f t="shared" si="20"/>
        <v>0</v>
      </c>
    </row>
    <row r="430" spans="1:11" x14ac:dyDescent="0.25">
      <c r="A430" s="5">
        <v>195</v>
      </c>
      <c r="B430" s="3">
        <v>32</v>
      </c>
      <c r="C430" t="s">
        <v>43</v>
      </c>
      <c r="D430" t="s">
        <v>67</v>
      </c>
      <c r="E430" t="s">
        <v>52</v>
      </c>
      <c r="F430" t="s">
        <v>50</v>
      </c>
      <c r="G430" s="3">
        <v>0</v>
      </c>
      <c r="I430" t="str">
        <f t="shared" si="18"/>
        <v>25-34</v>
      </c>
      <c r="J430" t="str">
        <f t="shared" si="19"/>
        <v>Recently promoted</v>
      </c>
      <c r="K430">
        <f t="shared" si="20"/>
        <v>0</v>
      </c>
    </row>
    <row r="431" spans="1:11" x14ac:dyDescent="0.25">
      <c r="A431" s="5">
        <v>1449</v>
      </c>
      <c r="B431" s="3">
        <v>40</v>
      </c>
      <c r="C431" t="s">
        <v>43</v>
      </c>
      <c r="D431" t="s">
        <v>35</v>
      </c>
      <c r="E431" t="s">
        <v>52</v>
      </c>
      <c r="F431" t="s">
        <v>53</v>
      </c>
      <c r="G431" s="3">
        <v>0</v>
      </c>
      <c r="I431" t="str">
        <f t="shared" si="18"/>
        <v>35-44</v>
      </c>
      <c r="J431" t="str">
        <f t="shared" si="19"/>
        <v>Recently promoted</v>
      </c>
      <c r="K431">
        <f t="shared" si="20"/>
        <v>0</v>
      </c>
    </row>
    <row r="432" spans="1:11" x14ac:dyDescent="0.25">
      <c r="A432" s="5">
        <v>990</v>
      </c>
      <c r="B432" s="3">
        <v>36</v>
      </c>
      <c r="C432" t="s">
        <v>43</v>
      </c>
      <c r="D432" t="s">
        <v>35</v>
      </c>
      <c r="E432" t="s">
        <v>52</v>
      </c>
      <c r="F432" t="s">
        <v>53</v>
      </c>
      <c r="G432" s="3">
        <v>0</v>
      </c>
      <c r="I432" t="str">
        <f t="shared" si="18"/>
        <v>35-44</v>
      </c>
      <c r="J432" t="str">
        <f t="shared" si="19"/>
        <v>Recently promoted</v>
      </c>
      <c r="K432">
        <f t="shared" si="20"/>
        <v>0</v>
      </c>
    </row>
    <row r="433" spans="1:11" x14ac:dyDescent="0.25">
      <c r="A433" s="5">
        <v>956</v>
      </c>
      <c r="B433" s="3">
        <v>26</v>
      </c>
      <c r="C433" t="s">
        <v>43</v>
      </c>
      <c r="D433" t="s">
        <v>49</v>
      </c>
      <c r="E433" t="s">
        <v>41</v>
      </c>
      <c r="F433" t="s">
        <v>42</v>
      </c>
      <c r="G433" s="3">
        <v>0</v>
      </c>
      <c r="I433" t="str">
        <f t="shared" si="18"/>
        <v>25-34</v>
      </c>
      <c r="J433" t="str">
        <f t="shared" si="19"/>
        <v>Recently promoted</v>
      </c>
      <c r="K433">
        <f t="shared" si="20"/>
        <v>0</v>
      </c>
    </row>
    <row r="434" spans="1:11" x14ac:dyDescent="0.25">
      <c r="A434" s="5">
        <v>160</v>
      </c>
      <c r="B434" s="3">
        <v>33</v>
      </c>
      <c r="C434" t="s">
        <v>43</v>
      </c>
      <c r="D434" t="s">
        <v>67</v>
      </c>
      <c r="E434" t="s">
        <v>61</v>
      </c>
      <c r="F434" t="s">
        <v>36</v>
      </c>
      <c r="G434" s="3">
        <v>0</v>
      </c>
      <c r="I434" t="str">
        <f t="shared" si="18"/>
        <v>25-34</v>
      </c>
      <c r="J434" t="str">
        <f t="shared" si="19"/>
        <v>Recently promoted</v>
      </c>
      <c r="K434">
        <f t="shared" si="20"/>
        <v>0</v>
      </c>
    </row>
    <row r="435" spans="1:11" x14ac:dyDescent="0.25">
      <c r="A435" s="5">
        <v>1764</v>
      </c>
      <c r="B435" s="3">
        <v>32</v>
      </c>
      <c r="C435" t="s">
        <v>43</v>
      </c>
      <c r="D435" t="s">
        <v>35</v>
      </c>
      <c r="E435" t="s">
        <v>41</v>
      </c>
      <c r="F435" t="s">
        <v>42</v>
      </c>
      <c r="G435" s="3">
        <v>0</v>
      </c>
      <c r="I435" t="str">
        <f t="shared" si="18"/>
        <v>25-34</v>
      </c>
      <c r="J435" t="str">
        <f t="shared" si="19"/>
        <v>Recently promoted</v>
      </c>
      <c r="K435">
        <f t="shared" si="20"/>
        <v>0</v>
      </c>
    </row>
    <row r="436" spans="1:11" x14ac:dyDescent="0.25">
      <c r="A436" s="5">
        <v>1653</v>
      </c>
      <c r="B436" s="3">
        <v>25</v>
      </c>
      <c r="C436" t="s">
        <v>43</v>
      </c>
      <c r="D436" t="s">
        <v>64</v>
      </c>
      <c r="E436" t="s">
        <v>52</v>
      </c>
      <c r="F436" t="s">
        <v>53</v>
      </c>
      <c r="G436" s="3">
        <v>0</v>
      </c>
      <c r="I436" t="str">
        <f t="shared" si="18"/>
        <v>25-34</v>
      </c>
      <c r="J436" t="str">
        <f t="shared" si="19"/>
        <v>Recently promoted</v>
      </c>
      <c r="K436">
        <f t="shared" si="20"/>
        <v>0</v>
      </c>
    </row>
    <row r="437" spans="1:11" x14ac:dyDescent="0.25">
      <c r="A437" s="5">
        <v>446</v>
      </c>
      <c r="B437" s="3">
        <v>33</v>
      </c>
      <c r="C437" t="s">
        <v>43</v>
      </c>
      <c r="D437" t="s">
        <v>49</v>
      </c>
      <c r="E437" t="s">
        <v>41</v>
      </c>
      <c r="F437" t="s">
        <v>42</v>
      </c>
      <c r="G437" s="3">
        <v>0</v>
      </c>
      <c r="I437" t="str">
        <f t="shared" si="18"/>
        <v>25-34</v>
      </c>
      <c r="J437" t="str">
        <f t="shared" si="19"/>
        <v>Recently promoted</v>
      </c>
      <c r="K437">
        <f t="shared" si="20"/>
        <v>0</v>
      </c>
    </row>
    <row r="438" spans="1:11" x14ac:dyDescent="0.25">
      <c r="A438" s="5">
        <v>293</v>
      </c>
      <c r="B438" s="3">
        <v>27</v>
      </c>
      <c r="C438" t="s">
        <v>43</v>
      </c>
      <c r="D438" t="s">
        <v>49</v>
      </c>
      <c r="E438" t="s">
        <v>41</v>
      </c>
      <c r="F438" t="s">
        <v>42</v>
      </c>
      <c r="G438" s="3">
        <v>0</v>
      </c>
      <c r="I438" t="str">
        <f t="shared" si="18"/>
        <v>25-34</v>
      </c>
      <c r="J438" t="str">
        <f t="shared" si="19"/>
        <v>Recently promoted</v>
      </c>
      <c r="K438">
        <f t="shared" si="20"/>
        <v>0</v>
      </c>
    </row>
    <row r="439" spans="1:11" x14ac:dyDescent="0.25">
      <c r="A439" s="5">
        <v>1927</v>
      </c>
      <c r="B439" s="3">
        <v>28</v>
      </c>
      <c r="C439" t="s">
        <v>43</v>
      </c>
      <c r="D439" t="s">
        <v>67</v>
      </c>
      <c r="E439" t="s">
        <v>61</v>
      </c>
      <c r="F439" t="s">
        <v>36</v>
      </c>
      <c r="G439" s="3">
        <v>0</v>
      </c>
      <c r="I439" t="str">
        <f t="shared" si="18"/>
        <v>25-34</v>
      </c>
      <c r="J439" t="str">
        <f t="shared" si="19"/>
        <v>Recently promoted</v>
      </c>
      <c r="K439">
        <f t="shared" si="20"/>
        <v>0</v>
      </c>
    </row>
    <row r="440" spans="1:11" x14ac:dyDescent="0.25">
      <c r="A440" s="5">
        <v>1760</v>
      </c>
      <c r="B440" s="3">
        <v>38</v>
      </c>
      <c r="C440" t="s">
        <v>43</v>
      </c>
      <c r="D440" t="s">
        <v>67</v>
      </c>
      <c r="E440" t="s">
        <v>61</v>
      </c>
      <c r="F440" t="s">
        <v>36</v>
      </c>
      <c r="G440" s="3">
        <v>0</v>
      </c>
      <c r="I440" t="str">
        <f t="shared" si="18"/>
        <v>35-44</v>
      </c>
      <c r="J440" t="str">
        <f t="shared" si="19"/>
        <v>Recently promoted</v>
      </c>
      <c r="K440">
        <f t="shared" si="20"/>
        <v>0</v>
      </c>
    </row>
    <row r="441" spans="1:11" x14ac:dyDescent="0.25">
      <c r="A441" s="5">
        <v>85</v>
      </c>
      <c r="B441" s="3">
        <v>36</v>
      </c>
      <c r="C441" t="s">
        <v>43</v>
      </c>
      <c r="D441" t="s">
        <v>49</v>
      </c>
      <c r="E441" t="s">
        <v>41</v>
      </c>
      <c r="F441" t="s">
        <v>42</v>
      </c>
      <c r="G441" s="3">
        <v>0</v>
      </c>
      <c r="I441" t="str">
        <f t="shared" si="18"/>
        <v>35-44</v>
      </c>
      <c r="J441" t="str">
        <f t="shared" si="19"/>
        <v>Recently promoted</v>
      </c>
      <c r="K441">
        <f t="shared" si="20"/>
        <v>0</v>
      </c>
    </row>
    <row r="442" spans="1:11" x14ac:dyDescent="0.25">
      <c r="A442" s="5">
        <v>551</v>
      </c>
      <c r="B442" s="3">
        <v>42</v>
      </c>
      <c r="C442" t="s">
        <v>43</v>
      </c>
      <c r="D442" t="s">
        <v>35</v>
      </c>
      <c r="E442" t="s">
        <v>61</v>
      </c>
      <c r="F442" t="s">
        <v>50</v>
      </c>
      <c r="G442" s="3">
        <v>0</v>
      </c>
      <c r="I442" t="str">
        <f t="shared" si="18"/>
        <v>35-44</v>
      </c>
      <c r="J442" t="str">
        <f t="shared" si="19"/>
        <v>Recently promoted</v>
      </c>
      <c r="K442">
        <f t="shared" si="20"/>
        <v>0</v>
      </c>
    </row>
    <row r="443" spans="1:11" x14ac:dyDescent="0.25">
      <c r="A443" s="5">
        <v>2061</v>
      </c>
      <c r="B443" s="3">
        <v>36</v>
      </c>
      <c r="C443" t="s">
        <v>43</v>
      </c>
      <c r="D443" t="s">
        <v>67</v>
      </c>
      <c r="E443" t="s">
        <v>61</v>
      </c>
      <c r="F443" t="s">
        <v>36</v>
      </c>
      <c r="G443" s="3">
        <v>0</v>
      </c>
      <c r="I443" t="str">
        <f t="shared" si="18"/>
        <v>35-44</v>
      </c>
      <c r="J443" t="str">
        <f t="shared" si="19"/>
        <v>Recently promoted</v>
      </c>
      <c r="K443">
        <f t="shared" si="20"/>
        <v>0</v>
      </c>
    </row>
    <row r="444" spans="1:11" x14ac:dyDescent="0.25">
      <c r="A444" s="5">
        <v>547</v>
      </c>
      <c r="B444" s="3">
        <v>42</v>
      </c>
      <c r="C444" t="s">
        <v>43</v>
      </c>
      <c r="D444" t="s">
        <v>67</v>
      </c>
      <c r="E444" t="s">
        <v>52</v>
      </c>
      <c r="F444" t="s">
        <v>36</v>
      </c>
      <c r="G444" s="3">
        <v>0</v>
      </c>
      <c r="I444" t="str">
        <f t="shared" si="18"/>
        <v>35-44</v>
      </c>
      <c r="J444" t="str">
        <f t="shared" si="19"/>
        <v>Recently promoted</v>
      </c>
      <c r="K444">
        <f t="shared" si="20"/>
        <v>0</v>
      </c>
    </row>
    <row r="445" spans="1:11" x14ac:dyDescent="0.25">
      <c r="A445" s="5">
        <v>129</v>
      </c>
      <c r="B445" s="3">
        <v>28</v>
      </c>
      <c r="C445" t="s">
        <v>43</v>
      </c>
      <c r="D445" t="s">
        <v>49</v>
      </c>
      <c r="E445" t="s">
        <v>61</v>
      </c>
      <c r="F445" t="s">
        <v>42</v>
      </c>
      <c r="G445" s="3">
        <v>0</v>
      </c>
      <c r="I445" t="str">
        <f t="shared" si="18"/>
        <v>25-34</v>
      </c>
      <c r="J445" t="str">
        <f t="shared" si="19"/>
        <v>Recently promoted</v>
      </c>
      <c r="K445">
        <f t="shared" si="20"/>
        <v>0</v>
      </c>
    </row>
    <row r="446" spans="1:11" x14ac:dyDescent="0.25">
      <c r="A446" s="5">
        <v>1613</v>
      </c>
      <c r="B446" s="3">
        <v>31</v>
      </c>
      <c r="C446" t="s">
        <v>43</v>
      </c>
      <c r="D446" t="s">
        <v>35</v>
      </c>
      <c r="E446" t="s">
        <v>41</v>
      </c>
      <c r="F446" t="s">
        <v>42</v>
      </c>
      <c r="G446" s="3">
        <v>0</v>
      </c>
      <c r="I446" t="str">
        <f t="shared" si="18"/>
        <v>25-34</v>
      </c>
      <c r="J446" t="str">
        <f t="shared" si="19"/>
        <v>Recently promoted</v>
      </c>
      <c r="K446">
        <f t="shared" si="20"/>
        <v>0</v>
      </c>
    </row>
    <row r="447" spans="1:11" x14ac:dyDescent="0.25">
      <c r="A447" s="5">
        <v>1132</v>
      </c>
      <c r="B447" s="3">
        <v>39</v>
      </c>
      <c r="C447" t="s">
        <v>43</v>
      </c>
      <c r="D447" t="s">
        <v>49</v>
      </c>
      <c r="E447" t="s">
        <v>41</v>
      </c>
      <c r="F447" t="s">
        <v>42</v>
      </c>
      <c r="G447" s="3">
        <v>0</v>
      </c>
      <c r="I447" t="str">
        <f t="shared" si="18"/>
        <v>35-44</v>
      </c>
      <c r="J447" t="str">
        <f t="shared" si="19"/>
        <v>Recently promoted</v>
      </c>
      <c r="K447">
        <f t="shared" si="20"/>
        <v>0</v>
      </c>
    </row>
    <row r="448" spans="1:11" x14ac:dyDescent="0.25">
      <c r="A448" s="5">
        <v>380</v>
      </c>
      <c r="B448" s="3">
        <v>37</v>
      </c>
      <c r="C448" t="s">
        <v>43</v>
      </c>
      <c r="D448" t="s">
        <v>35</v>
      </c>
      <c r="E448" t="s">
        <v>52</v>
      </c>
      <c r="F448" t="s">
        <v>53</v>
      </c>
      <c r="G448" s="3">
        <v>0</v>
      </c>
      <c r="I448" t="str">
        <f t="shared" si="18"/>
        <v>35-44</v>
      </c>
      <c r="J448" t="str">
        <f t="shared" si="19"/>
        <v>Recently promoted</v>
      </c>
      <c r="K448">
        <f t="shared" si="20"/>
        <v>0</v>
      </c>
    </row>
    <row r="449" spans="1:11" x14ac:dyDescent="0.25">
      <c r="A449" s="5">
        <v>861</v>
      </c>
      <c r="B449" s="3">
        <v>30</v>
      </c>
      <c r="C449" t="s">
        <v>43</v>
      </c>
      <c r="D449" t="s">
        <v>35</v>
      </c>
      <c r="E449" t="s">
        <v>52</v>
      </c>
      <c r="F449" t="s">
        <v>36</v>
      </c>
      <c r="G449" s="3">
        <v>0</v>
      </c>
      <c r="I449" t="str">
        <f t="shared" si="18"/>
        <v>25-34</v>
      </c>
      <c r="J449" t="str">
        <f t="shared" si="19"/>
        <v>Recently promoted</v>
      </c>
      <c r="K449">
        <f t="shared" si="20"/>
        <v>0</v>
      </c>
    </row>
    <row r="450" spans="1:11" x14ac:dyDescent="0.25">
      <c r="A450" s="5">
        <v>1137</v>
      </c>
      <c r="B450" s="3">
        <v>35</v>
      </c>
      <c r="C450" t="s">
        <v>43</v>
      </c>
      <c r="D450" t="s">
        <v>67</v>
      </c>
      <c r="E450" t="s">
        <v>52</v>
      </c>
      <c r="F450" t="s">
        <v>36</v>
      </c>
      <c r="G450" s="3">
        <v>0</v>
      </c>
      <c r="I450" t="str">
        <f t="shared" si="18"/>
        <v>35-44</v>
      </c>
      <c r="J450" t="str">
        <f t="shared" si="19"/>
        <v>Recently promoted</v>
      </c>
      <c r="K450">
        <f t="shared" si="20"/>
        <v>0</v>
      </c>
    </row>
    <row r="451" spans="1:11" x14ac:dyDescent="0.25">
      <c r="A451" s="5">
        <v>1071</v>
      </c>
      <c r="B451" s="3">
        <v>56</v>
      </c>
      <c r="C451" t="s">
        <v>43</v>
      </c>
      <c r="D451" t="s">
        <v>49</v>
      </c>
      <c r="E451" t="s">
        <v>61</v>
      </c>
      <c r="F451" t="s">
        <v>36</v>
      </c>
      <c r="G451" s="3">
        <v>0</v>
      </c>
      <c r="I451" t="str">
        <f t="shared" ref="I451:I514" si="21">IF(B451&lt;=24, "18-24", IF(B451&lt;=34,"25-34", IF(B451&lt;=44,"35-44", IF(B451&lt;=54,"45-54", IF(B451&lt;=60, "55-60")))))</f>
        <v>55-60</v>
      </c>
      <c r="J451" t="str">
        <f t="shared" ref="J451:J514" si="22">IF(G451&lt;=0,"Recently promoted",IF(G451&lt;=3,"Promoted in 1-3 years","Long Promotion gap"))</f>
        <v>Recently promoted</v>
      </c>
      <c r="K451">
        <f t="shared" ref="K451:K514" si="23">IF(C451="Yes", 1, 0)</f>
        <v>0</v>
      </c>
    </row>
    <row r="452" spans="1:11" x14ac:dyDescent="0.25">
      <c r="A452" s="5">
        <v>1850</v>
      </c>
      <c r="B452" s="3">
        <v>27</v>
      </c>
      <c r="C452" t="s">
        <v>43</v>
      </c>
      <c r="D452" t="s">
        <v>67</v>
      </c>
      <c r="E452" t="s">
        <v>41</v>
      </c>
      <c r="F452" t="s">
        <v>42</v>
      </c>
      <c r="G452" s="3">
        <v>0</v>
      </c>
      <c r="I452" t="str">
        <f t="shared" si="21"/>
        <v>25-34</v>
      </c>
      <c r="J452" t="str">
        <f t="shared" si="22"/>
        <v>Recently promoted</v>
      </c>
      <c r="K452">
        <f t="shared" si="23"/>
        <v>0</v>
      </c>
    </row>
    <row r="453" spans="1:11" x14ac:dyDescent="0.25">
      <c r="A453" s="5">
        <v>270</v>
      </c>
      <c r="B453" s="3">
        <v>42</v>
      </c>
      <c r="C453" t="s">
        <v>43</v>
      </c>
      <c r="D453" t="s">
        <v>67</v>
      </c>
      <c r="E453" t="s">
        <v>52</v>
      </c>
      <c r="F453" t="s">
        <v>36</v>
      </c>
      <c r="G453" s="3">
        <v>0</v>
      </c>
      <c r="I453" t="str">
        <f t="shared" si="21"/>
        <v>35-44</v>
      </c>
      <c r="J453" t="str">
        <f t="shared" si="22"/>
        <v>Recently promoted</v>
      </c>
      <c r="K453">
        <f t="shared" si="23"/>
        <v>0</v>
      </c>
    </row>
    <row r="454" spans="1:11" x14ac:dyDescent="0.25">
      <c r="A454" s="5">
        <v>1922</v>
      </c>
      <c r="B454" s="3">
        <v>45</v>
      </c>
      <c r="C454" t="s">
        <v>43</v>
      </c>
      <c r="D454" t="s">
        <v>35</v>
      </c>
      <c r="E454" t="s">
        <v>41</v>
      </c>
      <c r="F454" t="s">
        <v>42</v>
      </c>
      <c r="G454" s="3">
        <v>0</v>
      </c>
      <c r="I454" t="str">
        <f t="shared" si="21"/>
        <v>45-54</v>
      </c>
      <c r="J454" t="str">
        <f t="shared" si="22"/>
        <v>Recently promoted</v>
      </c>
      <c r="K454">
        <f t="shared" si="23"/>
        <v>0</v>
      </c>
    </row>
    <row r="455" spans="1:11" x14ac:dyDescent="0.25">
      <c r="A455" s="5">
        <v>2025</v>
      </c>
      <c r="B455" s="3">
        <v>36</v>
      </c>
      <c r="C455" t="s">
        <v>43</v>
      </c>
      <c r="D455" t="s">
        <v>67</v>
      </c>
      <c r="E455" t="s">
        <v>52</v>
      </c>
      <c r="F455" t="s">
        <v>50</v>
      </c>
      <c r="G455" s="3">
        <v>0</v>
      </c>
      <c r="I455" t="str">
        <f t="shared" si="21"/>
        <v>35-44</v>
      </c>
      <c r="J455" t="str">
        <f t="shared" si="22"/>
        <v>Recently promoted</v>
      </c>
      <c r="K455">
        <f t="shared" si="23"/>
        <v>0</v>
      </c>
    </row>
    <row r="456" spans="1:11" x14ac:dyDescent="0.25">
      <c r="A456" s="5">
        <v>1011</v>
      </c>
      <c r="B456" s="3">
        <v>31</v>
      </c>
      <c r="C456" t="s">
        <v>43</v>
      </c>
      <c r="D456" t="s">
        <v>64</v>
      </c>
      <c r="E456" t="s">
        <v>61</v>
      </c>
      <c r="F456" t="s">
        <v>36</v>
      </c>
      <c r="G456" s="3">
        <v>0</v>
      </c>
      <c r="I456" t="str">
        <f t="shared" si="21"/>
        <v>25-34</v>
      </c>
      <c r="J456" t="str">
        <f t="shared" si="22"/>
        <v>Recently promoted</v>
      </c>
      <c r="K456">
        <f t="shared" si="23"/>
        <v>0</v>
      </c>
    </row>
    <row r="457" spans="1:11" x14ac:dyDescent="0.25">
      <c r="A457" s="5">
        <v>1382</v>
      </c>
      <c r="B457" s="3">
        <v>38</v>
      </c>
      <c r="C457" t="s">
        <v>43</v>
      </c>
      <c r="D457" t="s">
        <v>49</v>
      </c>
      <c r="E457" t="s">
        <v>52</v>
      </c>
      <c r="F457" t="s">
        <v>50</v>
      </c>
      <c r="G457" s="3">
        <v>0</v>
      </c>
      <c r="I457" t="str">
        <f t="shared" si="21"/>
        <v>35-44</v>
      </c>
      <c r="J457" t="str">
        <f t="shared" si="22"/>
        <v>Recently promoted</v>
      </c>
      <c r="K457">
        <f t="shared" si="23"/>
        <v>0</v>
      </c>
    </row>
    <row r="458" spans="1:11" x14ac:dyDescent="0.25">
      <c r="A458" s="5">
        <v>469</v>
      </c>
      <c r="B458" s="3">
        <v>29</v>
      </c>
      <c r="C458" t="s">
        <v>43</v>
      </c>
      <c r="D458" t="s">
        <v>49</v>
      </c>
      <c r="E458" t="s">
        <v>61</v>
      </c>
      <c r="F458" t="s">
        <v>36</v>
      </c>
      <c r="G458" s="3">
        <v>0</v>
      </c>
      <c r="I458" t="str">
        <f t="shared" si="21"/>
        <v>25-34</v>
      </c>
      <c r="J458" t="str">
        <f t="shared" si="22"/>
        <v>Recently promoted</v>
      </c>
      <c r="K458">
        <f t="shared" si="23"/>
        <v>0</v>
      </c>
    </row>
    <row r="459" spans="1:11" x14ac:dyDescent="0.25">
      <c r="A459" s="5">
        <v>450</v>
      </c>
      <c r="B459" s="3">
        <v>54</v>
      </c>
      <c r="C459" t="s">
        <v>43</v>
      </c>
      <c r="D459" t="s">
        <v>35</v>
      </c>
      <c r="E459" t="s">
        <v>41</v>
      </c>
      <c r="F459" t="s">
        <v>42</v>
      </c>
      <c r="G459" s="3">
        <v>0</v>
      </c>
      <c r="I459" t="str">
        <f t="shared" si="21"/>
        <v>45-54</v>
      </c>
      <c r="J459" t="str">
        <f t="shared" si="22"/>
        <v>Recently promoted</v>
      </c>
      <c r="K459">
        <f t="shared" si="23"/>
        <v>0</v>
      </c>
    </row>
    <row r="460" spans="1:11" x14ac:dyDescent="0.25">
      <c r="A460" s="5">
        <v>1231</v>
      </c>
      <c r="B460" s="3">
        <v>42</v>
      </c>
      <c r="C460" t="s">
        <v>43</v>
      </c>
      <c r="D460" t="s">
        <v>70</v>
      </c>
      <c r="E460" t="s">
        <v>61</v>
      </c>
      <c r="F460" t="s">
        <v>36</v>
      </c>
      <c r="G460" s="3">
        <v>0</v>
      </c>
      <c r="I460" t="str">
        <f t="shared" si="21"/>
        <v>35-44</v>
      </c>
      <c r="J460" t="str">
        <f t="shared" si="22"/>
        <v>Recently promoted</v>
      </c>
      <c r="K460">
        <f t="shared" si="23"/>
        <v>0</v>
      </c>
    </row>
    <row r="461" spans="1:11" x14ac:dyDescent="0.25">
      <c r="A461" s="5">
        <v>1477</v>
      </c>
      <c r="B461" s="3">
        <v>33</v>
      </c>
      <c r="C461" t="s">
        <v>43</v>
      </c>
      <c r="D461" t="s">
        <v>49</v>
      </c>
      <c r="E461" t="s">
        <v>61</v>
      </c>
      <c r="F461" t="s">
        <v>53</v>
      </c>
      <c r="G461" s="3">
        <v>0</v>
      </c>
      <c r="I461" t="str">
        <f t="shared" si="21"/>
        <v>25-34</v>
      </c>
      <c r="J461" t="str">
        <f t="shared" si="22"/>
        <v>Recently promoted</v>
      </c>
      <c r="K461">
        <f t="shared" si="23"/>
        <v>0</v>
      </c>
    </row>
    <row r="462" spans="1:11" x14ac:dyDescent="0.25">
      <c r="A462" s="5">
        <v>1286</v>
      </c>
      <c r="B462" s="3">
        <v>28</v>
      </c>
      <c r="C462" t="s">
        <v>43</v>
      </c>
      <c r="D462" t="s">
        <v>35</v>
      </c>
      <c r="E462" t="s">
        <v>41</v>
      </c>
      <c r="F462" t="s">
        <v>42</v>
      </c>
      <c r="G462" s="3">
        <v>0</v>
      </c>
      <c r="I462" t="str">
        <f t="shared" si="21"/>
        <v>25-34</v>
      </c>
      <c r="J462" t="str">
        <f t="shared" si="22"/>
        <v>Recently promoted</v>
      </c>
      <c r="K462">
        <f t="shared" si="23"/>
        <v>0</v>
      </c>
    </row>
    <row r="463" spans="1:11" x14ac:dyDescent="0.25">
      <c r="A463" s="5">
        <v>341</v>
      </c>
      <c r="B463" s="3">
        <v>45</v>
      </c>
      <c r="C463" t="s">
        <v>43</v>
      </c>
      <c r="D463" t="s">
        <v>35</v>
      </c>
      <c r="E463" t="s">
        <v>61</v>
      </c>
      <c r="F463" t="s">
        <v>36</v>
      </c>
      <c r="G463" s="3">
        <v>0</v>
      </c>
      <c r="I463" t="str">
        <f t="shared" si="21"/>
        <v>45-54</v>
      </c>
      <c r="J463" t="str">
        <f t="shared" si="22"/>
        <v>Recently promoted</v>
      </c>
      <c r="K463">
        <f t="shared" si="23"/>
        <v>0</v>
      </c>
    </row>
    <row r="464" spans="1:11" x14ac:dyDescent="0.25">
      <c r="A464" s="5">
        <v>882</v>
      </c>
      <c r="B464" s="3">
        <v>32</v>
      </c>
      <c r="C464" t="s">
        <v>43</v>
      </c>
      <c r="D464" t="s">
        <v>49</v>
      </c>
      <c r="E464" t="s">
        <v>52</v>
      </c>
      <c r="F464" t="s">
        <v>36</v>
      </c>
      <c r="G464" s="3">
        <v>0</v>
      </c>
      <c r="I464" t="str">
        <f t="shared" si="21"/>
        <v>25-34</v>
      </c>
      <c r="J464" t="str">
        <f t="shared" si="22"/>
        <v>Recently promoted</v>
      </c>
      <c r="K464">
        <f t="shared" si="23"/>
        <v>0</v>
      </c>
    </row>
    <row r="465" spans="1:11" x14ac:dyDescent="0.25">
      <c r="A465" s="5">
        <v>287</v>
      </c>
      <c r="B465" s="3">
        <v>40</v>
      </c>
      <c r="C465" t="s">
        <v>43</v>
      </c>
      <c r="D465" t="s">
        <v>70</v>
      </c>
      <c r="E465" t="s">
        <v>61</v>
      </c>
      <c r="F465" t="s">
        <v>36</v>
      </c>
      <c r="G465" s="3">
        <v>0</v>
      </c>
      <c r="I465" t="str">
        <f t="shared" si="21"/>
        <v>35-44</v>
      </c>
      <c r="J465" t="str">
        <f t="shared" si="22"/>
        <v>Recently promoted</v>
      </c>
      <c r="K465">
        <f t="shared" si="23"/>
        <v>0</v>
      </c>
    </row>
    <row r="466" spans="1:11" x14ac:dyDescent="0.25">
      <c r="A466" s="5">
        <v>1513</v>
      </c>
      <c r="B466" s="3">
        <v>29</v>
      </c>
      <c r="C466" t="s">
        <v>43</v>
      </c>
      <c r="D466" t="s">
        <v>64</v>
      </c>
      <c r="E466" t="s">
        <v>61</v>
      </c>
      <c r="F466" t="s">
        <v>50</v>
      </c>
      <c r="G466" s="3">
        <v>0</v>
      </c>
      <c r="I466" t="str">
        <f t="shared" si="21"/>
        <v>25-34</v>
      </c>
      <c r="J466" t="str">
        <f t="shared" si="22"/>
        <v>Recently promoted</v>
      </c>
      <c r="K466">
        <f t="shared" si="23"/>
        <v>0</v>
      </c>
    </row>
    <row r="467" spans="1:11" x14ac:dyDescent="0.25">
      <c r="A467" s="5">
        <v>1114</v>
      </c>
      <c r="B467" s="3">
        <v>33</v>
      </c>
      <c r="C467" t="s">
        <v>43</v>
      </c>
      <c r="D467" t="s">
        <v>49</v>
      </c>
      <c r="E467" t="s">
        <v>61</v>
      </c>
      <c r="F467" t="s">
        <v>36</v>
      </c>
      <c r="G467" s="3">
        <v>0</v>
      </c>
      <c r="I467" t="str">
        <f t="shared" si="21"/>
        <v>25-34</v>
      </c>
      <c r="J467" t="str">
        <f t="shared" si="22"/>
        <v>Recently promoted</v>
      </c>
      <c r="K467">
        <f t="shared" si="23"/>
        <v>0</v>
      </c>
    </row>
    <row r="468" spans="1:11" x14ac:dyDescent="0.25">
      <c r="A468" s="5">
        <v>974</v>
      </c>
      <c r="B468" s="3">
        <v>29</v>
      </c>
      <c r="C468" t="s">
        <v>43</v>
      </c>
      <c r="D468" t="s">
        <v>49</v>
      </c>
      <c r="E468" t="s">
        <v>61</v>
      </c>
      <c r="F468" t="s">
        <v>36</v>
      </c>
      <c r="G468" s="3">
        <v>0</v>
      </c>
      <c r="I468" t="str">
        <f t="shared" si="21"/>
        <v>25-34</v>
      </c>
      <c r="J468" t="str">
        <f t="shared" si="22"/>
        <v>Recently promoted</v>
      </c>
      <c r="K468">
        <f t="shared" si="23"/>
        <v>0</v>
      </c>
    </row>
    <row r="469" spans="1:11" x14ac:dyDescent="0.25">
      <c r="A469" s="5">
        <v>1140</v>
      </c>
      <c r="B469" s="3">
        <v>34</v>
      </c>
      <c r="C469" t="s">
        <v>43</v>
      </c>
      <c r="D469" t="s">
        <v>67</v>
      </c>
      <c r="E469" t="s">
        <v>41</v>
      </c>
      <c r="F469" t="s">
        <v>42</v>
      </c>
      <c r="G469" s="3">
        <v>0</v>
      </c>
      <c r="I469" t="str">
        <f t="shared" si="21"/>
        <v>25-34</v>
      </c>
      <c r="J469" t="str">
        <f t="shared" si="22"/>
        <v>Recently promoted</v>
      </c>
      <c r="K469">
        <f t="shared" si="23"/>
        <v>0</v>
      </c>
    </row>
    <row r="470" spans="1:11" x14ac:dyDescent="0.25">
      <c r="A470" s="5">
        <v>1594</v>
      </c>
      <c r="B470" s="3">
        <v>36</v>
      </c>
      <c r="C470" t="s">
        <v>43</v>
      </c>
      <c r="D470" t="s">
        <v>35</v>
      </c>
      <c r="E470" t="s">
        <v>61</v>
      </c>
      <c r="F470" t="s">
        <v>36</v>
      </c>
      <c r="G470" s="3">
        <v>0</v>
      </c>
      <c r="I470" t="str">
        <f t="shared" si="21"/>
        <v>35-44</v>
      </c>
      <c r="J470" t="str">
        <f t="shared" si="22"/>
        <v>Recently promoted</v>
      </c>
      <c r="K470">
        <f t="shared" si="23"/>
        <v>0</v>
      </c>
    </row>
    <row r="471" spans="1:11" x14ac:dyDescent="0.25">
      <c r="A471" s="5">
        <v>1154</v>
      </c>
      <c r="B471" s="3">
        <v>28</v>
      </c>
      <c r="C471" t="s">
        <v>43</v>
      </c>
      <c r="D471" t="s">
        <v>49</v>
      </c>
      <c r="E471" t="s">
        <v>52</v>
      </c>
      <c r="F471" t="s">
        <v>36</v>
      </c>
      <c r="G471" s="3">
        <v>0</v>
      </c>
      <c r="I471" t="str">
        <f t="shared" si="21"/>
        <v>25-34</v>
      </c>
      <c r="J471" t="str">
        <f t="shared" si="22"/>
        <v>Recently promoted</v>
      </c>
      <c r="K471">
        <f t="shared" si="23"/>
        <v>0</v>
      </c>
    </row>
    <row r="472" spans="1:11" x14ac:dyDescent="0.25">
      <c r="A472" s="5">
        <v>1006</v>
      </c>
      <c r="B472" s="3">
        <v>38</v>
      </c>
      <c r="C472" t="s">
        <v>43</v>
      </c>
      <c r="D472" t="s">
        <v>64</v>
      </c>
      <c r="E472" t="s">
        <v>61</v>
      </c>
      <c r="F472" t="s">
        <v>36</v>
      </c>
      <c r="G472" s="3">
        <v>0</v>
      </c>
      <c r="I472" t="str">
        <f t="shared" si="21"/>
        <v>35-44</v>
      </c>
      <c r="J472" t="str">
        <f t="shared" si="22"/>
        <v>Recently promoted</v>
      </c>
      <c r="K472">
        <f t="shared" si="23"/>
        <v>0</v>
      </c>
    </row>
    <row r="473" spans="1:11" x14ac:dyDescent="0.25">
      <c r="A473" s="5">
        <v>615</v>
      </c>
      <c r="B473" s="3">
        <v>40</v>
      </c>
      <c r="C473" t="s">
        <v>43</v>
      </c>
      <c r="D473" t="s">
        <v>49</v>
      </c>
      <c r="E473" t="s">
        <v>52</v>
      </c>
      <c r="F473" t="s">
        <v>36</v>
      </c>
      <c r="G473" s="3">
        <v>0</v>
      </c>
      <c r="I473" t="str">
        <f t="shared" si="21"/>
        <v>35-44</v>
      </c>
      <c r="J473" t="str">
        <f t="shared" si="22"/>
        <v>Recently promoted</v>
      </c>
      <c r="K473">
        <f t="shared" si="23"/>
        <v>0</v>
      </c>
    </row>
    <row r="474" spans="1:11" x14ac:dyDescent="0.25">
      <c r="A474" s="5">
        <v>224</v>
      </c>
      <c r="B474" s="3">
        <v>27</v>
      </c>
      <c r="C474" t="s">
        <v>43</v>
      </c>
      <c r="D474" t="s">
        <v>49</v>
      </c>
      <c r="E474" t="s">
        <v>52</v>
      </c>
      <c r="F474" t="s">
        <v>36</v>
      </c>
      <c r="G474" s="3">
        <v>0</v>
      </c>
      <c r="I474" t="str">
        <f t="shared" si="21"/>
        <v>25-34</v>
      </c>
      <c r="J474" t="str">
        <f t="shared" si="22"/>
        <v>Recently promoted</v>
      </c>
      <c r="K474">
        <f t="shared" si="23"/>
        <v>0</v>
      </c>
    </row>
    <row r="475" spans="1:11" x14ac:dyDescent="0.25">
      <c r="A475" s="5">
        <v>2034</v>
      </c>
      <c r="B475" s="3">
        <v>41</v>
      </c>
      <c r="C475" t="s">
        <v>43</v>
      </c>
      <c r="D475" t="s">
        <v>35</v>
      </c>
      <c r="E475" t="s">
        <v>61</v>
      </c>
      <c r="F475" t="s">
        <v>36</v>
      </c>
      <c r="G475" s="3">
        <v>0</v>
      </c>
      <c r="I475" t="str">
        <f t="shared" si="21"/>
        <v>35-44</v>
      </c>
      <c r="J475" t="str">
        <f t="shared" si="22"/>
        <v>Recently promoted</v>
      </c>
      <c r="K475">
        <f t="shared" si="23"/>
        <v>0</v>
      </c>
    </row>
    <row r="476" spans="1:11" x14ac:dyDescent="0.25">
      <c r="A476" s="5">
        <v>1408</v>
      </c>
      <c r="B476" s="3">
        <v>42</v>
      </c>
      <c r="C476" t="s">
        <v>43</v>
      </c>
      <c r="D476" t="s">
        <v>49</v>
      </c>
      <c r="E476" t="s">
        <v>61</v>
      </c>
      <c r="F476" t="s">
        <v>36</v>
      </c>
      <c r="G476" s="3">
        <v>0</v>
      </c>
      <c r="I476" t="str">
        <f t="shared" si="21"/>
        <v>35-44</v>
      </c>
      <c r="J476" t="str">
        <f t="shared" si="22"/>
        <v>Recently promoted</v>
      </c>
      <c r="K476">
        <f t="shared" si="23"/>
        <v>0</v>
      </c>
    </row>
    <row r="477" spans="1:11" x14ac:dyDescent="0.25">
      <c r="A477" s="5">
        <v>581</v>
      </c>
      <c r="B477" s="3">
        <v>31</v>
      </c>
      <c r="C477" t="s">
        <v>43</v>
      </c>
      <c r="D477" t="s">
        <v>64</v>
      </c>
      <c r="E477" t="s">
        <v>52</v>
      </c>
      <c r="F477" t="s">
        <v>36</v>
      </c>
      <c r="G477" s="3">
        <v>0</v>
      </c>
      <c r="I477" t="str">
        <f t="shared" si="21"/>
        <v>25-34</v>
      </c>
      <c r="J477" t="str">
        <f t="shared" si="22"/>
        <v>Recently promoted</v>
      </c>
      <c r="K477">
        <f t="shared" si="23"/>
        <v>0</v>
      </c>
    </row>
    <row r="478" spans="1:11" x14ac:dyDescent="0.25">
      <c r="A478" s="5">
        <v>1669</v>
      </c>
      <c r="B478" s="3">
        <v>29</v>
      </c>
      <c r="C478" t="s">
        <v>43</v>
      </c>
      <c r="D478" t="s">
        <v>49</v>
      </c>
      <c r="E478" t="s">
        <v>52</v>
      </c>
      <c r="F478" t="s">
        <v>36</v>
      </c>
      <c r="G478" s="3">
        <v>0</v>
      </c>
      <c r="I478" t="str">
        <f t="shared" si="21"/>
        <v>25-34</v>
      </c>
      <c r="J478" t="str">
        <f t="shared" si="22"/>
        <v>Recently promoted</v>
      </c>
      <c r="K478">
        <f t="shared" si="23"/>
        <v>0</v>
      </c>
    </row>
    <row r="479" spans="1:11" x14ac:dyDescent="0.25">
      <c r="A479" s="5">
        <v>942</v>
      </c>
      <c r="B479" s="3">
        <v>35</v>
      </c>
      <c r="C479" t="s">
        <v>43</v>
      </c>
      <c r="D479" t="s">
        <v>64</v>
      </c>
      <c r="E479" t="s">
        <v>61</v>
      </c>
      <c r="F479" t="s">
        <v>36</v>
      </c>
      <c r="G479" s="3">
        <v>0</v>
      </c>
      <c r="I479" t="str">
        <f t="shared" si="21"/>
        <v>35-44</v>
      </c>
      <c r="J479" t="str">
        <f t="shared" si="22"/>
        <v>Recently promoted</v>
      </c>
      <c r="K479">
        <f t="shared" si="23"/>
        <v>0</v>
      </c>
    </row>
    <row r="480" spans="1:11" x14ac:dyDescent="0.25">
      <c r="A480" s="5">
        <v>1085</v>
      </c>
      <c r="B480" s="3">
        <v>41</v>
      </c>
      <c r="C480" t="s">
        <v>43</v>
      </c>
      <c r="D480" t="s">
        <v>67</v>
      </c>
      <c r="E480" t="s">
        <v>61</v>
      </c>
      <c r="F480" t="s">
        <v>42</v>
      </c>
      <c r="G480" s="3">
        <v>0</v>
      </c>
      <c r="I480" t="str">
        <f t="shared" si="21"/>
        <v>35-44</v>
      </c>
      <c r="J480" t="str">
        <f t="shared" si="22"/>
        <v>Recently promoted</v>
      </c>
      <c r="K480">
        <f t="shared" si="23"/>
        <v>0</v>
      </c>
    </row>
    <row r="481" spans="1:11" x14ac:dyDescent="0.25">
      <c r="A481" s="5">
        <v>824</v>
      </c>
      <c r="B481" s="3">
        <v>29</v>
      </c>
      <c r="C481" t="s">
        <v>43</v>
      </c>
      <c r="D481" t="s">
        <v>67</v>
      </c>
      <c r="E481" t="s">
        <v>61</v>
      </c>
      <c r="F481" t="s">
        <v>36</v>
      </c>
      <c r="G481" s="3">
        <v>0</v>
      </c>
      <c r="I481" t="str">
        <f t="shared" si="21"/>
        <v>25-34</v>
      </c>
      <c r="J481" t="str">
        <f t="shared" si="22"/>
        <v>Recently promoted</v>
      </c>
      <c r="K481">
        <f t="shared" si="23"/>
        <v>0</v>
      </c>
    </row>
    <row r="482" spans="1:11" x14ac:dyDescent="0.25">
      <c r="A482" s="5">
        <v>1881</v>
      </c>
      <c r="B482" s="3">
        <v>31</v>
      </c>
      <c r="C482" t="s">
        <v>43</v>
      </c>
      <c r="D482" t="s">
        <v>49</v>
      </c>
      <c r="E482" t="s">
        <v>52</v>
      </c>
      <c r="F482" t="s">
        <v>36</v>
      </c>
      <c r="G482" s="3">
        <v>0</v>
      </c>
      <c r="I482" t="str">
        <f t="shared" si="21"/>
        <v>25-34</v>
      </c>
      <c r="J482" t="str">
        <f t="shared" si="22"/>
        <v>Recently promoted</v>
      </c>
      <c r="K482">
        <f t="shared" si="23"/>
        <v>0</v>
      </c>
    </row>
    <row r="483" spans="1:11" x14ac:dyDescent="0.25">
      <c r="A483" s="5">
        <v>855</v>
      </c>
      <c r="B483" s="3">
        <v>33</v>
      </c>
      <c r="C483" t="s">
        <v>43</v>
      </c>
      <c r="D483" t="s">
        <v>49</v>
      </c>
      <c r="E483" t="s">
        <v>52</v>
      </c>
      <c r="F483" t="s">
        <v>36</v>
      </c>
      <c r="G483" s="3">
        <v>0</v>
      </c>
      <c r="I483" t="str">
        <f t="shared" si="21"/>
        <v>25-34</v>
      </c>
      <c r="J483" t="str">
        <f t="shared" si="22"/>
        <v>Recently promoted</v>
      </c>
      <c r="K483">
        <f t="shared" si="23"/>
        <v>0</v>
      </c>
    </row>
    <row r="484" spans="1:11" x14ac:dyDescent="0.25">
      <c r="A484" s="5">
        <v>15</v>
      </c>
      <c r="B484" s="3">
        <v>29</v>
      </c>
      <c r="C484" t="s">
        <v>43</v>
      </c>
      <c r="D484" t="s">
        <v>67</v>
      </c>
      <c r="E484" t="s">
        <v>41</v>
      </c>
      <c r="F484" t="s">
        <v>42</v>
      </c>
      <c r="G484" s="3">
        <v>0</v>
      </c>
      <c r="I484" t="str">
        <f t="shared" si="21"/>
        <v>25-34</v>
      </c>
      <c r="J484" t="str">
        <f t="shared" si="22"/>
        <v>Recently promoted</v>
      </c>
      <c r="K484">
        <f t="shared" si="23"/>
        <v>0</v>
      </c>
    </row>
    <row r="485" spans="1:11" x14ac:dyDescent="0.25">
      <c r="A485" s="5">
        <v>725</v>
      </c>
      <c r="B485" s="3">
        <v>27</v>
      </c>
      <c r="C485" t="s">
        <v>43</v>
      </c>
      <c r="D485" t="s">
        <v>67</v>
      </c>
      <c r="E485" t="s">
        <v>61</v>
      </c>
      <c r="F485" t="s">
        <v>42</v>
      </c>
      <c r="G485" s="3">
        <v>0</v>
      </c>
      <c r="I485" t="str">
        <f t="shared" si="21"/>
        <v>25-34</v>
      </c>
      <c r="J485" t="str">
        <f t="shared" si="22"/>
        <v>Recently promoted</v>
      </c>
      <c r="K485">
        <f t="shared" si="23"/>
        <v>0</v>
      </c>
    </row>
    <row r="486" spans="1:11" x14ac:dyDescent="0.25">
      <c r="A486" s="5">
        <v>1321</v>
      </c>
      <c r="B486" s="3">
        <v>30</v>
      </c>
      <c r="C486" t="s">
        <v>43</v>
      </c>
      <c r="D486" t="s">
        <v>35</v>
      </c>
      <c r="E486" t="s">
        <v>61</v>
      </c>
      <c r="F486" t="s">
        <v>53</v>
      </c>
      <c r="G486" s="3">
        <v>0</v>
      </c>
      <c r="I486" t="str">
        <f t="shared" si="21"/>
        <v>25-34</v>
      </c>
      <c r="J486" t="str">
        <f t="shared" si="22"/>
        <v>Recently promoted</v>
      </c>
      <c r="K486">
        <f t="shared" si="23"/>
        <v>0</v>
      </c>
    </row>
    <row r="487" spans="1:11" x14ac:dyDescent="0.25">
      <c r="A487" s="5">
        <v>1177</v>
      </c>
      <c r="B487" s="3">
        <v>26</v>
      </c>
      <c r="C487" t="s">
        <v>43</v>
      </c>
      <c r="D487" t="s">
        <v>35</v>
      </c>
      <c r="E487" t="s">
        <v>61</v>
      </c>
      <c r="F487" t="s">
        <v>36</v>
      </c>
      <c r="G487" s="3">
        <v>0</v>
      </c>
      <c r="I487" t="str">
        <f t="shared" si="21"/>
        <v>25-34</v>
      </c>
      <c r="J487" t="str">
        <f t="shared" si="22"/>
        <v>Recently promoted</v>
      </c>
      <c r="K487">
        <f t="shared" si="23"/>
        <v>0</v>
      </c>
    </row>
    <row r="488" spans="1:11" x14ac:dyDescent="0.25">
      <c r="A488" s="5">
        <v>230</v>
      </c>
      <c r="B488" s="3">
        <v>38</v>
      </c>
      <c r="C488" t="s">
        <v>43</v>
      </c>
      <c r="D488" t="s">
        <v>35</v>
      </c>
      <c r="E488" t="s">
        <v>41</v>
      </c>
      <c r="F488" t="s">
        <v>42</v>
      </c>
      <c r="G488" s="3">
        <v>0</v>
      </c>
      <c r="I488" t="str">
        <f t="shared" si="21"/>
        <v>35-44</v>
      </c>
      <c r="J488" t="str">
        <f t="shared" si="22"/>
        <v>Recently promoted</v>
      </c>
      <c r="K488">
        <f t="shared" si="23"/>
        <v>0</v>
      </c>
    </row>
    <row r="489" spans="1:11" x14ac:dyDescent="0.25">
      <c r="A489" s="5">
        <v>985</v>
      </c>
      <c r="B489" s="3">
        <v>39</v>
      </c>
      <c r="C489" t="s">
        <v>43</v>
      </c>
      <c r="D489" t="s">
        <v>70</v>
      </c>
      <c r="E489" t="s">
        <v>41</v>
      </c>
      <c r="F489" t="s">
        <v>42</v>
      </c>
      <c r="G489" s="3">
        <v>0</v>
      </c>
      <c r="I489" t="str">
        <f t="shared" si="21"/>
        <v>35-44</v>
      </c>
      <c r="J489" t="str">
        <f t="shared" si="22"/>
        <v>Recently promoted</v>
      </c>
      <c r="K489">
        <f t="shared" si="23"/>
        <v>0</v>
      </c>
    </row>
    <row r="490" spans="1:11" x14ac:dyDescent="0.25">
      <c r="A490" s="5">
        <v>1728</v>
      </c>
      <c r="B490" s="3">
        <v>35</v>
      </c>
      <c r="C490" t="s">
        <v>43</v>
      </c>
      <c r="D490" t="s">
        <v>35</v>
      </c>
      <c r="E490" t="s">
        <v>61</v>
      </c>
      <c r="F490" t="s">
        <v>36</v>
      </c>
      <c r="G490" s="3">
        <v>0</v>
      </c>
      <c r="I490" t="str">
        <f t="shared" si="21"/>
        <v>35-44</v>
      </c>
      <c r="J490" t="str">
        <f t="shared" si="22"/>
        <v>Recently promoted</v>
      </c>
      <c r="K490">
        <f t="shared" si="23"/>
        <v>0</v>
      </c>
    </row>
    <row r="491" spans="1:11" x14ac:dyDescent="0.25">
      <c r="A491" s="5">
        <v>709</v>
      </c>
      <c r="B491" s="3">
        <v>38</v>
      </c>
      <c r="C491" t="s">
        <v>43</v>
      </c>
      <c r="D491" t="s">
        <v>35</v>
      </c>
      <c r="E491" t="s">
        <v>41</v>
      </c>
      <c r="F491" t="s">
        <v>42</v>
      </c>
      <c r="G491" s="3">
        <v>0</v>
      </c>
      <c r="I491" t="str">
        <f t="shared" si="21"/>
        <v>35-44</v>
      </c>
      <c r="J491" t="str">
        <f t="shared" si="22"/>
        <v>Recently promoted</v>
      </c>
      <c r="K491">
        <f t="shared" si="23"/>
        <v>0</v>
      </c>
    </row>
    <row r="492" spans="1:11" x14ac:dyDescent="0.25">
      <c r="A492" s="5">
        <v>1619</v>
      </c>
      <c r="B492" s="3">
        <v>27</v>
      </c>
      <c r="C492" t="s">
        <v>43</v>
      </c>
      <c r="D492" t="s">
        <v>49</v>
      </c>
      <c r="E492" t="s">
        <v>52</v>
      </c>
      <c r="F492" t="s">
        <v>53</v>
      </c>
      <c r="G492" s="3">
        <v>0</v>
      </c>
      <c r="I492" t="str">
        <f t="shared" si="21"/>
        <v>25-34</v>
      </c>
      <c r="J492" t="str">
        <f t="shared" si="22"/>
        <v>Recently promoted</v>
      </c>
      <c r="K492">
        <f t="shared" si="23"/>
        <v>0</v>
      </c>
    </row>
    <row r="493" spans="1:11" x14ac:dyDescent="0.25">
      <c r="A493" s="5">
        <v>764</v>
      </c>
      <c r="B493" s="3">
        <v>27</v>
      </c>
      <c r="C493" t="s">
        <v>43</v>
      </c>
      <c r="D493" t="s">
        <v>49</v>
      </c>
      <c r="E493" t="s">
        <v>41</v>
      </c>
      <c r="F493" t="s">
        <v>42</v>
      </c>
      <c r="G493" s="3">
        <v>0</v>
      </c>
      <c r="I493" t="str">
        <f t="shared" si="21"/>
        <v>25-34</v>
      </c>
      <c r="J493" t="str">
        <f t="shared" si="22"/>
        <v>Recently promoted</v>
      </c>
      <c r="K493">
        <f t="shared" si="23"/>
        <v>0</v>
      </c>
    </row>
    <row r="494" spans="1:11" x14ac:dyDescent="0.25">
      <c r="A494" s="5">
        <v>1049</v>
      </c>
      <c r="B494" s="3">
        <v>45</v>
      </c>
      <c r="C494" t="s">
        <v>43</v>
      </c>
      <c r="D494" t="s">
        <v>35</v>
      </c>
      <c r="E494" t="s">
        <v>41</v>
      </c>
      <c r="F494" t="s">
        <v>42</v>
      </c>
      <c r="G494" s="3">
        <v>0</v>
      </c>
      <c r="I494" t="str">
        <f t="shared" si="21"/>
        <v>45-54</v>
      </c>
      <c r="J494" t="str">
        <f t="shared" si="22"/>
        <v>Recently promoted</v>
      </c>
      <c r="K494">
        <f t="shared" si="23"/>
        <v>0</v>
      </c>
    </row>
    <row r="495" spans="1:11" x14ac:dyDescent="0.25">
      <c r="A495" s="5">
        <v>1599</v>
      </c>
      <c r="B495" s="3">
        <v>43</v>
      </c>
      <c r="C495" t="s">
        <v>43</v>
      </c>
      <c r="D495" t="s">
        <v>49</v>
      </c>
      <c r="E495" t="s">
        <v>52</v>
      </c>
      <c r="F495" t="s">
        <v>36</v>
      </c>
      <c r="G495" s="3">
        <v>0</v>
      </c>
      <c r="I495" t="str">
        <f t="shared" si="21"/>
        <v>35-44</v>
      </c>
      <c r="J495" t="str">
        <f t="shared" si="22"/>
        <v>Recently promoted</v>
      </c>
      <c r="K495">
        <f t="shared" si="23"/>
        <v>0</v>
      </c>
    </row>
    <row r="496" spans="1:11" x14ac:dyDescent="0.25">
      <c r="A496" s="5">
        <v>1084</v>
      </c>
      <c r="B496" s="3">
        <v>30</v>
      </c>
      <c r="C496" t="s">
        <v>43</v>
      </c>
      <c r="D496" t="s">
        <v>49</v>
      </c>
      <c r="E496" t="s">
        <v>61</v>
      </c>
      <c r="F496" t="s">
        <v>36</v>
      </c>
      <c r="G496" s="3">
        <v>0</v>
      </c>
      <c r="I496" t="str">
        <f t="shared" si="21"/>
        <v>25-34</v>
      </c>
      <c r="J496" t="str">
        <f t="shared" si="22"/>
        <v>Recently promoted</v>
      </c>
      <c r="K496">
        <f t="shared" si="23"/>
        <v>0</v>
      </c>
    </row>
    <row r="497" spans="1:11" x14ac:dyDescent="0.25">
      <c r="A497" s="5">
        <v>1251</v>
      </c>
      <c r="B497" s="3">
        <v>31</v>
      </c>
      <c r="C497" t="s">
        <v>43</v>
      </c>
      <c r="D497" t="s">
        <v>67</v>
      </c>
      <c r="E497" t="s">
        <v>61</v>
      </c>
      <c r="F497" t="s">
        <v>42</v>
      </c>
      <c r="G497" s="3">
        <v>0</v>
      </c>
      <c r="I497" t="str">
        <f t="shared" si="21"/>
        <v>25-34</v>
      </c>
      <c r="J497" t="str">
        <f t="shared" si="22"/>
        <v>Recently promoted</v>
      </c>
      <c r="K497">
        <f t="shared" si="23"/>
        <v>0</v>
      </c>
    </row>
    <row r="498" spans="1:11" x14ac:dyDescent="0.25">
      <c r="A498" s="5">
        <v>2064</v>
      </c>
      <c r="B498" s="3">
        <v>27</v>
      </c>
      <c r="C498" t="s">
        <v>43</v>
      </c>
      <c r="D498" t="s">
        <v>49</v>
      </c>
      <c r="E498" t="s">
        <v>61</v>
      </c>
      <c r="F498" t="s">
        <v>36</v>
      </c>
      <c r="G498" s="3">
        <v>0</v>
      </c>
      <c r="I498" t="str">
        <f t="shared" si="21"/>
        <v>25-34</v>
      </c>
      <c r="J498" t="str">
        <f t="shared" si="22"/>
        <v>Recently promoted</v>
      </c>
      <c r="K498">
        <f t="shared" si="23"/>
        <v>0</v>
      </c>
    </row>
    <row r="499" spans="1:11" x14ac:dyDescent="0.25">
      <c r="A499" s="5">
        <v>949</v>
      </c>
      <c r="B499" s="3">
        <v>36</v>
      </c>
      <c r="C499" t="s">
        <v>43</v>
      </c>
      <c r="D499" t="s">
        <v>35</v>
      </c>
      <c r="E499" t="s">
        <v>41</v>
      </c>
      <c r="F499" t="s">
        <v>42</v>
      </c>
      <c r="G499" s="3">
        <v>0</v>
      </c>
      <c r="I499" t="str">
        <f t="shared" si="21"/>
        <v>35-44</v>
      </c>
      <c r="J499" t="str">
        <f t="shared" si="22"/>
        <v>Recently promoted</v>
      </c>
      <c r="K499">
        <f t="shared" si="23"/>
        <v>0</v>
      </c>
    </row>
    <row r="500" spans="1:11" x14ac:dyDescent="0.25">
      <c r="A500" s="5">
        <v>895</v>
      </c>
      <c r="B500" s="3">
        <v>31</v>
      </c>
      <c r="C500" t="s">
        <v>43</v>
      </c>
      <c r="D500" t="s">
        <v>35</v>
      </c>
      <c r="E500" t="s">
        <v>61</v>
      </c>
      <c r="F500" t="s">
        <v>36</v>
      </c>
      <c r="G500" s="3">
        <v>0</v>
      </c>
      <c r="I500" t="str">
        <f t="shared" si="21"/>
        <v>25-34</v>
      </c>
      <c r="J500" t="str">
        <f t="shared" si="22"/>
        <v>Recently promoted</v>
      </c>
      <c r="K500">
        <f t="shared" si="23"/>
        <v>0</v>
      </c>
    </row>
    <row r="501" spans="1:11" x14ac:dyDescent="0.25">
      <c r="A501" s="5">
        <v>1721</v>
      </c>
      <c r="B501" s="3">
        <v>31</v>
      </c>
      <c r="C501" t="s">
        <v>43</v>
      </c>
      <c r="D501" t="s">
        <v>35</v>
      </c>
      <c r="E501" t="s">
        <v>61</v>
      </c>
      <c r="F501" t="s">
        <v>36</v>
      </c>
      <c r="G501" s="3">
        <v>0</v>
      </c>
      <c r="I501" t="str">
        <f t="shared" si="21"/>
        <v>25-34</v>
      </c>
      <c r="J501" t="str">
        <f t="shared" si="22"/>
        <v>Recently promoted</v>
      </c>
      <c r="K501">
        <f t="shared" si="23"/>
        <v>0</v>
      </c>
    </row>
    <row r="502" spans="1:11" x14ac:dyDescent="0.25">
      <c r="A502" s="5">
        <v>1873</v>
      </c>
      <c r="B502" s="3">
        <v>55</v>
      </c>
      <c r="C502" t="s">
        <v>43</v>
      </c>
      <c r="D502" t="s">
        <v>35</v>
      </c>
      <c r="E502" t="s">
        <v>61</v>
      </c>
      <c r="F502" t="s">
        <v>36</v>
      </c>
      <c r="G502" s="3">
        <v>0</v>
      </c>
      <c r="I502" t="str">
        <f t="shared" si="21"/>
        <v>55-60</v>
      </c>
      <c r="J502" t="str">
        <f t="shared" si="22"/>
        <v>Recently promoted</v>
      </c>
      <c r="K502">
        <f t="shared" si="23"/>
        <v>0</v>
      </c>
    </row>
    <row r="503" spans="1:11" x14ac:dyDescent="0.25">
      <c r="A503" s="5">
        <v>1367</v>
      </c>
      <c r="B503" s="3">
        <v>51</v>
      </c>
      <c r="C503" t="s">
        <v>43</v>
      </c>
      <c r="D503" t="s">
        <v>67</v>
      </c>
      <c r="E503" t="s">
        <v>41</v>
      </c>
      <c r="F503" t="s">
        <v>42</v>
      </c>
      <c r="G503" s="3">
        <v>0</v>
      </c>
      <c r="I503" t="str">
        <f t="shared" si="21"/>
        <v>45-54</v>
      </c>
      <c r="J503" t="str">
        <f t="shared" si="22"/>
        <v>Recently promoted</v>
      </c>
      <c r="K503">
        <f t="shared" si="23"/>
        <v>0</v>
      </c>
    </row>
    <row r="504" spans="1:11" x14ac:dyDescent="0.25">
      <c r="A504" s="5">
        <v>1744</v>
      </c>
      <c r="B504" s="3">
        <v>45</v>
      </c>
      <c r="C504" t="s">
        <v>43</v>
      </c>
      <c r="D504" t="s">
        <v>49</v>
      </c>
      <c r="E504" t="s">
        <v>61</v>
      </c>
      <c r="F504" t="s">
        <v>53</v>
      </c>
      <c r="G504" s="3">
        <v>0</v>
      </c>
      <c r="I504" t="str">
        <f t="shared" si="21"/>
        <v>45-54</v>
      </c>
      <c r="J504" t="str">
        <f t="shared" si="22"/>
        <v>Recently promoted</v>
      </c>
      <c r="K504">
        <f t="shared" si="23"/>
        <v>0</v>
      </c>
    </row>
    <row r="505" spans="1:11" x14ac:dyDescent="0.25">
      <c r="A505" s="5">
        <v>862</v>
      </c>
      <c r="B505" s="3">
        <v>53</v>
      </c>
      <c r="C505" t="s">
        <v>43</v>
      </c>
      <c r="D505" t="s">
        <v>67</v>
      </c>
      <c r="E505" t="s">
        <v>61</v>
      </c>
      <c r="F505" t="s">
        <v>36</v>
      </c>
      <c r="G505" s="3">
        <v>0</v>
      </c>
      <c r="I505" t="str">
        <f t="shared" si="21"/>
        <v>45-54</v>
      </c>
      <c r="J505" t="str">
        <f t="shared" si="22"/>
        <v>Recently promoted</v>
      </c>
      <c r="K505">
        <f t="shared" si="23"/>
        <v>0</v>
      </c>
    </row>
    <row r="506" spans="1:11" x14ac:dyDescent="0.25">
      <c r="A506" s="5">
        <v>829</v>
      </c>
      <c r="B506" s="3">
        <v>36</v>
      </c>
      <c r="C506" t="s">
        <v>43</v>
      </c>
      <c r="D506" t="s">
        <v>49</v>
      </c>
      <c r="E506" t="s">
        <v>61</v>
      </c>
      <c r="F506" t="s">
        <v>36</v>
      </c>
      <c r="G506" s="3">
        <v>0</v>
      </c>
      <c r="I506" t="str">
        <f t="shared" si="21"/>
        <v>35-44</v>
      </c>
      <c r="J506" t="str">
        <f t="shared" si="22"/>
        <v>Recently promoted</v>
      </c>
      <c r="K506">
        <f t="shared" si="23"/>
        <v>0</v>
      </c>
    </row>
    <row r="507" spans="1:11" x14ac:dyDescent="0.25">
      <c r="A507" s="5">
        <v>1664</v>
      </c>
      <c r="B507" s="3">
        <v>36</v>
      </c>
      <c r="C507" t="s">
        <v>43</v>
      </c>
      <c r="D507" t="s">
        <v>67</v>
      </c>
      <c r="E507" t="s">
        <v>52</v>
      </c>
      <c r="F507" t="s">
        <v>36</v>
      </c>
      <c r="G507" s="3">
        <v>0</v>
      </c>
      <c r="I507" t="str">
        <f t="shared" si="21"/>
        <v>35-44</v>
      </c>
      <c r="J507" t="str">
        <f t="shared" si="22"/>
        <v>Recently promoted</v>
      </c>
      <c r="K507">
        <f t="shared" si="23"/>
        <v>0</v>
      </c>
    </row>
    <row r="508" spans="1:11" x14ac:dyDescent="0.25">
      <c r="A508" s="5">
        <v>240</v>
      </c>
      <c r="B508" s="3">
        <v>45</v>
      </c>
      <c r="C508" t="s">
        <v>43</v>
      </c>
      <c r="D508" t="s">
        <v>67</v>
      </c>
      <c r="E508" t="s">
        <v>52</v>
      </c>
      <c r="F508" t="s">
        <v>36</v>
      </c>
      <c r="G508" s="3">
        <v>0</v>
      </c>
      <c r="I508" t="str">
        <f t="shared" si="21"/>
        <v>45-54</v>
      </c>
      <c r="J508" t="str">
        <f t="shared" si="22"/>
        <v>Recently promoted</v>
      </c>
      <c r="K508">
        <f t="shared" si="23"/>
        <v>0</v>
      </c>
    </row>
    <row r="509" spans="1:11" x14ac:dyDescent="0.25">
      <c r="A509" s="5">
        <v>486</v>
      </c>
      <c r="B509" s="3">
        <v>37</v>
      </c>
      <c r="C509" t="s">
        <v>43</v>
      </c>
      <c r="D509" t="s">
        <v>49</v>
      </c>
      <c r="E509" t="s">
        <v>61</v>
      </c>
      <c r="F509" t="s">
        <v>36</v>
      </c>
      <c r="G509" s="3">
        <v>0</v>
      </c>
      <c r="I509" t="str">
        <f t="shared" si="21"/>
        <v>35-44</v>
      </c>
      <c r="J509" t="str">
        <f t="shared" si="22"/>
        <v>Recently promoted</v>
      </c>
      <c r="K509">
        <f t="shared" si="23"/>
        <v>0</v>
      </c>
    </row>
    <row r="510" spans="1:11" x14ac:dyDescent="0.25">
      <c r="A510" s="5">
        <v>1409</v>
      </c>
      <c r="B510" s="3">
        <v>52</v>
      </c>
      <c r="C510" t="s">
        <v>43</v>
      </c>
      <c r="D510" t="s">
        <v>35</v>
      </c>
      <c r="E510" t="s">
        <v>61</v>
      </c>
      <c r="F510" t="s">
        <v>42</v>
      </c>
      <c r="G510" s="3">
        <v>0</v>
      </c>
      <c r="I510" t="str">
        <f t="shared" si="21"/>
        <v>45-54</v>
      </c>
      <c r="J510" t="str">
        <f t="shared" si="22"/>
        <v>Recently promoted</v>
      </c>
      <c r="K510">
        <f t="shared" si="23"/>
        <v>0</v>
      </c>
    </row>
    <row r="511" spans="1:11" x14ac:dyDescent="0.25">
      <c r="A511" s="5">
        <v>2018</v>
      </c>
      <c r="B511" s="3">
        <v>25</v>
      </c>
      <c r="C511" t="s">
        <v>43</v>
      </c>
      <c r="D511" t="s">
        <v>67</v>
      </c>
      <c r="E511" t="s">
        <v>52</v>
      </c>
      <c r="F511" t="s">
        <v>36</v>
      </c>
      <c r="G511" s="3">
        <v>0</v>
      </c>
      <c r="I511" t="str">
        <f t="shared" si="21"/>
        <v>25-34</v>
      </c>
      <c r="J511" t="str">
        <f t="shared" si="22"/>
        <v>Recently promoted</v>
      </c>
      <c r="K511">
        <f t="shared" si="23"/>
        <v>0</v>
      </c>
    </row>
    <row r="512" spans="1:11" x14ac:dyDescent="0.25">
      <c r="A512" s="5">
        <v>1387</v>
      </c>
      <c r="B512" s="3">
        <v>28</v>
      </c>
      <c r="C512" t="s">
        <v>43</v>
      </c>
      <c r="D512" t="s">
        <v>49</v>
      </c>
      <c r="E512" t="s">
        <v>61</v>
      </c>
      <c r="F512" t="s">
        <v>36</v>
      </c>
      <c r="G512" s="3">
        <v>0</v>
      </c>
      <c r="I512" t="str">
        <f t="shared" si="21"/>
        <v>25-34</v>
      </c>
      <c r="J512" t="str">
        <f t="shared" si="22"/>
        <v>Recently promoted</v>
      </c>
      <c r="K512">
        <f t="shared" si="23"/>
        <v>0</v>
      </c>
    </row>
    <row r="513" spans="1:11" x14ac:dyDescent="0.25">
      <c r="A513" s="5">
        <v>377</v>
      </c>
      <c r="B513" s="3">
        <v>28</v>
      </c>
      <c r="C513" t="s">
        <v>43</v>
      </c>
      <c r="D513" t="s">
        <v>49</v>
      </c>
      <c r="E513" t="s">
        <v>61</v>
      </c>
      <c r="F513" t="s">
        <v>36</v>
      </c>
      <c r="G513" s="3">
        <v>0</v>
      </c>
      <c r="I513" t="str">
        <f t="shared" si="21"/>
        <v>25-34</v>
      </c>
      <c r="J513" t="str">
        <f t="shared" si="22"/>
        <v>Recently promoted</v>
      </c>
      <c r="K513">
        <f t="shared" si="23"/>
        <v>0</v>
      </c>
    </row>
    <row r="514" spans="1:11" x14ac:dyDescent="0.25">
      <c r="A514" s="5">
        <v>1546</v>
      </c>
      <c r="B514" s="3">
        <v>45</v>
      </c>
      <c r="C514" t="s">
        <v>43</v>
      </c>
      <c r="D514" t="s">
        <v>49</v>
      </c>
      <c r="E514" t="s">
        <v>61</v>
      </c>
      <c r="F514" t="s">
        <v>36</v>
      </c>
      <c r="G514" s="3">
        <v>0</v>
      </c>
      <c r="I514" t="str">
        <f t="shared" si="21"/>
        <v>45-54</v>
      </c>
      <c r="J514" t="str">
        <f t="shared" si="22"/>
        <v>Recently promoted</v>
      </c>
      <c r="K514">
        <f t="shared" si="23"/>
        <v>0</v>
      </c>
    </row>
    <row r="515" spans="1:11" x14ac:dyDescent="0.25">
      <c r="A515" s="5">
        <v>878</v>
      </c>
      <c r="B515" s="3">
        <v>36</v>
      </c>
      <c r="C515" t="s">
        <v>43</v>
      </c>
      <c r="D515" t="s">
        <v>49</v>
      </c>
      <c r="E515" t="s">
        <v>61</v>
      </c>
      <c r="F515" t="s">
        <v>42</v>
      </c>
      <c r="G515" s="3">
        <v>0</v>
      </c>
      <c r="I515" t="str">
        <f t="shared" ref="I515:I578" si="24">IF(B515&lt;=24, "18-24", IF(B515&lt;=34,"25-34", IF(B515&lt;=44,"35-44", IF(B515&lt;=54,"45-54", IF(B515&lt;=60, "55-60")))))</f>
        <v>35-44</v>
      </c>
      <c r="J515" t="str">
        <f t="shared" ref="J515:J578" si="25">IF(G515&lt;=0,"Recently promoted",IF(G515&lt;=3,"Promoted in 1-3 years","Long Promotion gap"))</f>
        <v>Recently promoted</v>
      </c>
      <c r="K515">
        <f t="shared" ref="K515:K578" si="26">IF(C515="Yes", 1, 0)</f>
        <v>0</v>
      </c>
    </row>
    <row r="516" spans="1:11" x14ac:dyDescent="0.25">
      <c r="A516" s="5">
        <v>1772</v>
      </c>
      <c r="B516" s="3">
        <v>41</v>
      </c>
      <c r="C516" t="s">
        <v>43</v>
      </c>
      <c r="D516" t="s">
        <v>35</v>
      </c>
      <c r="E516" t="s">
        <v>52</v>
      </c>
      <c r="F516" t="s">
        <v>53</v>
      </c>
      <c r="G516" s="3">
        <v>0</v>
      </c>
      <c r="I516" t="str">
        <f t="shared" si="24"/>
        <v>35-44</v>
      </c>
      <c r="J516" t="str">
        <f t="shared" si="25"/>
        <v>Recently promoted</v>
      </c>
      <c r="K516">
        <f t="shared" si="26"/>
        <v>0</v>
      </c>
    </row>
    <row r="517" spans="1:11" x14ac:dyDescent="0.25">
      <c r="A517" s="5">
        <v>1768</v>
      </c>
      <c r="B517" s="3">
        <v>42</v>
      </c>
      <c r="C517" t="s">
        <v>43</v>
      </c>
      <c r="D517" t="s">
        <v>49</v>
      </c>
      <c r="E517" t="s">
        <v>52</v>
      </c>
      <c r="F517" t="s">
        <v>50</v>
      </c>
      <c r="G517" s="3">
        <v>0</v>
      </c>
      <c r="I517" t="str">
        <f t="shared" si="24"/>
        <v>35-44</v>
      </c>
      <c r="J517" t="str">
        <f t="shared" si="25"/>
        <v>Recently promoted</v>
      </c>
      <c r="K517">
        <f t="shared" si="26"/>
        <v>0</v>
      </c>
    </row>
    <row r="518" spans="1:11" x14ac:dyDescent="0.25">
      <c r="A518" s="5">
        <v>94</v>
      </c>
      <c r="B518" s="3">
        <v>29</v>
      </c>
      <c r="C518" t="s">
        <v>43</v>
      </c>
      <c r="D518" t="s">
        <v>49</v>
      </c>
      <c r="E518" t="s">
        <v>61</v>
      </c>
      <c r="F518" t="s">
        <v>36</v>
      </c>
      <c r="G518" s="3">
        <v>0</v>
      </c>
      <c r="I518" t="str">
        <f t="shared" si="24"/>
        <v>25-34</v>
      </c>
      <c r="J518" t="str">
        <f t="shared" si="25"/>
        <v>Recently promoted</v>
      </c>
      <c r="K518">
        <f t="shared" si="26"/>
        <v>0</v>
      </c>
    </row>
    <row r="519" spans="1:11" x14ac:dyDescent="0.25">
      <c r="A519" s="5">
        <v>395</v>
      </c>
      <c r="B519" s="3">
        <v>28</v>
      </c>
      <c r="C519" t="s">
        <v>43</v>
      </c>
      <c r="D519" t="s">
        <v>67</v>
      </c>
      <c r="E519" t="s">
        <v>41</v>
      </c>
      <c r="F519" t="s">
        <v>42</v>
      </c>
      <c r="G519" s="3">
        <v>0</v>
      </c>
      <c r="I519" t="str">
        <f t="shared" si="24"/>
        <v>25-34</v>
      </c>
      <c r="J519" t="str">
        <f t="shared" si="25"/>
        <v>Recently promoted</v>
      </c>
      <c r="K519">
        <f t="shared" si="26"/>
        <v>0</v>
      </c>
    </row>
    <row r="520" spans="1:11" x14ac:dyDescent="0.25">
      <c r="A520" s="5">
        <v>613</v>
      </c>
      <c r="B520" s="3">
        <v>31</v>
      </c>
      <c r="C520" t="s">
        <v>43</v>
      </c>
      <c r="D520" t="s">
        <v>49</v>
      </c>
      <c r="E520" t="s">
        <v>52</v>
      </c>
      <c r="F520" t="s">
        <v>36</v>
      </c>
      <c r="G520" s="3">
        <v>0</v>
      </c>
      <c r="I520" t="str">
        <f t="shared" si="24"/>
        <v>25-34</v>
      </c>
      <c r="J520" t="str">
        <f t="shared" si="25"/>
        <v>Recently promoted</v>
      </c>
      <c r="K520">
        <f t="shared" si="26"/>
        <v>0</v>
      </c>
    </row>
    <row r="521" spans="1:11" x14ac:dyDescent="0.25">
      <c r="A521" s="5">
        <v>1885</v>
      </c>
      <c r="B521" s="3">
        <v>37</v>
      </c>
      <c r="C521" t="s">
        <v>43</v>
      </c>
      <c r="D521" t="s">
        <v>35</v>
      </c>
      <c r="E521" t="s">
        <v>61</v>
      </c>
      <c r="F521" t="s">
        <v>36</v>
      </c>
      <c r="G521" s="3">
        <v>0</v>
      </c>
      <c r="I521" t="str">
        <f t="shared" si="24"/>
        <v>35-44</v>
      </c>
      <c r="J521" t="str">
        <f t="shared" si="25"/>
        <v>Recently promoted</v>
      </c>
      <c r="K521">
        <f t="shared" si="26"/>
        <v>0</v>
      </c>
    </row>
    <row r="522" spans="1:11" x14ac:dyDescent="0.25">
      <c r="A522" s="5">
        <v>548</v>
      </c>
      <c r="B522" s="3">
        <v>30</v>
      </c>
      <c r="C522" t="s">
        <v>43</v>
      </c>
      <c r="D522" t="s">
        <v>49</v>
      </c>
      <c r="E522" t="s">
        <v>41</v>
      </c>
      <c r="F522" t="s">
        <v>42</v>
      </c>
      <c r="G522" s="3">
        <v>0</v>
      </c>
      <c r="I522" t="str">
        <f t="shared" si="24"/>
        <v>25-34</v>
      </c>
      <c r="J522" t="str">
        <f t="shared" si="25"/>
        <v>Recently promoted</v>
      </c>
      <c r="K522">
        <f t="shared" si="26"/>
        <v>0</v>
      </c>
    </row>
    <row r="523" spans="1:11" x14ac:dyDescent="0.25">
      <c r="A523" s="5">
        <v>246</v>
      </c>
      <c r="B523" s="3">
        <v>31</v>
      </c>
      <c r="C523" t="s">
        <v>43</v>
      </c>
      <c r="D523" t="s">
        <v>64</v>
      </c>
      <c r="E523" t="s">
        <v>61</v>
      </c>
      <c r="F523" t="s">
        <v>36</v>
      </c>
      <c r="G523" s="3">
        <v>0</v>
      </c>
      <c r="I523" t="str">
        <f t="shared" si="24"/>
        <v>25-34</v>
      </c>
      <c r="J523" t="str">
        <f t="shared" si="25"/>
        <v>Recently promoted</v>
      </c>
      <c r="K523">
        <f t="shared" si="26"/>
        <v>0</v>
      </c>
    </row>
    <row r="524" spans="1:11" x14ac:dyDescent="0.25">
      <c r="A524" s="5">
        <v>116</v>
      </c>
      <c r="B524" s="3">
        <v>51</v>
      </c>
      <c r="C524" t="s">
        <v>43</v>
      </c>
      <c r="D524" t="s">
        <v>35</v>
      </c>
      <c r="E524" t="s">
        <v>61</v>
      </c>
      <c r="F524" t="s">
        <v>53</v>
      </c>
      <c r="G524" s="3">
        <v>0</v>
      </c>
      <c r="I524" t="str">
        <f t="shared" si="24"/>
        <v>45-54</v>
      </c>
      <c r="J524" t="str">
        <f t="shared" si="25"/>
        <v>Recently promoted</v>
      </c>
      <c r="K524">
        <f t="shared" si="26"/>
        <v>0</v>
      </c>
    </row>
    <row r="525" spans="1:11" x14ac:dyDescent="0.25">
      <c r="A525" s="5">
        <v>1631</v>
      </c>
      <c r="B525" s="3">
        <v>37</v>
      </c>
      <c r="C525" t="s">
        <v>43</v>
      </c>
      <c r="D525" t="s">
        <v>49</v>
      </c>
      <c r="E525" t="s">
        <v>61</v>
      </c>
      <c r="F525" t="s">
        <v>50</v>
      </c>
      <c r="G525" s="3">
        <v>0</v>
      </c>
      <c r="I525" t="str">
        <f t="shared" si="24"/>
        <v>35-44</v>
      </c>
      <c r="J525" t="str">
        <f t="shared" si="25"/>
        <v>Recently promoted</v>
      </c>
      <c r="K525">
        <f t="shared" si="26"/>
        <v>0</v>
      </c>
    </row>
    <row r="526" spans="1:11" x14ac:dyDescent="0.25">
      <c r="A526" s="5">
        <v>453</v>
      </c>
      <c r="B526" s="3">
        <v>40</v>
      </c>
      <c r="C526" t="s">
        <v>43</v>
      </c>
      <c r="D526" t="s">
        <v>67</v>
      </c>
      <c r="E526" t="s">
        <v>61</v>
      </c>
      <c r="F526" t="s">
        <v>50</v>
      </c>
      <c r="G526" s="3">
        <v>0</v>
      </c>
      <c r="I526" t="str">
        <f t="shared" si="24"/>
        <v>35-44</v>
      </c>
      <c r="J526" t="str">
        <f t="shared" si="25"/>
        <v>Recently promoted</v>
      </c>
      <c r="K526">
        <f t="shared" si="26"/>
        <v>0</v>
      </c>
    </row>
    <row r="527" spans="1:11" x14ac:dyDescent="0.25">
      <c r="A527" s="5">
        <v>103</v>
      </c>
      <c r="B527" s="3">
        <v>46</v>
      </c>
      <c r="C527" t="s">
        <v>43</v>
      </c>
      <c r="D527" t="s">
        <v>67</v>
      </c>
      <c r="E527" t="s">
        <v>52</v>
      </c>
      <c r="F527" t="s">
        <v>36</v>
      </c>
      <c r="G527" s="3">
        <v>0</v>
      </c>
      <c r="I527" t="str">
        <f t="shared" si="24"/>
        <v>45-54</v>
      </c>
      <c r="J527" t="str">
        <f t="shared" si="25"/>
        <v>Recently promoted</v>
      </c>
      <c r="K527">
        <f t="shared" si="26"/>
        <v>0</v>
      </c>
    </row>
    <row r="528" spans="1:11" x14ac:dyDescent="0.25">
      <c r="A528" s="5">
        <v>1361</v>
      </c>
      <c r="B528" s="3">
        <v>40</v>
      </c>
      <c r="C528" t="s">
        <v>43</v>
      </c>
      <c r="D528" t="s">
        <v>35</v>
      </c>
      <c r="E528" t="s">
        <v>61</v>
      </c>
      <c r="F528" t="s">
        <v>36</v>
      </c>
      <c r="G528" s="3">
        <v>0</v>
      </c>
      <c r="I528" t="str">
        <f t="shared" si="24"/>
        <v>35-44</v>
      </c>
      <c r="J528" t="str">
        <f t="shared" si="25"/>
        <v>Recently promoted</v>
      </c>
      <c r="K528">
        <f t="shared" si="26"/>
        <v>0</v>
      </c>
    </row>
    <row r="529" spans="1:11" x14ac:dyDescent="0.25">
      <c r="A529" s="5">
        <v>1062</v>
      </c>
      <c r="B529" s="3">
        <v>37</v>
      </c>
      <c r="C529" t="s">
        <v>43</v>
      </c>
      <c r="D529" t="s">
        <v>49</v>
      </c>
      <c r="E529" t="s">
        <v>41</v>
      </c>
      <c r="F529" t="s">
        <v>42</v>
      </c>
      <c r="G529" s="3">
        <v>0</v>
      </c>
      <c r="I529" t="str">
        <f t="shared" si="24"/>
        <v>35-44</v>
      </c>
      <c r="J529" t="str">
        <f t="shared" si="25"/>
        <v>Recently promoted</v>
      </c>
      <c r="K529">
        <f t="shared" si="26"/>
        <v>0</v>
      </c>
    </row>
    <row r="530" spans="1:11" x14ac:dyDescent="0.25">
      <c r="A530" s="5">
        <v>1802</v>
      </c>
      <c r="B530" s="3">
        <v>40</v>
      </c>
      <c r="C530" t="s">
        <v>43</v>
      </c>
      <c r="D530" t="s">
        <v>67</v>
      </c>
      <c r="E530" t="s">
        <v>61</v>
      </c>
      <c r="F530" t="s">
        <v>36</v>
      </c>
      <c r="G530" s="3">
        <v>0</v>
      </c>
      <c r="I530" t="str">
        <f t="shared" si="24"/>
        <v>35-44</v>
      </c>
      <c r="J530" t="str">
        <f t="shared" si="25"/>
        <v>Recently promoted</v>
      </c>
      <c r="K530">
        <f t="shared" si="26"/>
        <v>0</v>
      </c>
    </row>
    <row r="531" spans="1:11" x14ac:dyDescent="0.25">
      <c r="A531" s="5">
        <v>1835</v>
      </c>
      <c r="B531" s="3">
        <v>38</v>
      </c>
      <c r="C531" t="s">
        <v>43</v>
      </c>
      <c r="D531" t="s">
        <v>35</v>
      </c>
      <c r="E531" t="s">
        <v>61</v>
      </c>
      <c r="F531" t="s">
        <v>53</v>
      </c>
      <c r="G531" s="3">
        <v>0</v>
      </c>
      <c r="I531" t="str">
        <f t="shared" si="24"/>
        <v>35-44</v>
      </c>
      <c r="J531" t="str">
        <f t="shared" si="25"/>
        <v>Recently promoted</v>
      </c>
      <c r="K531">
        <f t="shared" si="26"/>
        <v>0</v>
      </c>
    </row>
    <row r="532" spans="1:11" x14ac:dyDescent="0.25">
      <c r="A532" s="5">
        <v>560</v>
      </c>
      <c r="B532" s="3">
        <v>26</v>
      </c>
      <c r="C532" t="s">
        <v>43</v>
      </c>
      <c r="D532" t="s">
        <v>49</v>
      </c>
      <c r="E532" t="s">
        <v>52</v>
      </c>
      <c r="F532" t="s">
        <v>53</v>
      </c>
      <c r="G532" s="3">
        <v>0</v>
      </c>
      <c r="I532" t="str">
        <f t="shared" si="24"/>
        <v>25-34</v>
      </c>
      <c r="J532" t="str">
        <f t="shared" si="25"/>
        <v>Recently promoted</v>
      </c>
      <c r="K532">
        <f t="shared" si="26"/>
        <v>0</v>
      </c>
    </row>
    <row r="533" spans="1:11" x14ac:dyDescent="0.25">
      <c r="A533" s="5">
        <v>1718</v>
      </c>
      <c r="B533" s="3">
        <v>26</v>
      </c>
      <c r="C533" t="s">
        <v>43</v>
      </c>
      <c r="D533" t="s">
        <v>35</v>
      </c>
      <c r="E533" t="s">
        <v>61</v>
      </c>
      <c r="F533" t="s">
        <v>50</v>
      </c>
      <c r="G533" s="3">
        <v>0</v>
      </c>
      <c r="I533" t="str">
        <f t="shared" si="24"/>
        <v>25-34</v>
      </c>
      <c r="J533" t="str">
        <f t="shared" si="25"/>
        <v>Recently promoted</v>
      </c>
      <c r="K533">
        <f t="shared" si="26"/>
        <v>0</v>
      </c>
    </row>
    <row r="534" spans="1:11" x14ac:dyDescent="0.25">
      <c r="A534" s="5">
        <v>128</v>
      </c>
      <c r="B534" s="3">
        <v>24</v>
      </c>
      <c r="C534" t="s">
        <v>43</v>
      </c>
      <c r="D534" t="s">
        <v>67</v>
      </c>
      <c r="E534" t="s">
        <v>61</v>
      </c>
      <c r="F534" t="s">
        <v>36</v>
      </c>
      <c r="G534" s="3">
        <v>0</v>
      </c>
      <c r="I534" t="str">
        <f t="shared" si="24"/>
        <v>18-24</v>
      </c>
      <c r="J534" t="str">
        <f t="shared" si="25"/>
        <v>Recently promoted</v>
      </c>
      <c r="K534">
        <f t="shared" si="26"/>
        <v>0</v>
      </c>
    </row>
    <row r="535" spans="1:11" x14ac:dyDescent="0.25">
      <c r="A535" s="5">
        <v>249</v>
      </c>
      <c r="B535" s="3">
        <v>50</v>
      </c>
      <c r="C535" t="s">
        <v>43</v>
      </c>
      <c r="D535" t="s">
        <v>49</v>
      </c>
      <c r="E535" t="s">
        <v>61</v>
      </c>
      <c r="F535" t="s">
        <v>36</v>
      </c>
      <c r="G535" s="3">
        <v>0</v>
      </c>
      <c r="I535" t="str">
        <f t="shared" si="24"/>
        <v>45-54</v>
      </c>
      <c r="J535" t="str">
        <f t="shared" si="25"/>
        <v>Recently promoted</v>
      </c>
      <c r="K535">
        <f t="shared" si="26"/>
        <v>0</v>
      </c>
    </row>
    <row r="536" spans="1:11" x14ac:dyDescent="0.25">
      <c r="A536" s="5">
        <v>1428</v>
      </c>
      <c r="B536" s="3">
        <v>30</v>
      </c>
      <c r="C536" t="s">
        <v>43</v>
      </c>
      <c r="D536" t="s">
        <v>35</v>
      </c>
      <c r="E536" t="s">
        <v>52</v>
      </c>
      <c r="F536" t="s">
        <v>53</v>
      </c>
      <c r="G536" s="3">
        <v>0</v>
      </c>
      <c r="I536" t="str">
        <f t="shared" si="24"/>
        <v>25-34</v>
      </c>
      <c r="J536" t="str">
        <f t="shared" si="25"/>
        <v>Recently promoted</v>
      </c>
      <c r="K536">
        <f t="shared" si="26"/>
        <v>0</v>
      </c>
    </row>
    <row r="537" spans="1:11" x14ac:dyDescent="0.25">
      <c r="A537" s="5">
        <v>874</v>
      </c>
      <c r="B537" s="3">
        <v>44</v>
      </c>
      <c r="C537" t="s">
        <v>43</v>
      </c>
      <c r="D537" t="s">
        <v>35</v>
      </c>
      <c r="E537" t="s">
        <v>61</v>
      </c>
      <c r="F537" t="s">
        <v>36</v>
      </c>
      <c r="G537" s="3">
        <v>0</v>
      </c>
      <c r="I537" t="str">
        <f t="shared" si="24"/>
        <v>35-44</v>
      </c>
      <c r="J537" t="str">
        <f t="shared" si="25"/>
        <v>Recently promoted</v>
      </c>
      <c r="K537">
        <f t="shared" si="26"/>
        <v>0</v>
      </c>
    </row>
    <row r="538" spans="1:11" x14ac:dyDescent="0.25">
      <c r="A538" s="5">
        <v>178</v>
      </c>
      <c r="B538" s="3">
        <v>36</v>
      </c>
      <c r="C538" t="s">
        <v>43</v>
      </c>
      <c r="D538" t="s">
        <v>67</v>
      </c>
      <c r="E538" t="s">
        <v>52</v>
      </c>
      <c r="F538" t="s">
        <v>53</v>
      </c>
      <c r="G538" s="3">
        <v>0</v>
      </c>
      <c r="I538" t="str">
        <f t="shared" si="24"/>
        <v>35-44</v>
      </c>
      <c r="J538" t="str">
        <f t="shared" si="25"/>
        <v>Recently promoted</v>
      </c>
      <c r="K538">
        <f t="shared" si="26"/>
        <v>0</v>
      </c>
    </row>
    <row r="539" spans="1:11" x14ac:dyDescent="0.25">
      <c r="A539" s="5">
        <v>805</v>
      </c>
      <c r="B539" s="3">
        <v>35</v>
      </c>
      <c r="C539" t="s">
        <v>43</v>
      </c>
      <c r="D539" t="s">
        <v>35</v>
      </c>
      <c r="E539" t="s">
        <v>61</v>
      </c>
      <c r="F539" t="s">
        <v>36</v>
      </c>
      <c r="G539" s="3">
        <v>0</v>
      </c>
      <c r="I539" t="str">
        <f t="shared" si="24"/>
        <v>35-44</v>
      </c>
      <c r="J539" t="str">
        <f t="shared" si="25"/>
        <v>Recently promoted</v>
      </c>
      <c r="K539">
        <f t="shared" si="26"/>
        <v>0</v>
      </c>
    </row>
    <row r="540" spans="1:11" x14ac:dyDescent="0.25">
      <c r="A540" s="5">
        <v>1195</v>
      </c>
      <c r="B540" s="3">
        <v>45</v>
      </c>
      <c r="C540" t="s">
        <v>43</v>
      </c>
      <c r="D540" t="s">
        <v>49</v>
      </c>
      <c r="E540" t="s">
        <v>61</v>
      </c>
      <c r="F540" t="s">
        <v>36</v>
      </c>
      <c r="G540" s="3">
        <v>0</v>
      </c>
      <c r="I540" t="str">
        <f t="shared" si="24"/>
        <v>45-54</v>
      </c>
      <c r="J540" t="str">
        <f t="shared" si="25"/>
        <v>Recently promoted</v>
      </c>
      <c r="K540">
        <f t="shared" si="26"/>
        <v>0</v>
      </c>
    </row>
    <row r="541" spans="1:11" x14ac:dyDescent="0.25">
      <c r="A541" s="5">
        <v>544</v>
      </c>
      <c r="B541" s="3">
        <v>45</v>
      </c>
      <c r="C541" t="s">
        <v>43</v>
      </c>
      <c r="D541" t="s">
        <v>67</v>
      </c>
      <c r="E541" t="s">
        <v>61</v>
      </c>
      <c r="F541" t="s">
        <v>53</v>
      </c>
      <c r="G541" s="3">
        <v>0</v>
      </c>
      <c r="I541" t="str">
        <f t="shared" si="24"/>
        <v>45-54</v>
      </c>
      <c r="J541" t="str">
        <f t="shared" si="25"/>
        <v>Recently promoted</v>
      </c>
      <c r="K541">
        <f t="shared" si="26"/>
        <v>0</v>
      </c>
    </row>
    <row r="542" spans="1:11" x14ac:dyDescent="0.25">
      <c r="A542" s="5">
        <v>806</v>
      </c>
      <c r="B542" s="3">
        <v>30</v>
      </c>
      <c r="C542" t="s">
        <v>43</v>
      </c>
      <c r="D542" t="s">
        <v>49</v>
      </c>
      <c r="E542" t="s">
        <v>61</v>
      </c>
      <c r="F542" t="s">
        <v>53</v>
      </c>
      <c r="G542" s="3">
        <v>0</v>
      </c>
      <c r="I542" t="str">
        <f t="shared" si="24"/>
        <v>25-34</v>
      </c>
      <c r="J542" t="str">
        <f t="shared" si="25"/>
        <v>Recently promoted</v>
      </c>
      <c r="K542">
        <f t="shared" si="26"/>
        <v>0</v>
      </c>
    </row>
    <row r="543" spans="1:11" x14ac:dyDescent="0.25">
      <c r="A543" s="5">
        <v>1992</v>
      </c>
      <c r="B543" s="3">
        <v>25</v>
      </c>
      <c r="C543" t="s">
        <v>43</v>
      </c>
      <c r="D543" t="s">
        <v>64</v>
      </c>
      <c r="E543" t="s">
        <v>52</v>
      </c>
      <c r="F543" t="s">
        <v>36</v>
      </c>
      <c r="G543" s="3">
        <v>0</v>
      </c>
      <c r="I543" t="str">
        <f t="shared" si="24"/>
        <v>25-34</v>
      </c>
      <c r="J543" t="str">
        <f t="shared" si="25"/>
        <v>Recently promoted</v>
      </c>
      <c r="K543">
        <f t="shared" si="26"/>
        <v>0</v>
      </c>
    </row>
    <row r="544" spans="1:11" x14ac:dyDescent="0.25">
      <c r="A544" s="5">
        <v>1678</v>
      </c>
      <c r="B544" s="3">
        <v>41</v>
      </c>
      <c r="C544" t="s">
        <v>43</v>
      </c>
      <c r="D544" t="s">
        <v>67</v>
      </c>
      <c r="E544" t="s">
        <v>41</v>
      </c>
      <c r="F544" t="s">
        <v>42</v>
      </c>
      <c r="G544" s="3">
        <v>0</v>
      </c>
      <c r="I544" t="str">
        <f t="shared" si="24"/>
        <v>35-44</v>
      </c>
      <c r="J544" t="str">
        <f t="shared" si="25"/>
        <v>Recently promoted</v>
      </c>
      <c r="K544">
        <f t="shared" si="26"/>
        <v>0</v>
      </c>
    </row>
    <row r="545" spans="1:11" x14ac:dyDescent="0.25">
      <c r="A545" s="5">
        <v>1352</v>
      </c>
      <c r="B545" s="3">
        <v>51</v>
      </c>
      <c r="C545" t="s">
        <v>43</v>
      </c>
      <c r="D545" t="s">
        <v>49</v>
      </c>
      <c r="E545" t="s">
        <v>52</v>
      </c>
      <c r="F545" t="s">
        <v>36</v>
      </c>
      <c r="G545" s="3">
        <v>0</v>
      </c>
      <c r="I545" t="str">
        <f t="shared" si="24"/>
        <v>45-54</v>
      </c>
      <c r="J545" t="str">
        <f t="shared" si="25"/>
        <v>Recently promoted</v>
      </c>
      <c r="K545">
        <f t="shared" si="26"/>
        <v>0</v>
      </c>
    </row>
    <row r="546" spans="1:11" x14ac:dyDescent="0.25">
      <c r="A546" s="5">
        <v>638</v>
      </c>
      <c r="B546" s="3">
        <v>49</v>
      </c>
      <c r="C546" t="s">
        <v>43</v>
      </c>
      <c r="D546" t="s">
        <v>35</v>
      </c>
      <c r="E546" t="s">
        <v>52</v>
      </c>
      <c r="F546" t="s">
        <v>36</v>
      </c>
      <c r="G546" s="3">
        <v>0</v>
      </c>
      <c r="I546" t="str">
        <f t="shared" si="24"/>
        <v>45-54</v>
      </c>
      <c r="J546" t="str">
        <f t="shared" si="25"/>
        <v>Recently promoted</v>
      </c>
      <c r="K546">
        <f t="shared" si="26"/>
        <v>0</v>
      </c>
    </row>
    <row r="547" spans="1:11" x14ac:dyDescent="0.25">
      <c r="A547" s="5">
        <v>1602</v>
      </c>
      <c r="B547" s="3">
        <v>46</v>
      </c>
      <c r="C547" t="s">
        <v>43</v>
      </c>
      <c r="D547" t="s">
        <v>35</v>
      </c>
      <c r="E547" t="s">
        <v>41</v>
      </c>
      <c r="F547" t="s">
        <v>42</v>
      </c>
      <c r="G547" s="3">
        <v>0</v>
      </c>
      <c r="I547" t="str">
        <f t="shared" si="24"/>
        <v>45-54</v>
      </c>
      <c r="J547" t="str">
        <f t="shared" si="25"/>
        <v>Recently promoted</v>
      </c>
      <c r="K547">
        <f t="shared" si="26"/>
        <v>0</v>
      </c>
    </row>
    <row r="548" spans="1:11" x14ac:dyDescent="0.25">
      <c r="A548" s="5">
        <v>410</v>
      </c>
      <c r="B548" s="3">
        <v>41</v>
      </c>
      <c r="C548" t="s">
        <v>43</v>
      </c>
      <c r="D548" t="s">
        <v>35</v>
      </c>
      <c r="E548" t="s">
        <v>41</v>
      </c>
      <c r="F548" t="s">
        <v>42</v>
      </c>
      <c r="G548" s="3">
        <v>0</v>
      </c>
      <c r="I548" t="str">
        <f t="shared" si="24"/>
        <v>35-44</v>
      </c>
      <c r="J548" t="str">
        <f t="shared" si="25"/>
        <v>Recently promoted</v>
      </c>
      <c r="K548">
        <f t="shared" si="26"/>
        <v>0</v>
      </c>
    </row>
    <row r="549" spans="1:11" x14ac:dyDescent="0.25">
      <c r="A549" s="5">
        <v>206</v>
      </c>
      <c r="B549" s="3">
        <v>45</v>
      </c>
      <c r="C549" t="s">
        <v>43</v>
      </c>
      <c r="D549" t="s">
        <v>49</v>
      </c>
      <c r="E549" t="s">
        <v>52</v>
      </c>
      <c r="F549" t="s">
        <v>36</v>
      </c>
      <c r="G549" s="3">
        <v>0</v>
      </c>
      <c r="I549" t="str">
        <f t="shared" si="24"/>
        <v>45-54</v>
      </c>
      <c r="J549" t="str">
        <f t="shared" si="25"/>
        <v>Recently promoted</v>
      </c>
      <c r="K549">
        <f t="shared" si="26"/>
        <v>0</v>
      </c>
    </row>
    <row r="550" spans="1:11" x14ac:dyDescent="0.25">
      <c r="A550" s="5">
        <v>464</v>
      </c>
      <c r="B550" s="3">
        <v>35</v>
      </c>
      <c r="C550" t="s">
        <v>43</v>
      </c>
      <c r="D550" t="s">
        <v>35</v>
      </c>
      <c r="E550" t="s">
        <v>41</v>
      </c>
      <c r="F550" t="s">
        <v>42</v>
      </c>
      <c r="G550" s="3">
        <v>0</v>
      </c>
      <c r="I550" t="str">
        <f t="shared" si="24"/>
        <v>35-44</v>
      </c>
      <c r="J550" t="str">
        <f t="shared" si="25"/>
        <v>Recently promoted</v>
      </c>
      <c r="K550">
        <f t="shared" si="26"/>
        <v>0</v>
      </c>
    </row>
    <row r="551" spans="1:11" x14ac:dyDescent="0.25">
      <c r="A551" s="5">
        <v>1047</v>
      </c>
      <c r="B551" s="3">
        <v>34</v>
      </c>
      <c r="C551" t="s">
        <v>43</v>
      </c>
      <c r="D551" t="s">
        <v>35</v>
      </c>
      <c r="E551" t="s">
        <v>52</v>
      </c>
      <c r="F551" t="s">
        <v>36</v>
      </c>
      <c r="G551" s="3">
        <v>0</v>
      </c>
      <c r="I551" t="str">
        <f t="shared" si="24"/>
        <v>25-34</v>
      </c>
      <c r="J551" t="str">
        <f t="shared" si="25"/>
        <v>Recently promoted</v>
      </c>
      <c r="K551">
        <f t="shared" si="26"/>
        <v>0</v>
      </c>
    </row>
    <row r="552" spans="1:11" x14ac:dyDescent="0.25">
      <c r="A552" s="5">
        <v>1280</v>
      </c>
      <c r="B552" s="3">
        <v>46</v>
      </c>
      <c r="C552" t="s">
        <v>43</v>
      </c>
      <c r="D552" t="s">
        <v>67</v>
      </c>
      <c r="E552" t="s">
        <v>61</v>
      </c>
      <c r="F552" t="s">
        <v>36</v>
      </c>
      <c r="G552" s="3">
        <v>0</v>
      </c>
      <c r="I552" t="str">
        <f t="shared" si="24"/>
        <v>45-54</v>
      </c>
      <c r="J552" t="str">
        <f t="shared" si="25"/>
        <v>Recently promoted</v>
      </c>
      <c r="K552">
        <f t="shared" si="26"/>
        <v>0</v>
      </c>
    </row>
    <row r="553" spans="1:11" x14ac:dyDescent="0.25">
      <c r="A553" s="5">
        <v>534</v>
      </c>
      <c r="B553" s="3">
        <v>41</v>
      </c>
      <c r="C553" t="s">
        <v>43</v>
      </c>
      <c r="D553" t="s">
        <v>49</v>
      </c>
      <c r="E553" t="s">
        <v>61</v>
      </c>
      <c r="F553" t="s">
        <v>36</v>
      </c>
      <c r="G553" s="3">
        <v>0</v>
      </c>
      <c r="I553" t="str">
        <f t="shared" si="24"/>
        <v>35-44</v>
      </c>
      <c r="J553" t="str">
        <f t="shared" si="25"/>
        <v>Recently promoted</v>
      </c>
      <c r="K553">
        <f t="shared" si="26"/>
        <v>0</v>
      </c>
    </row>
    <row r="554" spans="1:11" x14ac:dyDescent="0.25">
      <c r="A554" s="5">
        <v>722</v>
      </c>
      <c r="B554" s="3">
        <v>32</v>
      </c>
      <c r="C554" t="s">
        <v>43</v>
      </c>
      <c r="D554" t="s">
        <v>49</v>
      </c>
      <c r="E554" t="s">
        <v>41</v>
      </c>
      <c r="F554" t="s">
        <v>42</v>
      </c>
      <c r="G554" s="3">
        <v>0</v>
      </c>
      <c r="I554" t="str">
        <f t="shared" si="24"/>
        <v>25-34</v>
      </c>
      <c r="J554" t="str">
        <f t="shared" si="25"/>
        <v>Recently promoted</v>
      </c>
      <c r="K554">
        <f t="shared" si="26"/>
        <v>0</v>
      </c>
    </row>
    <row r="555" spans="1:11" x14ac:dyDescent="0.25">
      <c r="A555" s="5">
        <v>1363</v>
      </c>
      <c r="B555" s="3">
        <v>48</v>
      </c>
      <c r="C555" t="s">
        <v>43</v>
      </c>
      <c r="D555" t="s">
        <v>49</v>
      </c>
      <c r="E555" t="s">
        <v>41</v>
      </c>
      <c r="F555" t="s">
        <v>42</v>
      </c>
      <c r="G555" s="3">
        <v>0</v>
      </c>
      <c r="I555" t="str">
        <f t="shared" si="24"/>
        <v>45-54</v>
      </c>
      <c r="J555" t="str">
        <f t="shared" si="25"/>
        <v>Recently promoted</v>
      </c>
      <c r="K555">
        <f t="shared" si="26"/>
        <v>0</v>
      </c>
    </row>
    <row r="556" spans="1:11" x14ac:dyDescent="0.25">
      <c r="A556" s="5">
        <v>1971</v>
      </c>
      <c r="B556" s="3">
        <v>43</v>
      </c>
      <c r="C556" t="s">
        <v>43</v>
      </c>
      <c r="D556" t="s">
        <v>49</v>
      </c>
      <c r="E556" t="s">
        <v>61</v>
      </c>
      <c r="F556" t="s">
        <v>36</v>
      </c>
      <c r="G556" s="3">
        <v>0</v>
      </c>
      <c r="I556" t="str">
        <f t="shared" si="24"/>
        <v>35-44</v>
      </c>
      <c r="J556" t="str">
        <f t="shared" si="25"/>
        <v>Recently promoted</v>
      </c>
      <c r="K556">
        <f t="shared" si="26"/>
        <v>0</v>
      </c>
    </row>
    <row r="557" spans="1:11" x14ac:dyDescent="0.25">
      <c r="A557" s="5">
        <v>564</v>
      </c>
      <c r="B557" s="3">
        <v>29</v>
      </c>
      <c r="C557" t="s">
        <v>43</v>
      </c>
      <c r="D557" t="s">
        <v>35</v>
      </c>
      <c r="E557" t="s">
        <v>61</v>
      </c>
      <c r="F557" t="s">
        <v>42</v>
      </c>
      <c r="G557" s="3">
        <v>0</v>
      </c>
      <c r="I557" t="str">
        <f t="shared" si="24"/>
        <v>25-34</v>
      </c>
      <c r="J557" t="str">
        <f t="shared" si="25"/>
        <v>Recently promoted</v>
      </c>
      <c r="K557">
        <f t="shared" si="26"/>
        <v>0</v>
      </c>
    </row>
    <row r="558" spans="1:11" x14ac:dyDescent="0.25">
      <c r="A558" s="5">
        <v>1732</v>
      </c>
      <c r="B558" s="3">
        <v>46</v>
      </c>
      <c r="C558" t="s">
        <v>43</v>
      </c>
      <c r="D558" t="s">
        <v>49</v>
      </c>
      <c r="E558" t="s">
        <v>52</v>
      </c>
      <c r="F558" t="s">
        <v>36</v>
      </c>
      <c r="G558" s="3">
        <v>0</v>
      </c>
      <c r="I558" t="str">
        <f t="shared" si="24"/>
        <v>45-54</v>
      </c>
      <c r="J558" t="str">
        <f t="shared" si="25"/>
        <v>Recently promoted</v>
      </c>
      <c r="K558">
        <f t="shared" si="26"/>
        <v>0</v>
      </c>
    </row>
    <row r="559" spans="1:11" x14ac:dyDescent="0.25">
      <c r="A559" s="5">
        <v>1304</v>
      </c>
      <c r="B559" s="3">
        <v>32</v>
      </c>
      <c r="C559" t="s">
        <v>43</v>
      </c>
      <c r="D559" t="s">
        <v>49</v>
      </c>
      <c r="E559" t="s">
        <v>61</v>
      </c>
      <c r="F559" t="s">
        <v>53</v>
      </c>
      <c r="G559" s="3">
        <v>0</v>
      </c>
      <c r="I559" t="str">
        <f t="shared" si="24"/>
        <v>25-34</v>
      </c>
      <c r="J559" t="str">
        <f t="shared" si="25"/>
        <v>Recently promoted</v>
      </c>
      <c r="K559">
        <f t="shared" si="26"/>
        <v>0</v>
      </c>
    </row>
    <row r="560" spans="1:11" x14ac:dyDescent="0.25">
      <c r="A560" s="5">
        <v>1497</v>
      </c>
      <c r="B560" s="3">
        <v>29</v>
      </c>
      <c r="C560" t="s">
        <v>43</v>
      </c>
      <c r="D560" t="s">
        <v>49</v>
      </c>
      <c r="E560" t="s">
        <v>52</v>
      </c>
      <c r="F560" t="s">
        <v>53</v>
      </c>
      <c r="G560" s="3">
        <v>0</v>
      </c>
      <c r="I560" t="str">
        <f t="shared" si="24"/>
        <v>25-34</v>
      </c>
      <c r="J560" t="str">
        <f t="shared" si="25"/>
        <v>Recently promoted</v>
      </c>
      <c r="K560">
        <f t="shared" si="26"/>
        <v>0</v>
      </c>
    </row>
    <row r="561" spans="1:11" x14ac:dyDescent="0.25">
      <c r="A561" s="5">
        <v>421</v>
      </c>
      <c r="B561" s="3">
        <v>38</v>
      </c>
      <c r="C561" t="s">
        <v>43</v>
      </c>
      <c r="D561" t="s">
        <v>67</v>
      </c>
      <c r="E561" t="s">
        <v>61</v>
      </c>
      <c r="F561" t="s">
        <v>36</v>
      </c>
      <c r="G561" s="3">
        <v>0</v>
      </c>
      <c r="I561" t="str">
        <f t="shared" si="24"/>
        <v>35-44</v>
      </c>
      <c r="J561" t="str">
        <f t="shared" si="25"/>
        <v>Recently promoted</v>
      </c>
      <c r="K561">
        <f t="shared" si="26"/>
        <v>0</v>
      </c>
    </row>
    <row r="562" spans="1:11" x14ac:dyDescent="0.25">
      <c r="A562" s="5">
        <v>96</v>
      </c>
      <c r="B562" s="3">
        <v>32</v>
      </c>
      <c r="C562" t="s">
        <v>43</v>
      </c>
      <c r="D562" t="s">
        <v>49</v>
      </c>
      <c r="E562" t="s">
        <v>61</v>
      </c>
      <c r="F562" t="s">
        <v>53</v>
      </c>
      <c r="G562" s="3">
        <v>0</v>
      </c>
      <c r="I562" t="str">
        <f t="shared" si="24"/>
        <v>25-34</v>
      </c>
      <c r="J562" t="str">
        <f t="shared" si="25"/>
        <v>Recently promoted</v>
      </c>
      <c r="K562">
        <f t="shared" si="26"/>
        <v>0</v>
      </c>
    </row>
    <row r="563" spans="1:11" x14ac:dyDescent="0.25">
      <c r="A563" s="5">
        <v>1729</v>
      </c>
      <c r="B563" s="3">
        <v>30</v>
      </c>
      <c r="C563" t="s">
        <v>43</v>
      </c>
      <c r="D563" t="s">
        <v>64</v>
      </c>
      <c r="E563" t="s">
        <v>61</v>
      </c>
      <c r="F563" t="s">
        <v>36</v>
      </c>
      <c r="G563" s="3">
        <v>0</v>
      </c>
      <c r="I563" t="str">
        <f t="shared" si="24"/>
        <v>25-34</v>
      </c>
      <c r="J563" t="str">
        <f t="shared" si="25"/>
        <v>Recently promoted</v>
      </c>
      <c r="K563">
        <f t="shared" si="26"/>
        <v>0</v>
      </c>
    </row>
    <row r="564" spans="1:11" x14ac:dyDescent="0.25">
      <c r="A564" s="5">
        <v>1013</v>
      </c>
      <c r="B564" s="3">
        <v>54</v>
      </c>
      <c r="C564" t="s">
        <v>43</v>
      </c>
      <c r="D564" t="s">
        <v>49</v>
      </c>
      <c r="E564" t="s">
        <v>61</v>
      </c>
      <c r="F564" t="s">
        <v>36</v>
      </c>
      <c r="G564" s="3">
        <v>0</v>
      </c>
      <c r="I564" t="str">
        <f t="shared" si="24"/>
        <v>45-54</v>
      </c>
      <c r="J564" t="str">
        <f t="shared" si="25"/>
        <v>Recently promoted</v>
      </c>
      <c r="K564">
        <f t="shared" si="26"/>
        <v>0</v>
      </c>
    </row>
    <row r="565" spans="1:11" x14ac:dyDescent="0.25">
      <c r="A565" s="5">
        <v>1419</v>
      </c>
      <c r="B565" s="3">
        <v>29</v>
      </c>
      <c r="C565" t="s">
        <v>43</v>
      </c>
      <c r="D565" t="s">
        <v>49</v>
      </c>
      <c r="E565" t="s">
        <v>41</v>
      </c>
      <c r="F565" t="s">
        <v>42</v>
      </c>
      <c r="G565" s="3">
        <v>0</v>
      </c>
      <c r="I565" t="str">
        <f t="shared" si="24"/>
        <v>25-34</v>
      </c>
      <c r="J565" t="str">
        <f t="shared" si="25"/>
        <v>Recently promoted</v>
      </c>
      <c r="K565">
        <f t="shared" si="26"/>
        <v>0</v>
      </c>
    </row>
    <row r="566" spans="1:11" x14ac:dyDescent="0.25">
      <c r="A566" s="5">
        <v>2008</v>
      </c>
      <c r="B566" s="3">
        <v>35</v>
      </c>
      <c r="C566" t="s">
        <v>43</v>
      </c>
      <c r="D566" t="s">
        <v>35</v>
      </c>
      <c r="E566" t="s">
        <v>41</v>
      </c>
      <c r="F566" t="s">
        <v>42</v>
      </c>
      <c r="G566" s="3">
        <v>0</v>
      </c>
      <c r="I566" t="str">
        <f t="shared" si="24"/>
        <v>35-44</v>
      </c>
      <c r="J566" t="str">
        <f t="shared" si="25"/>
        <v>Recently promoted</v>
      </c>
      <c r="K566">
        <f t="shared" si="26"/>
        <v>0</v>
      </c>
    </row>
    <row r="567" spans="1:11" x14ac:dyDescent="0.25">
      <c r="A567" s="5">
        <v>1727</v>
      </c>
      <c r="B567" s="3">
        <v>46</v>
      </c>
      <c r="C567" t="s">
        <v>43</v>
      </c>
      <c r="D567" t="s">
        <v>35</v>
      </c>
      <c r="E567" t="s">
        <v>41</v>
      </c>
      <c r="F567" t="s">
        <v>42</v>
      </c>
      <c r="G567" s="3">
        <v>0</v>
      </c>
      <c r="I567" t="str">
        <f t="shared" si="24"/>
        <v>45-54</v>
      </c>
      <c r="J567" t="str">
        <f t="shared" si="25"/>
        <v>Recently promoted</v>
      </c>
      <c r="K567">
        <f t="shared" si="26"/>
        <v>0</v>
      </c>
    </row>
    <row r="568" spans="1:11" x14ac:dyDescent="0.25">
      <c r="A568" s="5">
        <v>1673</v>
      </c>
      <c r="B568" s="3">
        <v>31</v>
      </c>
      <c r="C568" t="s">
        <v>43</v>
      </c>
      <c r="D568" t="s">
        <v>35</v>
      </c>
      <c r="E568" t="s">
        <v>61</v>
      </c>
      <c r="F568" t="s">
        <v>53</v>
      </c>
      <c r="G568" s="3">
        <v>0</v>
      </c>
      <c r="I568" t="str">
        <f t="shared" si="24"/>
        <v>25-34</v>
      </c>
      <c r="J568" t="str">
        <f t="shared" si="25"/>
        <v>Recently promoted</v>
      </c>
      <c r="K568">
        <f t="shared" si="26"/>
        <v>0</v>
      </c>
    </row>
    <row r="569" spans="1:11" x14ac:dyDescent="0.25">
      <c r="A569" s="5">
        <v>1627</v>
      </c>
      <c r="B569" s="3">
        <v>39</v>
      </c>
      <c r="C569" t="s">
        <v>43</v>
      </c>
      <c r="D569" t="s">
        <v>67</v>
      </c>
      <c r="E569" t="s">
        <v>52</v>
      </c>
      <c r="F569" t="s">
        <v>36</v>
      </c>
      <c r="G569" s="3">
        <v>0</v>
      </c>
      <c r="I569" t="str">
        <f t="shared" si="24"/>
        <v>35-44</v>
      </c>
      <c r="J569" t="str">
        <f t="shared" si="25"/>
        <v>Recently promoted</v>
      </c>
      <c r="K569">
        <f t="shared" si="26"/>
        <v>0</v>
      </c>
    </row>
    <row r="570" spans="1:11" x14ac:dyDescent="0.25">
      <c r="A570" s="5">
        <v>550</v>
      </c>
      <c r="B570" s="3">
        <v>46</v>
      </c>
      <c r="C570" t="s">
        <v>43</v>
      </c>
      <c r="D570" t="s">
        <v>49</v>
      </c>
      <c r="E570" t="s">
        <v>52</v>
      </c>
      <c r="F570" t="s">
        <v>36</v>
      </c>
      <c r="G570" s="3">
        <v>0</v>
      </c>
      <c r="I570" t="str">
        <f t="shared" si="24"/>
        <v>45-54</v>
      </c>
      <c r="J570" t="str">
        <f t="shared" si="25"/>
        <v>Recently promoted</v>
      </c>
      <c r="K570">
        <f t="shared" si="26"/>
        <v>0</v>
      </c>
    </row>
    <row r="571" spans="1:11" x14ac:dyDescent="0.25">
      <c r="A571" s="5">
        <v>389</v>
      </c>
      <c r="B571" s="3">
        <v>55</v>
      </c>
      <c r="C571" t="s">
        <v>43</v>
      </c>
      <c r="D571" t="s">
        <v>67</v>
      </c>
      <c r="E571" t="s">
        <v>61</v>
      </c>
      <c r="F571" t="s">
        <v>36</v>
      </c>
      <c r="G571" s="3">
        <v>0</v>
      </c>
      <c r="I571" t="str">
        <f t="shared" si="24"/>
        <v>55-60</v>
      </c>
      <c r="J571" t="str">
        <f t="shared" si="25"/>
        <v>Recently promoted</v>
      </c>
      <c r="K571">
        <f t="shared" si="26"/>
        <v>0</v>
      </c>
    </row>
    <row r="572" spans="1:11" x14ac:dyDescent="0.25">
      <c r="A572" s="5">
        <v>1250</v>
      </c>
      <c r="B572" s="3">
        <v>54</v>
      </c>
      <c r="C572" t="s">
        <v>43</v>
      </c>
      <c r="D572" t="s">
        <v>49</v>
      </c>
      <c r="E572" t="s">
        <v>61</v>
      </c>
      <c r="F572" t="s">
        <v>42</v>
      </c>
      <c r="G572" s="3">
        <v>0</v>
      </c>
      <c r="I572" t="str">
        <f t="shared" si="24"/>
        <v>45-54</v>
      </c>
      <c r="J572" t="str">
        <f t="shared" si="25"/>
        <v>Recently promoted</v>
      </c>
      <c r="K572">
        <f t="shared" si="26"/>
        <v>0</v>
      </c>
    </row>
    <row r="573" spans="1:11" x14ac:dyDescent="0.25">
      <c r="A573" s="5">
        <v>1962</v>
      </c>
      <c r="B573" s="3">
        <v>35</v>
      </c>
      <c r="C573" t="s">
        <v>43</v>
      </c>
      <c r="D573" t="s">
        <v>35</v>
      </c>
      <c r="E573" t="s">
        <v>61</v>
      </c>
      <c r="F573" t="s">
        <v>42</v>
      </c>
      <c r="G573" s="3">
        <v>0</v>
      </c>
      <c r="I573" t="str">
        <f t="shared" si="24"/>
        <v>35-44</v>
      </c>
      <c r="J573" t="str">
        <f t="shared" si="25"/>
        <v>Recently promoted</v>
      </c>
      <c r="K573">
        <f t="shared" si="26"/>
        <v>0</v>
      </c>
    </row>
    <row r="574" spans="1:11" x14ac:dyDescent="0.25">
      <c r="A574" s="5">
        <v>984</v>
      </c>
      <c r="B574" s="3">
        <v>35</v>
      </c>
      <c r="C574" t="s">
        <v>43</v>
      </c>
      <c r="D574" t="s">
        <v>35</v>
      </c>
      <c r="E574" t="s">
        <v>52</v>
      </c>
      <c r="F574" t="s">
        <v>36</v>
      </c>
      <c r="G574" s="3">
        <v>0</v>
      </c>
      <c r="I574" t="str">
        <f t="shared" si="24"/>
        <v>35-44</v>
      </c>
      <c r="J574" t="str">
        <f t="shared" si="25"/>
        <v>Recently promoted</v>
      </c>
      <c r="K574">
        <f t="shared" si="26"/>
        <v>0</v>
      </c>
    </row>
    <row r="575" spans="1:11" x14ac:dyDescent="0.25">
      <c r="A575" s="5">
        <v>204</v>
      </c>
      <c r="B575" s="3">
        <v>35</v>
      </c>
      <c r="C575" t="s">
        <v>43</v>
      </c>
      <c r="D575" t="s">
        <v>70</v>
      </c>
      <c r="E575" t="s">
        <v>61</v>
      </c>
      <c r="F575" t="s">
        <v>53</v>
      </c>
      <c r="G575" s="3">
        <v>0</v>
      </c>
      <c r="I575" t="str">
        <f t="shared" si="24"/>
        <v>35-44</v>
      </c>
      <c r="J575" t="str">
        <f t="shared" si="25"/>
        <v>Recently promoted</v>
      </c>
      <c r="K575">
        <f t="shared" si="26"/>
        <v>0</v>
      </c>
    </row>
    <row r="576" spans="1:11" x14ac:dyDescent="0.25">
      <c r="A576" s="5">
        <v>1924</v>
      </c>
      <c r="B576" s="3">
        <v>33</v>
      </c>
      <c r="C576" t="s">
        <v>43</v>
      </c>
      <c r="D576" t="s">
        <v>35</v>
      </c>
      <c r="E576" t="s">
        <v>41</v>
      </c>
      <c r="F576" t="s">
        <v>42</v>
      </c>
      <c r="G576" s="3">
        <v>0</v>
      </c>
      <c r="I576" t="str">
        <f t="shared" si="24"/>
        <v>25-34</v>
      </c>
      <c r="J576" t="str">
        <f t="shared" si="25"/>
        <v>Recently promoted</v>
      </c>
      <c r="K576">
        <f t="shared" si="26"/>
        <v>0</v>
      </c>
    </row>
    <row r="577" spans="1:11" x14ac:dyDescent="0.25">
      <c r="A577" s="5">
        <v>1192</v>
      </c>
      <c r="B577" s="3">
        <v>29</v>
      </c>
      <c r="C577" t="s">
        <v>43</v>
      </c>
      <c r="D577" t="s">
        <v>64</v>
      </c>
      <c r="E577" t="s">
        <v>61</v>
      </c>
      <c r="F577" t="s">
        <v>36</v>
      </c>
      <c r="G577" s="3">
        <v>0</v>
      </c>
      <c r="I577" t="str">
        <f t="shared" si="24"/>
        <v>25-34</v>
      </c>
      <c r="J577" t="str">
        <f t="shared" si="25"/>
        <v>Recently promoted</v>
      </c>
      <c r="K577">
        <f t="shared" si="26"/>
        <v>0</v>
      </c>
    </row>
    <row r="578" spans="1:11" x14ac:dyDescent="0.25">
      <c r="A578" s="5">
        <v>844</v>
      </c>
      <c r="B578" s="3">
        <v>27</v>
      </c>
      <c r="C578" t="s">
        <v>43</v>
      </c>
      <c r="D578" t="s">
        <v>64</v>
      </c>
      <c r="E578" t="s">
        <v>52</v>
      </c>
      <c r="F578" t="s">
        <v>36</v>
      </c>
      <c r="G578" s="3">
        <v>0</v>
      </c>
      <c r="I578" t="str">
        <f t="shared" si="24"/>
        <v>25-34</v>
      </c>
      <c r="J578" t="str">
        <f t="shared" si="25"/>
        <v>Recently promoted</v>
      </c>
      <c r="K578">
        <f t="shared" si="26"/>
        <v>0</v>
      </c>
    </row>
    <row r="579" spans="1:11" x14ac:dyDescent="0.25">
      <c r="A579" s="5">
        <v>1268</v>
      </c>
      <c r="B579" s="3">
        <v>33</v>
      </c>
      <c r="C579" t="s">
        <v>43</v>
      </c>
      <c r="D579" t="s">
        <v>70</v>
      </c>
      <c r="E579" t="s">
        <v>52</v>
      </c>
      <c r="F579" t="s">
        <v>53</v>
      </c>
      <c r="G579" s="3">
        <v>0</v>
      </c>
      <c r="I579" t="str">
        <f t="shared" ref="I579:I642" si="27">IF(B579&lt;=24, "18-24", IF(B579&lt;=34,"25-34", IF(B579&lt;=44,"35-44", IF(B579&lt;=54,"45-54", IF(B579&lt;=60, "55-60")))))</f>
        <v>25-34</v>
      </c>
      <c r="J579" t="str">
        <f t="shared" ref="J579:J642" si="28">IF(G579&lt;=0,"Recently promoted",IF(G579&lt;=3,"Promoted in 1-3 years","Long Promotion gap"))</f>
        <v>Recently promoted</v>
      </c>
      <c r="K579">
        <f t="shared" ref="K579:K642" si="29">IF(C579="Yes", 1, 0)</f>
        <v>0</v>
      </c>
    </row>
    <row r="580" spans="1:11" x14ac:dyDescent="0.25">
      <c r="A580" s="5">
        <v>823</v>
      </c>
      <c r="B580" s="3">
        <v>36</v>
      </c>
      <c r="C580" t="s">
        <v>43</v>
      </c>
      <c r="D580" t="s">
        <v>49</v>
      </c>
      <c r="E580" t="s">
        <v>61</v>
      </c>
      <c r="F580" t="s">
        <v>36</v>
      </c>
      <c r="G580" s="3">
        <v>0</v>
      </c>
      <c r="I580" t="str">
        <f t="shared" si="27"/>
        <v>35-44</v>
      </c>
      <c r="J580" t="str">
        <f t="shared" si="28"/>
        <v>Recently promoted</v>
      </c>
      <c r="K580">
        <f t="shared" si="29"/>
        <v>0</v>
      </c>
    </row>
    <row r="581" spans="1:11" x14ac:dyDescent="0.25">
      <c r="A581" s="5">
        <v>1003</v>
      </c>
      <c r="B581" s="3">
        <v>47</v>
      </c>
      <c r="C581" t="s">
        <v>43</v>
      </c>
      <c r="D581" t="s">
        <v>67</v>
      </c>
      <c r="E581" t="s">
        <v>41</v>
      </c>
      <c r="F581" t="s">
        <v>42</v>
      </c>
      <c r="G581" s="3">
        <v>0</v>
      </c>
      <c r="I581" t="str">
        <f t="shared" si="27"/>
        <v>45-54</v>
      </c>
      <c r="J581" t="str">
        <f t="shared" si="28"/>
        <v>Recently promoted</v>
      </c>
      <c r="K581">
        <f t="shared" si="29"/>
        <v>0</v>
      </c>
    </row>
    <row r="582" spans="1:11" x14ac:dyDescent="0.25">
      <c r="A582" s="5">
        <v>176</v>
      </c>
      <c r="B582" s="3">
        <v>41</v>
      </c>
      <c r="C582" t="s">
        <v>43</v>
      </c>
      <c r="D582" t="s">
        <v>64</v>
      </c>
      <c r="E582" t="s">
        <v>52</v>
      </c>
      <c r="F582" t="s">
        <v>36</v>
      </c>
      <c r="G582" s="3">
        <v>0</v>
      </c>
      <c r="I582" t="str">
        <f t="shared" si="27"/>
        <v>35-44</v>
      </c>
      <c r="J582" t="str">
        <f t="shared" si="28"/>
        <v>Recently promoted</v>
      </c>
      <c r="K582">
        <f t="shared" si="29"/>
        <v>0</v>
      </c>
    </row>
    <row r="583" spans="1:11" x14ac:dyDescent="0.25">
      <c r="A583" s="5">
        <v>412</v>
      </c>
      <c r="B583" s="3">
        <v>28</v>
      </c>
      <c r="C583" t="s">
        <v>43</v>
      </c>
      <c r="D583" t="s">
        <v>67</v>
      </c>
      <c r="E583" t="s">
        <v>41</v>
      </c>
      <c r="F583" t="s">
        <v>42</v>
      </c>
      <c r="G583" s="3">
        <v>0</v>
      </c>
      <c r="I583" t="str">
        <f t="shared" si="27"/>
        <v>25-34</v>
      </c>
      <c r="J583" t="str">
        <f t="shared" si="28"/>
        <v>Recently promoted</v>
      </c>
      <c r="K583">
        <f t="shared" si="29"/>
        <v>0</v>
      </c>
    </row>
    <row r="584" spans="1:11" x14ac:dyDescent="0.25">
      <c r="A584" s="5">
        <v>1255</v>
      </c>
      <c r="B584" s="3">
        <v>43</v>
      </c>
      <c r="C584" t="s">
        <v>43</v>
      </c>
      <c r="D584" t="s">
        <v>49</v>
      </c>
      <c r="E584" t="s">
        <v>61</v>
      </c>
      <c r="F584" t="s">
        <v>36</v>
      </c>
      <c r="G584" s="3">
        <v>0</v>
      </c>
      <c r="I584" t="str">
        <f t="shared" si="27"/>
        <v>35-44</v>
      </c>
      <c r="J584" t="str">
        <f t="shared" si="28"/>
        <v>Recently promoted</v>
      </c>
      <c r="K584">
        <f t="shared" si="29"/>
        <v>0</v>
      </c>
    </row>
    <row r="585" spans="1:11" x14ac:dyDescent="0.25">
      <c r="A585" s="5">
        <v>1007</v>
      </c>
      <c r="B585" s="3">
        <v>46</v>
      </c>
      <c r="C585" t="s">
        <v>43</v>
      </c>
      <c r="D585" t="s">
        <v>67</v>
      </c>
      <c r="E585" t="s">
        <v>52</v>
      </c>
      <c r="F585" t="s">
        <v>36</v>
      </c>
      <c r="G585" s="3">
        <v>0</v>
      </c>
      <c r="I585" t="str">
        <f t="shared" si="27"/>
        <v>45-54</v>
      </c>
      <c r="J585" t="str">
        <f t="shared" si="28"/>
        <v>Recently promoted</v>
      </c>
      <c r="K585">
        <f t="shared" si="29"/>
        <v>0</v>
      </c>
    </row>
    <row r="586" spans="1:11" x14ac:dyDescent="0.25">
      <c r="A586" s="5">
        <v>458</v>
      </c>
      <c r="B586" s="3">
        <v>27</v>
      </c>
      <c r="C586" t="s">
        <v>43</v>
      </c>
      <c r="D586" t="s">
        <v>35</v>
      </c>
      <c r="E586" t="s">
        <v>61</v>
      </c>
      <c r="F586" t="s">
        <v>36</v>
      </c>
      <c r="G586" s="3">
        <v>0</v>
      </c>
      <c r="I586" t="str">
        <f t="shared" si="27"/>
        <v>25-34</v>
      </c>
      <c r="J586" t="str">
        <f t="shared" si="28"/>
        <v>Recently promoted</v>
      </c>
      <c r="K586">
        <f t="shared" si="29"/>
        <v>0</v>
      </c>
    </row>
    <row r="587" spans="1:11" x14ac:dyDescent="0.25">
      <c r="A587" s="5">
        <v>1484</v>
      </c>
      <c r="B587" s="3">
        <v>49</v>
      </c>
      <c r="C587" t="s">
        <v>43</v>
      </c>
      <c r="D587" t="s">
        <v>35</v>
      </c>
      <c r="E587" t="s">
        <v>52</v>
      </c>
      <c r="F587" t="s">
        <v>53</v>
      </c>
      <c r="G587" s="3">
        <v>0</v>
      </c>
      <c r="I587" t="str">
        <f t="shared" si="27"/>
        <v>45-54</v>
      </c>
      <c r="J587" t="str">
        <f t="shared" si="28"/>
        <v>Recently promoted</v>
      </c>
      <c r="K587">
        <f t="shared" si="29"/>
        <v>0</v>
      </c>
    </row>
    <row r="588" spans="1:11" x14ac:dyDescent="0.25">
      <c r="A588" s="5">
        <v>471</v>
      </c>
      <c r="B588" s="3">
        <v>32</v>
      </c>
      <c r="C588" t="s">
        <v>43</v>
      </c>
      <c r="D588" t="s">
        <v>49</v>
      </c>
      <c r="E588" t="s">
        <v>61</v>
      </c>
      <c r="F588" t="s">
        <v>36</v>
      </c>
      <c r="G588" s="3">
        <v>0</v>
      </c>
      <c r="I588" t="str">
        <f t="shared" si="27"/>
        <v>25-34</v>
      </c>
      <c r="J588" t="str">
        <f t="shared" si="28"/>
        <v>Recently promoted</v>
      </c>
      <c r="K588">
        <f t="shared" si="29"/>
        <v>0</v>
      </c>
    </row>
    <row r="589" spans="1:11" x14ac:dyDescent="0.25">
      <c r="A589" s="5">
        <v>666</v>
      </c>
      <c r="B589" s="3">
        <v>34</v>
      </c>
      <c r="C589" t="s">
        <v>43</v>
      </c>
      <c r="D589" t="s">
        <v>49</v>
      </c>
      <c r="E589" t="s">
        <v>52</v>
      </c>
      <c r="F589" t="s">
        <v>53</v>
      </c>
      <c r="G589" s="3">
        <v>0</v>
      </c>
      <c r="I589" t="str">
        <f t="shared" si="27"/>
        <v>25-34</v>
      </c>
      <c r="J589" t="str">
        <f t="shared" si="28"/>
        <v>Recently promoted</v>
      </c>
      <c r="K589">
        <f t="shared" si="29"/>
        <v>0</v>
      </c>
    </row>
    <row r="590" spans="1:11" x14ac:dyDescent="0.25">
      <c r="A590" s="5">
        <v>1898</v>
      </c>
      <c r="B590" s="3">
        <v>27</v>
      </c>
      <c r="C590" t="s">
        <v>43</v>
      </c>
      <c r="D590" t="s">
        <v>67</v>
      </c>
      <c r="E590" t="s">
        <v>41</v>
      </c>
      <c r="F590" t="s">
        <v>42</v>
      </c>
      <c r="G590" s="3">
        <v>0</v>
      </c>
      <c r="I590" t="str">
        <f t="shared" si="27"/>
        <v>25-34</v>
      </c>
      <c r="J590" t="str">
        <f t="shared" si="28"/>
        <v>Recently promoted</v>
      </c>
      <c r="K590">
        <f t="shared" si="29"/>
        <v>0</v>
      </c>
    </row>
    <row r="591" spans="1:11" x14ac:dyDescent="0.25">
      <c r="A591" s="5">
        <v>1417</v>
      </c>
      <c r="B591" s="3">
        <v>26</v>
      </c>
      <c r="C591" t="s">
        <v>43</v>
      </c>
      <c r="D591" t="s">
        <v>49</v>
      </c>
      <c r="E591" t="s">
        <v>41</v>
      </c>
      <c r="F591" t="s">
        <v>42</v>
      </c>
      <c r="G591" s="3">
        <v>0</v>
      </c>
      <c r="I591" t="str">
        <f t="shared" si="27"/>
        <v>25-34</v>
      </c>
      <c r="J591" t="str">
        <f t="shared" si="28"/>
        <v>Recently promoted</v>
      </c>
      <c r="K591">
        <f t="shared" si="29"/>
        <v>0</v>
      </c>
    </row>
    <row r="592" spans="1:11" x14ac:dyDescent="0.25">
      <c r="A592" s="5">
        <v>431</v>
      </c>
      <c r="B592" s="3">
        <v>49</v>
      </c>
      <c r="C592" t="s">
        <v>43</v>
      </c>
      <c r="D592" t="s">
        <v>67</v>
      </c>
      <c r="E592" t="s">
        <v>41</v>
      </c>
      <c r="F592" t="s">
        <v>42</v>
      </c>
      <c r="G592" s="3">
        <v>0</v>
      </c>
      <c r="I592" t="str">
        <f t="shared" si="27"/>
        <v>45-54</v>
      </c>
      <c r="J592" t="str">
        <f t="shared" si="28"/>
        <v>Recently promoted</v>
      </c>
      <c r="K592">
        <f t="shared" si="29"/>
        <v>0</v>
      </c>
    </row>
    <row r="593" spans="1:11" x14ac:dyDescent="0.25">
      <c r="A593" s="5">
        <v>323</v>
      </c>
      <c r="B593" s="3">
        <v>50</v>
      </c>
      <c r="C593" t="s">
        <v>43</v>
      </c>
      <c r="D593" t="s">
        <v>35</v>
      </c>
      <c r="E593" t="s">
        <v>52</v>
      </c>
      <c r="F593" t="s">
        <v>36</v>
      </c>
      <c r="G593" s="3">
        <v>0</v>
      </c>
      <c r="I593" t="str">
        <f t="shared" si="27"/>
        <v>45-54</v>
      </c>
      <c r="J593" t="str">
        <f t="shared" si="28"/>
        <v>Recently promoted</v>
      </c>
      <c r="K593">
        <f t="shared" si="29"/>
        <v>0</v>
      </c>
    </row>
    <row r="594" spans="1:11" x14ac:dyDescent="0.25">
      <c r="A594" s="5">
        <v>1965</v>
      </c>
      <c r="B594" s="3">
        <v>27</v>
      </c>
      <c r="C594" t="s">
        <v>43</v>
      </c>
      <c r="D594" t="s">
        <v>49</v>
      </c>
      <c r="E594" t="s">
        <v>41</v>
      </c>
      <c r="F594" t="s">
        <v>42</v>
      </c>
      <c r="G594" s="3">
        <v>0</v>
      </c>
      <c r="I594" t="str">
        <f t="shared" si="27"/>
        <v>25-34</v>
      </c>
      <c r="J594" t="str">
        <f t="shared" si="28"/>
        <v>Recently promoted</v>
      </c>
      <c r="K594">
        <f t="shared" si="29"/>
        <v>0</v>
      </c>
    </row>
    <row r="595" spans="1:11" x14ac:dyDescent="0.25">
      <c r="A595" s="5">
        <v>1816</v>
      </c>
      <c r="B595" s="3">
        <v>30</v>
      </c>
      <c r="C595" t="s">
        <v>43</v>
      </c>
      <c r="D595" t="s">
        <v>49</v>
      </c>
      <c r="E595" t="s">
        <v>41</v>
      </c>
      <c r="F595" t="s">
        <v>42</v>
      </c>
      <c r="G595" s="3">
        <v>0</v>
      </c>
      <c r="I595" t="str">
        <f t="shared" si="27"/>
        <v>25-34</v>
      </c>
      <c r="J595" t="str">
        <f t="shared" si="28"/>
        <v>Recently promoted</v>
      </c>
      <c r="K595">
        <f t="shared" si="29"/>
        <v>0</v>
      </c>
    </row>
    <row r="596" spans="1:11" x14ac:dyDescent="0.25">
      <c r="A596" s="5">
        <v>1544</v>
      </c>
      <c r="B596" s="3">
        <v>29</v>
      </c>
      <c r="C596" t="s">
        <v>43</v>
      </c>
      <c r="D596" t="s">
        <v>64</v>
      </c>
      <c r="E596" t="s">
        <v>61</v>
      </c>
      <c r="F596" t="s">
        <v>36</v>
      </c>
      <c r="G596" s="3">
        <v>0</v>
      </c>
      <c r="I596" t="str">
        <f t="shared" si="27"/>
        <v>25-34</v>
      </c>
      <c r="J596" t="str">
        <f t="shared" si="28"/>
        <v>Recently promoted</v>
      </c>
      <c r="K596">
        <f t="shared" si="29"/>
        <v>0</v>
      </c>
    </row>
    <row r="597" spans="1:11" x14ac:dyDescent="0.25">
      <c r="A597" s="5">
        <v>439</v>
      </c>
      <c r="B597" s="3">
        <v>32</v>
      </c>
      <c r="C597" t="s">
        <v>43</v>
      </c>
      <c r="D597" t="s">
        <v>35</v>
      </c>
      <c r="E597" t="s">
        <v>41</v>
      </c>
      <c r="F597" t="s">
        <v>42</v>
      </c>
      <c r="G597" s="3">
        <v>0</v>
      </c>
      <c r="I597" t="str">
        <f t="shared" si="27"/>
        <v>25-34</v>
      </c>
      <c r="J597" t="str">
        <f t="shared" si="28"/>
        <v>Recently promoted</v>
      </c>
      <c r="K597">
        <f t="shared" si="29"/>
        <v>0</v>
      </c>
    </row>
    <row r="598" spans="1:11" x14ac:dyDescent="0.25">
      <c r="A598" s="5">
        <v>500</v>
      </c>
      <c r="B598" s="3">
        <v>51</v>
      </c>
      <c r="C598" t="s">
        <v>43</v>
      </c>
      <c r="D598" t="s">
        <v>67</v>
      </c>
      <c r="E598" t="s">
        <v>61</v>
      </c>
      <c r="F598" t="s">
        <v>36</v>
      </c>
      <c r="G598" s="3">
        <v>0</v>
      </c>
      <c r="I598" t="str">
        <f t="shared" si="27"/>
        <v>45-54</v>
      </c>
      <c r="J598" t="str">
        <f t="shared" si="28"/>
        <v>Recently promoted</v>
      </c>
      <c r="K598">
        <f t="shared" si="29"/>
        <v>0</v>
      </c>
    </row>
    <row r="599" spans="1:11" x14ac:dyDescent="0.25">
      <c r="A599" s="5">
        <v>498</v>
      </c>
      <c r="B599" s="3">
        <v>28</v>
      </c>
      <c r="C599" t="s">
        <v>43</v>
      </c>
      <c r="D599" t="s">
        <v>35</v>
      </c>
      <c r="E599" t="s">
        <v>41</v>
      </c>
      <c r="F599" t="s">
        <v>42</v>
      </c>
      <c r="G599" s="3">
        <v>0</v>
      </c>
      <c r="I599" t="str">
        <f t="shared" si="27"/>
        <v>25-34</v>
      </c>
      <c r="J599" t="str">
        <f t="shared" si="28"/>
        <v>Recently promoted</v>
      </c>
      <c r="K599">
        <f t="shared" si="29"/>
        <v>0</v>
      </c>
    </row>
    <row r="600" spans="1:11" x14ac:dyDescent="0.25">
      <c r="A600" s="5">
        <v>645</v>
      </c>
      <c r="B600" s="3">
        <v>25</v>
      </c>
      <c r="C600" t="s">
        <v>43</v>
      </c>
      <c r="D600" t="s">
        <v>64</v>
      </c>
      <c r="E600" t="s">
        <v>61</v>
      </c>
      <c r="F600" t="s">
        <v>42</v>
      </c>
      <c r="G600" s="3">
        <v>0</v>
      </c>
      <c r="I600" t="str">
        <f t="shared" si="27"/>
        <v>25-34</v>
      </c>
      <c r="J600" t="str">
        <f t="shared" si="28"/>
        <v>Recently promoted</v>
      </c>
      <c r="K600">
        <f t="shared" si="29"/>
        <v>0</v>
      </c>
    </row>
    <row r="601" spans="1:11" x14ac:dyDescent="0.25">
      <c r="A601" s="5">
        <v>1460</v>
      </c>
      <c r="B601" s="3">
        <v>45</v>
      </c>
      <c r="C601" t="s">
        <v>43</v>
      </c>
      <c r="D601" t="s">
        <v>49</v>
      </c>
      <c r="E601" t="s">
        <v>52</v>
      </c>
      <c r="F601" t="s">
        <v>36</v>
      </c>
      <c r="G601" s="3">
        <v>0</v>
      </c>
      <c r="I601" t="str">
        <f t="shared" si="27"/>
        <v>45-54</v>
      </c>
      <c r="J601" t="str">
        <f t="shared" si="28"/>
        <v>Recently promoted</v>
      </c>
      <c r="K601">
        <f t="shared" si="29"/>
        <v>0</v>
      </c>
    </row>
    <row r="602" spans="1:11" x14ac:dyDescent="0.25">
      <c r="A602" s="5">
        <v>77</v>
      </c>
      <c r="B602" s="3">
        <v>37</v>
      </c>
      <c r="C602" t="s">
        <v>43</v>
      </c>
      <c r="D602" t="s">
        <v>35</v>
      </c>
      <c r="E602" t="s">
        <v>52</v>
      </c>
      <c r="F602" t="s">
        <v>36</v>
      </c>
      <c r="G602" s="3">
        <v>0</v>
      </c>
      <c r="I602" t="str">
        <f t="shared" si="27"/>
        <v>35-44</v>
      </c>
      <c r="J602" t="str">
        <f t="shared" si="28"/>
        <v>Recently promoted</v>
      </c>
      <c r="K602">
        <f t="shared" si="29"/>
        <v>0</v>
      </c>
    </row>
    <row r="603" spans="1:11" x14ac:dyDescent="0.25">
      <c r="A603" s="5">
        <v>260</v>
      </c>
      <c r="B603" s="3">
        <v>27</v>
      </c>
      <c r="C603" t="s">
        <v>43</v>
      </c>
      <c r="D603" t="s">
        <v>49</v>
      </c>
      <c r="E603" t="s">
        <v>41</v>
      </c>
      <c r="F603" t="s">
        <v>42</v>
      </c>
      <c r="G603" s="3">
        <v>0</v>
      </c>
      <c r="I603" t="str">
        <f t="shared" si="27"/>
        <v>25-34</v>
      </c>
      <c r="J603" t="str">
        <f t="shared" si="28"/>
        <v>Recently promoted</v>
      </c>
      <c r="K603">
        <f t="shared" si="29"/>
        <v>0</v>
      </c>
    </row>
    <row r="604" spans="1:11" x14ac:dyDescent="0.25">
      <c r="A604" s="5">
        <v>112</v>
      </c>
      <c r="B604" s="3">
        <v>56</v>
      </c>
      <c r="C604" t="s">
        <v>43</v>
      </c>
      <c r="D604" t="s">
        <v>49</v>
      </c>
      <c r="E604" t="s">
        <v>41</v>
      </c>
      <c r="F604" t="s">
        <v>42</v>
      </c>
      <c r="G604" s="3">
        <v>0</v>
      </c>
      <c r="I604" t="str">
        <f t="shared" si="27"/>
        <v>55-60</v>
      </c>
      <c r="J604" t="str">
        <f t="shared" si="28"/>
        <v>Recently promoted</v>
      </c>
      <c r="K604">
        <f t="shared" si="29"/>
        <v>0</v>
      </c>
    </row>
    <row r="605" spans="1:11" x14ac:dyDescent="0.25">
      <c r="A605" s="5">
        <v>1254</v>
      </c>
      <c r="B605" s="3">
        <v>59</v>
      </c>
      <c r="C605" t="s">
        <v>43</v>
      </c>
      <c r="D605" t="s">
        <v>49</v>
      </c>
      <c r="E605" t="s">
        <v>41</v>
      </c>
      <c r="F605" t="s">
        <v>42</v>
      </c>
      <c r="G605" s="3">
        <v>0</v>
      </c>
      <c r="I605" t="str">
        <f t="shared" si="27"/>
        <v>55-60</v>
      </c>
      <c r="J605" t="str">
        <f t="shared" si="28"/>
        <v>Recently promoted</v>
      </c>
      <c r="K605">
        <f t="shared" si="29"/>
        <v>0</v>
      </c>
    </row>
    <row r="606" spans="1:11" x14ac:dyDescent="0.25">
      <c r="A606" s="5">
        <v>303</v>
      </c>
      <c r="B606" s="3">
        <v>54</v>
      </c>
      <c r="C606" t="s">
        <v>43</v>
      </c>
      <c r="D606" t="s">
        <v>49</v>
      </c>
      <c r="E606" t="s">
        <v>61</v>
      </c>
      <c r="F606" t="s">
        <v>36</v>
      </c>
      <c r="G606" s="3">
        <v>0</v>
      </c>
      <c r="I606" t="str">
        <f t="shared" si="27"/>
        <v>45-54</v>
      </c>
      <c r="J606" t="str">
        <f t="shared" si="28"/>
        <v>Recently promoted</v>
      </c>
      <c r="K606">
        <f t="shared" si="29"/>
        <v>0</v>
      </c>
    </row>
    <row r="607" spans="1:11" x14ac:dyDescent="0.25">
      <c r="A607" s="5">
        <v>192</v>
      </c>
      <c r="B607" s="3">
        <v>45</v>
      </c>
      <c r="C607" t="s">
        <v>43</v>
      </c>
      <c r="D607" t="s">
        <v>49</v>
      </c>
      <c r="E607" t="s">
        <v>41</v>
      </c>
      <c r="F607" t="s">
        <v>42</v>
      </c>
      <c r="G607" s="3">
        <v>0</v>
      </c>
      <c r="I607" t="str">
        <f t="shared" si="27"/>
        <v>45-54</v>
      </c>
      <c r="J607" t="str">
        <f t="shared" si="28"/>
        <v>Recently promoted</v>
      </c>
      <c r="K607">
        <f t="shared" si="29"/>
        <v>0</v>
      </c>
    </row>
    <row r="608" spans="1:11" x14ac:dyDescent="0.25">
      <c r="A608" s="5">
        <v>362</v>
      </c>
      <c r="B608" s="3">
        <v>32</v>
      </c>
      <c r="C608" t="s">
        <v>43</v>
      </c>
      <c r="D608" t="s">
        <v>64</v>
      </c>
      <c r="E608" t="s">
        <v>41</v>
      </c>
      <c r="F608" t="s">
        <v>42</v>
      </c>
      <c r="G608" s="3">
        <v>0</v>
      </c>
      <c r="I608" t="str">
        <f t="shared" si="27"/>
        <v>25-34</v>
      </c>
      <c r="J608" t="str">
        <f t="shared" si="28"/>
        <v>Recently promoted</v>
      </c>
      <c r="K608">
        <f t="shared" si="29"/>
        <v>0</v>
      </c>
    </row>
    <row r="609" spans="1:11" x14ac:dyDescent="0.25">
      <c r="A609" s="5">
        <v>460</v>
      </c>
      <c r="B609" s="3">
        <v>37</v>
      </c>
      <c r="C609" t="s">
        <v>43</v>
      </c>
      <c r="D609" t="s">
        <v>67</v>
      </c>
      <c r="E609" t="s">
        <v>52</v>
      </c>
      <c r="F609" t="s">
        <v>53</v>
      </c>
      <c r="G609" s="3">
        <v>0</v>
      </c>
      <c r="I609" t="str">
        <f t="shared" si="27"/>
        <v>35-44</v>
      </c>
      <c r="J609" t="str">
        <f t="shared" si="28"/>
        <v>Recently promoted</v>
      </c>
      <c r="K609">
        <f t="shared" si="29"/>
        <v>0</v>
      </c>
    </row>
    <row r="610" spans="1:11" x14ac:dyDescent="0.25">
      <c r="A610" s="5">
        <v>679</v>
      </c>
      <c r="B610" s="3">
        <v>32</v>
      </c>
      <c r="C610" t="s">
        <v>43</v>
      </c>
      <c r="D610" t="s">
        <v>35</v>
      </c>
      <c r="E610" t="s">
        <v>61</v>
      </c>
      <c r="F610" t="s">
        <v>36</v>
      </c>
      <c r="G610" s="3">
        <v>0</v>
      </c>
      <c r="I610" t="str">
        <f t="shared" si="27"/>
        <v>25-34</v>
      </c>
      <c r="J610" t="str">
        <f t="shared" si="28"/>
        <v>Recently promoted</v>
      </c>
      <c r="K610">
        <f t="shared" si="29"/>
        <v>0</v>
      </c>
    </row>
    <row r="611" spans="1:11" x14ac:dyDescent="0.25">
      <c r="A611" s="5">
        <v>1048</v>
      </c>
      <c r="B611" s="3">
        <v>59</v>
      </c>
      <c r="C611" t="s">
        <v>43</v>
      </c>
      <c r="D611" t="s">
        <v>67</v>
      </c>
      <c r="E611" t="s">
        <v>61</v>
      </c>
      <c r="F611" t="s">
        <v>36</v>
      </c>
      <c r="G611" s="3">
        <v>0</v>
      </c>
      <c r="I611" t="str">
        <f t="shared" si="27"/>
        <v>55-60</v>
      </c>
      <c r="J611" t="str">
        <f t="shared" si="28"/>
        <v>Recently promoted</v>
      </c>
      <c r="K611">
        <f t="shared" si="29"/>
        <v>0</v>
      </c>
    </row>
    <row r="612" spans="1:11" x14ac:dyDescent="0.25">
      <c r="A612" s="5">
        <v>604</v>
      </c>
      <c r="B612" s="3">
        <v>31</v>
      </c>
      <c r="C612" t="s">
        <v>43</v>
      </c>
      <c r="D612" t="s">
        <v>64</v>
      </c>
      <c r="E612" t="s">
        <v>41</v>
      </c>
      <c r="F612" t="s">
        <v>42</v>
      </c>
      <c r="G612" s="3">
        <v>0</v>
      </c>
      <c r="I612" t="str">
        <f t="shared" si="27"/>
        <v>25-34</v>
      </c>
      <c r="J612" t="str">
        <f t="shared" si="28"/>
        <v>Recently promoted</v>
      </c>
      <c r="K612">
        <f t="shared" si="29"/>
        <v>0</v>
      </c>
    </row>
    <row r="613" spans="1:11" x14ac:dyDescent="0.25">
      <c r="A613" s="5">
        <v>612</v>
      </c>
      <c r="B613" s="3">
        <v>33</v>
      </c>
      <c r="C613" t="s">
        <v>43</v>
      </c>
      <c r="D613" t="s">
        <v>70</v>
      </c>
      <c r="E613" t="s">
        <v>52</v>
      </c>
      <c r="F613" t="s">
        <v>36</v>
      </c>
      <c r="G613" s="3">
        <v>0</v>
      </c>
      <c r="I613" t="str">
        <f t="shared" si="27"/>
        <v>25-34</v>
      </c>
      <c r="J613" t="str">
        <f t="shared" si="28"/>
        <v>Recently promoted</v>
      </c>
      <c r="K613">
        <f t="shared" si="29"/>
        <v>0</v>
      </c>
    </row>
    <row r="614" spans="1:11" x14ac:dyDescent="0.25">
      <c r="A614" s="5">
        <v>21</v>
      </c>
      <c r="B614" s="3">
        <v>32</v>
      </c>
      <c r="C614" t="s">
        <v>43</v>
      </c>
      <c r="D614" t="s">
        <v>67</v>
      </c>
      <c r="E614" t="s">
        <v>52</v>
      </c>
      <c r="F614" t="s">
        <v>53</v>
      </c>
      <c r="G614" s="3">
        <v>0</v>
      </c>
      <c r="I614" t="str">
        <f t="shared" si="27"/>
        <v>25-34</v>
      </c>
      <c r="J614" t="str">
        <f t="shared" si="28"/>
        <v>Recently promoted</v>
      </c>
      <c r="K614">
        <f t="shared" si="29"/>
        <v>0</v>
      </c>
    </row>
    <row r="615" spans="1:11" x14ac:dyDescent="0.25">
      <c r="A615" s="5">
        <v>1670</v>
      </c>
      <c r="B615" s="3">
        <v>33</v>
      </c>
      <c r="C615" t="s">
        <v>43</v>
      </c>
      <c r="D615" t="s">
        <v>35</v>
      </c>
      <c r="E615" t="s">
        <v>52</v>
      </c>
      <c r="F615" t="s">
        <v>53</v>
      </c>
      <c r="G615" s="3">
        <v>0</v>
      </c>
      <c r="I615" t="str">
        <f t="shared" si="27"/>
        <v>25-34</v>
      </c>
      <c r="J615" t="str">
        <f t="shared" si="28"/>
        <v>Recently promoted</v>
      </c>
      <c r="K615">
        <f t="shared" si="29"/>
        <v>0</v>
      </c>
    </row>
    <row r="616" spans="1:11" x14ac:dyDescent="0.25">
      <c r="A616" s="5">
        <v>105</v>
      </c>
      <c r="B616" s="3">
        <v>35</v>
      </c>
      <c r="C616" t="s">
        <v>43</v>
      </c>
      <c r="D616" t="s">
        <v>49</v>
      </c>
      <c r="E616" t="s">
        <v>41</v>
      </c>
      <c r="F616" t="s">
        <v>42</v>
      </c>
      <c r="G616" s="3">
        <v>0</v>
      </c>
      <c r="I616" t="str">
        <f t="shared" si="27"/>
        <v>35-44</v>
      </c>
      <c r="J616" t="str">
        <f t="shared" si="28"/>
        <v>Recently promoted</v>
      </c>
      <c r="K616">
        <f t="shared" si="29"/>
        <v>0</v>
      </c>
    </row>
    <row r="617" spans="1:11" x14ac:dyDescent="0.25">
      <c r="A617" s="5">
        <v>940</v>
      </c>
      <c r="B617" s="3">
        <v>58</v>
      </c>
      <c r="C617" t="s">
        <v>43</v>
      </c>
      <c r="D617" t="s">
        <v>49</v>
      </c>
      <c r="E617" t="s">
        <v>52</v>
      </c>
      <c r="F617" t="s">
        <v>36</v>
      </c>
      <c r="G617" s="3">
        <v>0</v>
      </c>
      <c r="I617" t="str">
        <f t="shared" si="27"/>
        <v>55-60</v>
      </c>
      <c r="J617" t="str">
        <f t="shared" si="28"/>
        <v>Recently promoted</v>
      </c>
      <c r="K617">
        <f t="shared" si="29"/>
        <v>0</v>
      </c>
    </row>
    <row r="618" spans="1:11" x14ac:dyDescent="0.25">
      <c r="A618" s="5">
        <v>936</v>
      </c>
      <c r="B618" s="3">
        <v>42</v>
      </c>
      <c r="C618" t="s">
        <v>43</v>
      </c>
      <c r="D618" t="s">
        <v>67</v>
      </c>
      <c r="E618" t="s">
        <v>41</v>
      </c>
      <c r="F618" t="s">
        <v>42</v>
      </c>
      <c r="G618" s="3">
        <v>0</v>
      </c>
      <c r="I618" t="str">
        <f t="shared" si="27"/>
        <v>35-44</v>
      </c>
      <c r="J618" t="str">
        <f t="shared" si="28"/>
        <v>Recently promoted</v>
      </c>
      <c r="K618">
        <f t="shared" si="29"/>
        <v>0</v>
      </c>
    </row>
    <row r="619" spans="1:11" x14ac:dyDescent="0.25">
      <c r="A619" s="5">
        <v>1545</v>
      </c>
      <c r="B619" s="3">
        <v>33</v>
      </c>
      <c r="C619" t="s">
        <v>43</v>
      </c>
      <c r="D619" t="s">
        <v>49</v>
      </c>
      <c r="E619" t="s">
        <v>41</v>
      </c>
      <c r="F619" t="s">
        <v>42</v>
      </c>
      <c r="G619" s="3">
        <v>0</v>
      </c>
      <c r="I619" t="str">
        <f t="shared" si="27"/>
        <v>25-34</v>
      </c>
      <c r="J619" t="str">
        <f t="shared" si="28"/>
        <v>Recently promoted</v>
      </c>
      <c r="K619">
        <f t="shared" si="29"/>
        <v>0</v>
      </c>
    </row>
    <row r="620" spans="1:11" x14ac:dyDescent="0.25">
      <c r="A620" s="5">
        <v>2051</v>
      </c>
      <c r="B620" s="3">
        <v>40</v>
      </c>
      <c r="C620" t="s">
        <v>43</v>
      </c>
      <c r="D620" t="s">
        <v>35</v>
      </c>
      <c r="E620" t="s">
        <v>61</v>
      </c>
      <c r="F620" t="s">
        <v>50</v>
      </c>
      <c r="G620" s="3">
        <v>0</v>
      </c>
      <c r="I620" t="str">
        <f t="shared" si="27"/>
        <v>35-44</v>
      </c>
      <c r="J620" t="str">
        <f t="shared" si="28"/>
        <v>Recently promoted</v>
      </c>
      <c r="K620">
        <f t="shared" si="29"/>
        <v>0</v>
      </c>
    </row>
    <row r="621" spans="1:11" x14ac:dyDescent="0.25">
      <c r="A621" s="5">
        <v>1587</v>
      </c>
      <c r="B621" s="3">
        <v>35</v>
      </c>
      <c r="C621" t="s">
        <v>43</v>
      </c>
      <c r="D621" t="s">
        <v>35</v>
      </c>
      <c r="E621" t="s">
        <v>41</v>
      </c>
      <c r="F621" t="s">
        <v>42</v>
      </c>
      <c r="G621" s="3">
        <v>0</v>
      </c>
      <c r="I621" t="str">
        <f t="shared" si="27"/>
        <v>35-44</v>
      </c>
      <c r="J621" t="str">
        <f t="shared" si="28"/>
        <v>Recently promoted</v>
      </c>
      <c r="K621">
        <f t="shared" si="29"/>
        <v>0</v>
      </c>
    </row>
    <row r="622" spans="1:11" x14ac:dyDescent="0.25">
      <c r="A622" s="5">
        <v>1638</v>
      </c>
      <c r="B622" s="3">
        <v>38</v>
      </c>
      <c r="C622" t="s">
        <v>43</v>
      </c>
      <c r="D622" t="s">
        <v>67</v>
      </c>
      <c r="E622" t="s">
        <v>61</v>
      </c>
      <c r="F622" t="s">
        <v>36</v>
      </c>
      <c r="G622" s="3">
        <v>0</v>
      </c>
      <c r="I622" t="str">
        <f t="shared" si="27"/>
        <v>35-44</v>
      </c>
      <c r="J622" t="str">
        <f t="shared" si="28"/>
        <v>Recently promoted</v>
      </c>
      <c r="K622">
        <f t="shared" si="29"/>
        <v>0</v>
      </c>
    </row>
    <row r="623" spans="1:11" x14ac:dyDescent="0.25">
      <c r="A623" s="5">
        <v>1799</v>
      </c>
      <c r="B623" s="3">
        <v>28</v>
      </c>
      <c r="C623" t="s">
        <v>43</v>
      </c>
      <c r="D623" t="s">
        <v>49</v>
      </c>
      <c r="E623" t="s">
        <v>61</v>
      </c>
      <c r="F623" t="s">
        <v>36</v>
      </c>
      <c r="G623" s="3">
        <v>0</v>
      </c>
      <c r="I623" t="str">
        <f t="shared" si="27"/>
        <v>25-34</v>
      </c>
      <c r="J623" t="str">
        <f t="shared" si="28"/>
        <v>Recently promoted</v>
      </c>
      <c r="K623">
        <f t="shared" si="29"/>
        <v>0</v>
      </c>
    </row>
    <row r="624" spans="1:11" x14ac:dyDescent="0.25">
      <c r="A624" s="5">
        <v>194</v>
      </c>
      <c r="B624" s="3">
        <v>30</v>
      </c>
      <c r="C624" t="s">
        <v>43</v>
      </c>
      <c r="D624" t="s">
        <v>49</v>
      </c>
      <c r="E624" t="s">
        <v>41</v>
      </c>
      <c r="F624" t="s">
        <v>42</v>
      </c>
      <c r="G624" s="3">
        <v>0</v>
      </c>
      <c r="I624" t="str">
        <f t="shared" si="27"/>
        <v>25-34</v>
      </c>
      <c r="J624" t="str">
        <f t="shared" si="28"/>
        <v>Recently promoted</v>
      </c>
      <c r="K624">
        <f t="shared" si="29"/>
        <v>0</v>
      </c>
    </row>
    <row r="625" spans="1:11" x14ac:dyDescent="0.25">
      <c r="A625" s="5">
        <v>378</v>
      </c>
      <c r="B625" s="3">
        <v>37</v>
      </c>
      <c r="C625" t="s">
        <v>43</v>
      </c>
      <c r="D625" t="s">
        <v>35</v>
      </c>
      <c r="E625" t="s">
        <v>61</v>
      </c>
      <c r="F625" t="s">
        <v>36</v>
      </c>
      <c r="G625" s="3">
        <v>0</v>
      </c>
      <c r="I625" t="str">
        <f t="shared" si="27"/>
        <v>35-44</v>
      </c>
      <c r="J625" t="str">
        <f t="shared" si="28"/>
        <v>Recently promoted</v>
      </c>
      <c r="K625">
        <f t="shared" si="29"/>
        <v>0</v>
      </c>
    </row>
    <row r="626" spans="1:11" x14ac:dyDescent="0.25">
      <c r="A626" s="5">
        <v>1259</v>
      </c>
      <c r="B626" s="3">
        <v>27</v>
      </c>
      <c r="C626" t="s">
        <v>43</v>
      </c>
      <c r="D626" t="s">
        <v>67</v>
      </c>
      <c r="E626" t="s">
        <v>52</v>
      </c>
      <c r="F626" t="s">
        <v>50</v>
      </c>
      <c r="G626" s="3">
        <v>0</v>
      </c>
      <c r="I626" t="str">
        <f t="shared" si="27"/>
        <v>25-34</v>
      </c>
      <c r="J626" t="str">
        <f t="shared" si="28"/>
        <v>Recently promoted</v>
      </c>
      <c r="K626">
        <f t="shared" si="29"/>
        <v>0</v>
      </c>
    </row>
    <row r="627" spans="1:11" x14ac:dyDescent="0.25">
      <c r="A627" s="5">
        <v>1502</v>
      </c>
      <c r="B627" s="3">
        <v>33</v>
      </c>
      <c r="C627" t="s">
        <v>43</v>
      </c>
      <c r="D627" t="s">
        <v>35</v>
      </c>
      <c r="E627" t="s">
        <v>61</v>
      </c>
      <c r="F627" t="s">
        <v>42</v>
      </c>
      <c r="G627" s="3">
        <v>0</v>
      </c>
      <c r="I627" t="str">
        <f t="shared" si="27"/>
        <v>25-34</v>
      </c>
      <c r="J627" t="str">
        <f t="shared" si="28"/>
        <v>Recently promoted</v>
      </c>
      <c r="K627">
        <f t="shared" si="29"/>
        <v>0</v>
      </c>
    </row>
    <row r="628" spans="1:11" x14ac:dyDescent="0.25">
      <c r="A628" s="5">
        <v>423</v>
      </c>
      <c r="B628" s="3">
        <v>31</v>
      </c>
      <c r="C628" t="s">
        <v>43</v>
      </c>
      <c r="D628" t="s">
        <v>35</v>
      </c>
      <c r="E628" t="s">
        <v>61</v>
      </c>
      <c r="F628" t="s">
        <v>36</v>
      </c>
      <c r="G628" s="3">
        <v>0</v>
      </c>
      <c r="I628" t="str">
        <f t="shared" si="27"/>
        <v>25-34</v>
      </c>
      <c r="J628" t="str">
        <f t="shared" si="28"/>
        <v>Recently promoted</v>
      </c>
      <c r="K628">
        <f t="shared" si="29"/>
        <v>0</v>
      </c>
    </row>
    <row r="629" spans="1:11" x14ac:dyDescent="0.25">
      <c r="A629" s="5">
        <v>909</v>
      </c>
      <c r="B629" s="3">
        <v>39</v>
      </c>
      <c r="C629" t="s">
        <v>43</v>
      </c>
      <c r="D629" t="s">
        <v>49</v>
      </c>
      <c r="E629" t="s">
        <v>61</v>
      </c>
      <c r="F629" t="s">
        <v>53</v>
      </c>
      <c r="G629" s="3">
        <v>0</v>
      </c>
      <c r="I629" t="str">
        <f t="shared" si="27"/>
        <v>35-44</v>
      </c>
      <c r="J629" t="str">
        <f t="shared" si="28"/>
        <v>Recently promoted</v>
      </c>
      <c r="K629">
        <f t="shared" si="29"/>
        <v>0</v>
      </c>
    </row>
    <row r="630" spans="1:11" x14ac:dyDescent="0.25">
      <c r="A630" s="5">
        <v>507</v>
      </c>
      <c r="B630" s="3">
        <v>24</v>
      </c>
      <c r="C630" t="s">
        <v>43</v>
      </c>
      <c r="D630" t="s">
        <v>35</v>
      </c>
      <c r="E630" t="s">
        <v>52</v>
      </c>
      <c r="F630" t="s">
        <v>36</v>
      </c>
      <c r="G630" s="3">
        <v>0</v>
      </c>
      <c r="I630" t="str">
        <f t="shared" si="27"/>
        <v>18-24</v>
      </c>
      <c r="J630" t="str">
        <f t="shared" si="28"/>
        <v>Recently promoted</v>
      </c>
      <c r="K630">
        <f t="shared" si="29"/>
        <v>0</v>
      </c>
    </row>
    <row r="631" spans="1:11" x14ac:dyDescent="0.25">
      <c r="A631" s="5">
        <v>102</v>
      </c>
      <c r="B631" s="3">
        <v>37</v>
      </c>
      <c r="C631" t="s">
        <v>43</v>
      </c>
      <c r="D631" t="s">
        <v>35</v>
      </c>
      <c r="E631" t="s">
        <v>41</v>
      </c>
      <c r="F631" t="s">
        <v>42</v>
      </c>
      <c r="G631" s="3">
        <v>0</v>
      </c>
      <c r="I631" t="str">
        <f t="shared" si="27"/>
        <v>35-44</v>
      </c>
      <c r="J631" t="str">
        <f t="shared" si="28"/>
        <v>Recently promoted</v>
      </c>
      <c r="K631">
        <f t="shared" si="29"/>
        <v>0</v>
      </c>
    </row>
    <row r="632" spans="1:11" x14ac:dyDescent="0.25">
      <c r="A632" s="5">
        <v>497</v>
      </c>
      <c r="B632" s="3">
        <v>27</v>
      </c>
      <c r="C632" t="s">
        <v>43</v>
      </c>
      <c r="D632" t="s">
        <v>67</v>
      </c>
      <c r="E632" t="s">
        <v>52</v>
      </c>
      <c r="F632" t="s">
        <v>36</v>
      </c>
      <c r="G632" s="3">
        <v>0</v>
      </c>
      <c r="I632" t="str">
        <f t="shared" si="27"/>
        <v>25-34</v>
      </c>
      <c r="J632" t="str">
        <f t="shared" si="28"/>
        <v>Recently promoted</v>
      </c>
      <c r="K632">
        <f t="shared" si="29"/>
        <v>0</v>
      </c>
    </row>
    <row r="633" spans="1:11" x14ac:dyDescent="0.25">
      <c r="A633" s="5">
        <v>1782</v>
      </c>
      <c r="B633" s="3">
        <v>38</v>
      </c>
      <c r="C633" t="s">
        <v>43</v>
      </c>
      <c r="D633" t="s">
        <v>67</v>
      </c>
      <c r="E633" t="s">
        <v>61</v>
      </c>
      <c r="F633" t="s">
        <v>36</v>
      </c>
      <c r="G633" s="3">
        <v>0</v>
      </c>
      <c r="I633" t="str">
        <f t="shared" si="27"/>
        <v>35-44</v>
      </c>
      <c r="J633" t="str">
        <f t="shared" si="28"/>
        <v>Recently promoted</v>
      </c>
      <c r="K633">
        <f t="shared" si="29"/>
        <v>0</v>
      </c>
    </row>
    <row r="634" spans="1:11" x14ac:dyDescent="0.25">
      <c r="A634" s="5">
        <v>1447</v>
      </c>
      <c r="B634" s="3">
        <v>34</v>
      </c>
      <c r="C634" t="s">
        <v>43</v>
      </c>
      <c r="D634" t="s">
        <v>49</v>
      </c>
      <c r="E634" t="s">
        <v>61</v>
      </c>
      <c r="F634" t="s">
        <v>36</v>
      </c>
      <c r="G634" s="3">
        <v>0</v>
      </c>
      <c r="I634" t="str">
        <f t="shared" si="27"/>
        <v>25-34</v>
      </c>
      <c r="J634" t="str">
        <f t="shared" si="28"/>
        <v>Recently promoted</v>
      </c>
      <c r="K634">
        <f t="shared" si="29"/>
        <v>0</v>
      </c>
    </row>
    <row r="635" spans="1:11" x14ac:dyDescent="0.25">
      <c r="A635" s="5">
        <v>885</v>
      </c>
      <c r="B635" s="3">
        <v>25</v>
      </c>
      <c r="C635" t="s">
        <v>43</v>
      </c>
      <c r="D635" t="s">
        <v>64</v>
      </c>
      <c r="E635" t="s">
        <v>61</v>
      </c>
      <c r="F635" t="s">
        <v>42</v>
      </c>
      <c r="G635" s="3">
        <v>0</v>
      </c>
      <c r="I635" t="str">
        <f t="shared" si="27"/>
        <v>25-34</v>
      </c>
      <c r="J635" t="str">
        <f t="shared" si="28"/>
        <v>Recently promoted</v>
      </c>
      <c r="K635">
        <f t="shared" si="29"/>
        <v>0</v>
      </c>
    </row>
    <row r="636" spans="1:11" x14ac:dyDescent="0.25">
      <c r="A636" s="5">
        <v>1757</v>
      </c>
      <c r="B636" s="3">
        <v>49</v>
      </c>
      <c r="C636" t="s">
        <v>43</v>
      </c>
      <c r="D636" t="s">
        <v>35</v>
      </c>
      <c r="E636" t="s">
        <v>41</v>
      </c>
      <c r="F636" t="s">
        <v>42</v>
      </c>
      <c r="G636" s="3">
        <v>0</v>
      </c>
      <c r="I636" t="str">
        <f t="shared" si="27"/>
        <v>45-54</v>
      </c>
      <c r="J636" t="str">
        <f t="shared" si="28"/>
        <v>Recently promoted</v>
      </c>
      <c r="K636">
        <f t="shared" si="29"/>
        <v>0</v>
      </c>
    </row>
    <row r="637" spans="1:11" x14ac:dyDescent="0.25">
      <c r="A637" s="5">
        <v>620</v>
      </c>
      <c r="B637" s="3">
        <v>35</v>
      </c>
      <c r="C637" t="s">
        <v>43</v>
      </c>
      <c r="D637" t="s">
        <v>49</v>
      </c>
      <c r="E637" t="s">
        <v>41</v>
      </c>
      <c r="F637" t="s">
        <v>42</v>
      </c>
      <c r="G637" s="3">
        <v>0</v>
      </c>
      <c r="I637" t="str">
        <f t="shared" si="27"/>
        <v>35-44</v>
      </c>
      <c r="J637" t="str">
        <f t="shared" si="28"/>
        <v>Recently promoted</v>
      </c>
      <c r="K637">
        <f t="shared" si="29"/>
        <v>0</v>
      </c>
    </row>
    <row r="638" spans="1:11" x14ac:dyDescent="0.25">
      <c r="A638" s="5">
        <v>574</v>
      </c>
      <c r="B638" s="3">
        <v>47</v>
      </c>
      <c r="C638" t="s">
        <v>43</v>
      </c>
      <c r="D638" t="s">
        <v>67</v>
      </c>
      <c r="E638" t="s">
        <v>52</v>
      </c>
      <c r="F638" t="s">
        <v>50</v>
      </c>
      <c r="G638" s="3">
        <v>0</v>
      </c>
      <c r="I638" t="str">
        <f t="shared" si="27"/>
        <v>45-54</v>
      </c>
      <c r="J638" t="str">
        <f t="shared" si="28"/>
        <v>Recently promoted</v>
      </c>
      <c r="K638">
        <f t="shared" si="29"/>
        <v>0</v>
      </c>
    </row>
    <row r="639" spans="1:11" x14ac:dyDescent="0.25">
      <c r="A639" s="5">
        <v>655</v>
      </c>
      <c r="B639" s="3">
        <v>27</v>
      </c>
      <c r="C639" t="s">
        <v>43</v>
      </c>
      <c r="D639" t="s">
        <v>35</v>
      </c>
      <c r="E639" t="s">
        <v>52</v>
      </c>
      <c r="F639" t="s">
        <v>53</v>
      </c>
      <c r="G639" s="3">
        <v>0</v>
      </c>
      <c r="I639" t="str">
        <f t="shared" si="27"/>
        <v>25-34</v>
      </c>
      <c r="J639" t="str">
        <f t="shared" si="28"/>
        <v>Recently promoted</v>
      </c>
      <c r="K639">
        <f t="shared" si="29"/>
        <v>0</v>
      </c>
    </row>
    <row r="640" spans="1:11" x14ac:dyDescent="0.25">
      <c r="A640" s="5">
        <v>879</v>
      </c>
      <c r="B640" s="3">
        <v>25</v>
      </c>
      <c r="C640" t="s">
        <v>43</v>
      </c>
      <c r="D640" t="s">
        <v>64</v>
      </c>
      <c r="E640" t="s">
        <v>61</v>
      </c>
      <c r="F640" t="s">
        <v>42</v>
      </c>
      <c r="G640" s="3">
        <v>0</v>
      </c>
      <c r="I640" t="str">
        <f t="shared" si="27"/>
        <v>25-34</v>
      </c>
      <c r="J640" t="str">
        <f t="shared" si="28"/>
        <v>Recently promoted</v>
      </c>
      <c r="K640">
        <f t="shared" si="29"/>
        <v>0</v>
      </c>
    </row>
    <row r="641" spans="1:11" x14ac:dyDescent="0.25">
      <c r="A641" s="5">
        <v>1787</v>
      </c>
      <c r="B641" s="3">
        <v>37</v>
      </c>
      <c r="C641" t="s">
        <v>43</v>
      </c>
      <c r="D641" t="s">
        <v>67</v>
      </c>
      <c r="E641" t="s">
        <v>61</v>
      </c>
      <c r="F641" t="s">
        <v>53</v>
      </c>
      <c r="G641" s="3">
        <v>0</v>
      </c>
      <c r="I641" t="str">
        <f t="shared" si="27"/>
        <v>35-44</v>
      </c>
      <c r="J641" t="str">
        <f t="shared" si="28"/>
        <v>Recently promoted</v>
      </c>
      <c r="K641">
        <f t="shared" si="29"/>
        <v>0</v>
      </c>
    </row>
    <row r="642" spans="1:11" x14ac:dyDescent="0.25">
      <c r="A642" s="5">
        <v>526</v>
      </c>
      <c r="B642" s="3">
        <v>43</v>
      </c>
      <c r="C642" t="s">
        <v>43</v>
      </c>
      <c r="D642" t="s">
        <v>35</v>
      </c>
      <c r="E642" t="s">
        <v>52</v>
      </c>
      <c r="F642" t="s">
        <v>42</v>
      </c>
      <c r="G642" s="3">
        <v>0</v>
      </c>
      <c r="I642" t="str">
        <f t="shared" si="27"/>
        <v>35-44</v>
      </c>
      <c r="J642" t="str">
        <f t="shared" si="28"/>
        <v>Recently promoted</v>
      </c>
      <c r="K642">
        <f t="shared" si="29"/>
        <v>0</v>
      </c>
    </row>
    <row r="643" spans="1:11" x14ac:dyDescent="0.25">
      <c r="A643" s="5">
        <v>1826</v>
      </c>
      <c r="B643" s="3">
        <v>35</v>
      </c>
      <c r="C643" t="s">
        <v>43</v>
      </c>
      <c r="D643" t="s">
        <v>35</v>
      </c>
      <c r="E643" t="s">
        <v>61</v>
      </c>
      <c r="F643" t="s">
        <v>36</v>
      </c>
      <c r="G643" s="3">
        <v>0</v>
      </c>
      <c r="I643" t="str">
        <f t="shared" ref="I643:I706" si="30">IF(B643&lt;=24, "18-24", IF(B643&lt;=34,"25-34", IF(B643&lt;=44,"35-44", IF(B643&lt;=54,"45-54", IF(B643&lt;=60, "55-60")))))</f>
        <v>35-44</v>
      </c>
      <c r="J643" t="str">
        <f t="shared" ref="J643:J706" si="31">IF(G643&lt;=0,"Recently promoted",IF(G643&lt;=3,"Promoted in 1-3 years","Long Promotion gap"))</f>
        <v>Recently promoted</v>
      </c>
      <c r="K643">
        <f t="shared" ref="K643:K706" si="32">IF(C643="Yes", 1, 0)</f>
        <v>0</v>
      </c>
    </row>
    <row r="644" spans="1:11" x14ac:dyDescent="0.25">
      <c r="A644" s="5">
        <v>1940</v>
      </c>
      <c r="B644" s="3">
        <v>38</v>
      </c>
      <c r="C644" t="s">
        <v>43</v>
      </c>
      <c r="D644" t="s">
        <v>67</v>
      </c>
      <c r="E644" t="s">
        <v>52</v>
      </c>
      <c r="F644" t="s">
        <v>53</v>
      </c>
      <c r="G644" s="3">
        <v>0</v>
      </c>
      <c r="I644" t="str">
        <f t="shared" si="30"/>
        <v>35-44</v>
      </c>
      <c r="J644" t="str">
        <f t="shared" si="31"/>
        <v>Recently promoted</v>
      </c>
      <c r="K644">
        <f t="shared" si="32"/>
        <v>0</v>
      </c>
    </row>
    <row r="645" spans="1:11" x14ac:dyDescent="0.25">
      <c r="A645" s="5">
        <v>1945</v>
      </c>
      <c r="B645" s="3">
        <v>35</v>
      </c>
      <c r="C645" t="s">
        <v>43</v>
      </c>
      <c r="D645" t="s">
        <v>35</v>
      </c>
      <c r="E645" t="s">
        <v>61</v>
      </c>
      <c r="F645" t="s">
        <v>36</v>
      </c>
      <c r="G645" s="3">
        <v>0</v>
      </c>
      <c r="I645" t="str">
        <f t="shared" si="30"/>
        <v>35-44</v>
      </c>
      <c r="J645" t="str">
        <f t="shared" si="31"/>
        <v>Recently promoted</v>
      </c>
      <c r="K645">
        <f t="shared" si="32"/>
        <v>0</v>
      </c>
    </row>
    <row r="646" spans="1:11" x14ac:dyDescent="0.25">
      <c r="A646" s="5">
        <v>2046</v>
      </c>
      <c r="B646" s="3">
        <v>45</v>
      </c>
      <c r="C646" t="s">
        <v>43</v>
      </c>
      <c r="D646" t="s">
        <v>49</v>
      </c>
      <c r="E646" t="s">
        <v>41</v>
      </c>
      <c r="F646" t="s">
        <v>42</v>
      </c>
      <c r="G646" s="3">
        <v>0</v>
      </c>
      <c r="I646" t="str">
        <f t="shared" si="30"/>
        <v>45-54</v>
      </c>
      <c r="J646" t="str">
        <f t="shared" si="31"/>
        <v>Recently promoted</v>
      </c>
      <c r="K646">
        <f t="shared" si="32"/>
        <v>0</v>
      </c>
    </row>
    <row r="647" spans="1:11" x14ac:dyDescent="0.25">
      <c r="A647" s="5">
        <v>996</v>
      </c>
      <c r="B647" s="3">
        <v>45</v>
      </c>
      <c r="C647" t="s">
        <v>43</v>
      </c>
      <c r="D647" t="s">
        <v>35</v>
      </c>
      <c r="E647" t="s">
        <v>52</v>
      </c>
      <c r="F647" t="s">
        <v>53</v>
      </c>
      <c r="G647" s="3">
        <v>0</v>
      </c>
      <c r="I647" t="str">
        <f t="shared" si="30"/>
        <v>45-54</v>
      </c>
      <c r="J647" t="str">
        <f t="shared" si="31"/>
        <v>Recently promoted</v>
      </c>
      <c r="K647">
        <f t="shared" si="32"/>
        <v>0</v>
      </c>
    </row>
    <row r="648" spans="1:11" x14ac:dyDescent="0.25">
      <c r="A648" s="5">
        <v>1822</v>
      </c>
      <c r="B648" s="3">
        <v>40</v>
      </c>
      <c r="C648" t="s">
        <v>43</v>
      </c>
      <c r="D648" t="s">
        <v>49</v>
      </c>
      <c r="E648" t="s">
        <v>52</v>
      </c>
      <c r="F648" t="s">
        <v>36</v>
      </c>
      <c r="G648" s="3">
        <v>0</v>
      </c>
      <c r="I648" t="str">
        <f t="shared" si="30"/>
        <v>35-44</v>
      </c>
      <c r="J648" t="str">
        <f t="shared" si="31"/>
        <v>Recently promoted</v>
      </c>
      <c r="K648">
        <f t="shared" si="32"/>
        <v>0</v>
      </c>
    </row>
    <row r="649" spans="1:11" x14ac:dyDescent="0.25">
      <c r="A649" s="5">
        <v>2037</v>
      </c>
      <c r="B649" s="3">
        <v>41</v>
      </c>
      <c r="C649" t="s">
        <v>43</v>
      </c>
      <c r="D649" t="s">
        <v>49</v>
      </c>
      <c r="E649" t="s">
        <v>52</v>
      </c>
      <c r="F649" t="s">
        <v>36</v>
      </c>
      <c r="G649" s="3">
        <v>0</v>
      </c>
      <c r="I649" t="str">
        <f t="shared" si="30"/>
        <v>35-44</v>
      </c>
      <c r="J649" t="str">
        <f t="shared" si="31"/>
        <v>Recently promoted</v>
      </c>
      <c r="K649">
        <f t="shared" si="32"/>
        <v>0</v>
      </c>
    </row>
    <row r="650" spans="1:11" x14ac:dyDescent="0.25">
      <c r="A650" s="5">
        <v>859</v>
      </c>
      <c r="B650" s="3">
        <v>32</v>
      </c>
      <c r="C650" t="s">
        <v>43</v>
      </c>
      <c r="D650" t="s">
        <v>35</v>
      </c>
      <c r="E650" t="s">
        <v>52</v>
      </c>
      <c r="F650" t="s">
        <v>36</v>
      </c>
      <c r="G650" s="3">
        <v>0</v>
      </c>
      <c r="I650" t="str">
        <f t="shared" si="30"/>
        <v>25-34</v>
      </c>
      <c r="J650" t="str">
        <f t="shared" si="31"/>
        <v>Recently promoted</v>
      </c>
      <c r="K650">
        <f t="shared" si="32"/>
        <v>0</v>
      </c>
    </row>
    <row r="651" spans="1:11" x14ac:dyDescent="0.25">
      <c r="A651" s="5">
        <v>1954</v>
      </c>
      <c r="B651" s="3">
        <v>29</v>
      </c>
      <c r="C651" t="s">
        <v>43</v>
      </c>
      <c r="D651" t="s">
        <v>49</v>
      </c>
      <c r="E651" t="s">
        <v>61</v>
      </c>
      <c r="F651" t="s">
        <v>36</v>
      </c>
      <c r="G651" s="3">
        <v>0</v>
      </c>
      <c r="I651" t="str">
        <f t="shared" si="30"/>
        <v>25-34</v>
      </c>
      <c r="J651" t="str">
        <f t="shared" si="31"/>
        <v>Recently promoted</v>
      </c>
      <c r="K651">
        <f t="shared" si="32"/>
        <v>0</v>
      </c>
    </row>
    <row r="652" spans="1:11" x14ac:dyDescent="0.25">
      <c r="A652" s="5">
        <v>869</v>
      </c>
      <c r="B652" s="3">
        <v>28</v>
      </c>
      <c r="C652" t="s">
        <v>43</v>
      </c>
      <c r="D652" t="s">
        <v>67</v>
      </c>
      <c r="E652" t="s">
        <v>52</v>
      </c>
      <c r="F652" t="s">
        <v>36</v>
      </c>
      <c r="G652" s="3">
        <v>0</v>
      </c>
      <c r="I652" t="str">
        <f t="shared" si="30"/>
        <v>25-34</v>
      </c>
      <c r="J652" t="str">
        <f t="shared" si="31"/>
        <v>Recently promoted</v>
      </c>
      <c r="K652">
        <f t="shared" si="32"/>
        <v>0</v>
      </c>
    </row>
    <row r="653" spans="1:11" x14ac:dyDescent="0.25">
      <c r="A653" s="5">
        <v>864</v>
      </c>
      <c r="B653" s="3">
        <v>45</v>
      </c>
      <c r="C653" t="s">
        <v>43</v>
      </c>
      <c r="D653" t="s">
        <v>49</v>
      </c>
      <c r="E653" t="s">
        <v>52</v>
      </c>
      <c r="F653" t="s">
        <v>36</v>
      </c>
      <c r="G653" s="3">
        <v>0</v>
      </c>
      <c r="I653" t="str">
        <f t="shared" si="30"/>
        <v>45-54</v>
      </c>
      <c r="J653" t="str">
        <f t="shared" si="31"/>
        <v>Recently promoted</v>
      </c>
      <c r="K653">
        <f t="shared" si="32"/>
        <v>0</v>
      </c>
    </row>
    <row r="654" spans="1:11" x14ac:dyDescent="0.25">
      <c r="A654" s="5">
        <v>84</v>
      </c>
      <c r="B654" s="3">
        <v>55</v>
      </c>
      <c r="C654" t="s">
        <v>43</v>
      </c>
      <c r="D654" t="s">
        <v>49</v>
      </c>
      <c r="E654" t="s">
        <v>52</v>
      </c>
      <c r="F654" t="s">
        <v>50</v>
      </c>
      <c r="G654" s="3">
        <v>0</v>
      </c>
      <c r="I654" t="str">
        <f t="shared" si="30"/>
        <v>55-60</v>
      </c>
      <c r="J654" t="str">
        <f t="shared" si="31"/>
        <v>Recently promoted</v>
      </c>
      <c r="K654">
        <f t="shared" si="32"/>
        <v>0</v>
      </c>
    </row>
    <row r="655" spans="1:11" x14ac:dyDescent="0.25">
      <c r="A655" s="5">
        <v>1136</v>
      </c>
      <c r="B655" s="3">
        <v>28</v>
      </c>
      <c r="C655" t="s">
        <v>43</v>
      </c>
      <c r="D655" t="s">
        <v>64</v>
      </c>
      <c r="E655" t="s">
        <v>61</v>
      </c>
      <c r="F655" t="s">
        <v>42</v>
      </c>
      <c r="G655" s="3">
        <v>0</v>
      </c>
      <c r="I655" t="str">
        <f t="shared" si="30"/>
        <v>25-34</v>
      </c>
      <c r="J655" t="str">
        <f t="shared" si="31"/>
        <v>Recently promoted</v>
      </c>
      <c r="K655">
        <f t="shared" si="32"/>
        <v>0</v>
      </c>
    </row>
    <row r="656" spans="1:11" x14ac:dyDescent="0.25">
      <c r="A656" s="5">
        <v>14</v>
      </c>
      <c r="B656" s="3">
        <v>35</v>
      </c>
      <c r="C656" t="s">
        <v>43</v>
      </c>
      <c r="D656" t="s">
        <v>49</v>
      </c>
      <c r="E656" t="s">
        <v>61</v>
      </c>
      <c r="F656" t="s">
        <v>36</v>
      </c>
      <c r="G656" s="3">
        <v>0</v>
      </c>
      <c r="I656" t="str">
        <f t="shared" si="30"/>
        <v>35-44</v>
      </c>
      <c r="J656" t="str">
        <f t="shared" si="31"/>
        <v>Recently promoted</v>
      </c>
      <c r="K656">
        <f t="shared" si="32"/>
        <v>0</v>
      </c>
    </row>
    <row r="657" spans="1:11" x14ac:dyDescent="0.25">
      <c r="A657" s="5">
        <v>543</v>
      </c>
      <c r="B657" s="3">
        <v>52</v>
      </c>
      <c r="C657" t="s">
        <v>43</v>
      </c>
      <c r="D657" t="s">
        <v>49</v>
      </c>
      <c r="E657" t="s">
        <v>61</v>
      </c>
      <c r="F657" t="s">
        <v>42</v>
      </c>
      <c r="G657" s="3">
        <v>0</v>
      </c>
      <c r="I657" t="str">
        <f t="shared" si="30"/>
        <v>45-54</v>
      </c>
      <c r="J657" t="str">
        <f t="shared" si="31"/>
        <v>Recently promoted</v>
      </c>
      <c r="K657">
        <f t="shared" si="32"/>
        <v>0</v>
      </c>
    </row>
    <row r="658" spans="1:11" x14ac:dyDescent="0.25">
      <c r="A658" s="5">
        <v>221</v>
      </c>
      <c r="B658" s="3">
        <v>28</v>
      </c>
      <c r="C658" t="s">
        <v>43</v>
      </c>
      <c r="D658" t="s">
        <v>49</v>
      </c>
      <c r="E658" t="s">
        <v>61</v>
      </c>
      <c r="F658" t="s">
        <v>36</v>
      </c>
      <c r="G658" s="3">
        <v>0</v>
      </c>
      <c r="I658" t="str">
        <f t="shared" si="30"/>
        <v>25-34</v>
      </c>
      <c r="J658" t="str">
        <f t="shared" si="31"/>
        <v>Recently promoted</v>
      </c>
      <c r="K658">
        <f t="shared" si="32"/>
        <v>0</v>
      </c>
    </row>
    <row r="659" spans="1:11" x14ac:dyDescent="0.25">
      <c r="A659" s="5">
        <v>1445</v>
      </c>
      <c r="B659" s="3">
        <v>24</v>
      </c>
      <c r="C659" t="s">
        <v>43</v>
      </c>
      <c r="D659" t="s">
        <v>64</v>
      </c>
      <c r="E659" t="s">
        <v>61</v>
      </c>
      <c r="F659" t="s">
        <v>53</v>
      </c>
      <c r="G659" s="3">
        <v>0</v>
      </c>
      <c r="I659" t="str">
        <f t="shared" si="30"/>
        <v>18-24</v>
      </c>
      <c r="J659" t="str">
        <f t="shared" si="31"/>
        <v>Recently promoted</v>
      </c>
      <c r="K659">
        <f t="shared" si="32"/>
        <v>0</v>
      </c>
    </row>
    <row r="660" spans="1:11" x14ac:dyDescent="0.25">
      <c r="A660" s="5">
        <v>1749</v>
      </c>
      <c r="B660" s="3">
        <v>31</v>
      </c>
      <c r="C660" t="s">
        <v>43</v>
      </c>
      <c r="D660" t="s">
        <v>49</v>
      </c>
      <c r="E660" t="s">
        <v>61</v>
      </c>
      <c r="F660" t="s">
        <v>36</v>
      </c>
      <c r="G660" s="3">
        <v>0</v>
      </c>
      <c r="I660" t="str">
        <f t="shared" si="30"/>
        <v>25-34</v>
      </c>
      <c r="J660" t="str">
        <f t="shared" si="31"/>
        <v>Recently promoted</v>
      </c>
      <c r="K660">
        <f t="shared" si="32"/>
        <v>0</v>
      </c>
    </row>
    <row r="661" spans="1:11" x14ac:dyDescent="0.25">
      <c r="A661" s="5">
        <v>1425</v>
      </c>
      <c r="B661" s="3">
        <v>36</v>
      </c>
      <c r="C661" t="s">
        <v>43</v>
      </c>
      <c r="D661" t="s">
        <v>35</v>
      </c>
      <c r="E661" t="s">
        <v>41</v>
      </c>
      <c r="F661" t="s">
        <v>42</v>
      </c>
      <c r="G661" s="3">
        <v>0</v>
      </c>
      <c r="I661" t="str">
        <f t="shared" si="30"/>
        <v>35-44</v>
      </c>
      <c r="J661" t="str">
        <f t="shared" si="31"/>
        <v>Recently promoted</v>
      </c>
      <c r="K661">
        <f t="shared" si="32"/>
        <v>0</v>
      </c>
    </row>
    <row r="662" spans="1:11" x14ac:dyDescent="0.25">
      <c r="A662" s="5">
        <v>437</v>
      </c>
      <c r="B662" s="3">
        <v>27</v>
      </c>
      <c r="C662" t="s">
        <v>43</v>
      </c>
      <c r="D662" t="s">
        <v>49</v>
      </c>
      <c r="E662" t="s">
        <v>41</v>
      </c>
      <c r="F662" t="s">
        <v>42</v>
      </c>
      <c r="G662" s="3">
        <v>0</v>
      </c>
      <c r="I662" t="str">
        <f t="shared" si="30"/>
        <v>25-34</v>
      </c>
      <c r="J662" t="str">
        <f t="shared" si="31"/>
        <v>Recently promoted</v>
      </c>
      <c r="K662">
        <f t="shared" si="32"/>
        <v>0</v>
      </c>
    </row>
    <row r="663" spans="1:11" x14ac:dyDescent="0.25">
      <c r="A663" s="5">
        <v>1707</v>
      </c>
      <c r="B663" s="3">
        <v>24</v>
      </c>
      <c r="C663" t="s">
        <v>43</v>
      </c>
      <c r="D663" t="s">
        <v>49</v>
      </c>
      <c r="E663" t="s">
        <v>61</v>
      </c>
      <c r="F663" t="s">
        <v>36</v>
      </c>
      <c r="G663" s="3">
        <v>0</v>
      </c>
      <c r="I663" t="str">
        <f t="shared" si="30"/>
        <v>18-24</v>
      </c>
      <c r="J663" t="str">
        <f t="shared" si="31"/>
        <v>Recently promoted</v>
      </c>
      <c r="K663">
        <f t="shared" si="32"/>
        <v>0</v>
      </c>
    </row>
    <row r="664" spans="1:11" x14ac:dyDescent="0.25">
      <c r="A664" s="5">
        <v>2054</v>
      </c>
      <c r="B664" s="3">
        <v>29</v>
      </c>
      <c r="C664" t="s">
        <v>43</v>
      </c>
      <c r="D664" t="s">
        <v>35</v>
      </c>
      <c r="E664" t="s">
        <v>41</v>
      </c>
      <c r="F664" t="s">
        <v>42</v>
      </c>
      <c r="G664" s="3">
        <v>0</v>
      </c>
      <c r="I664" t="str">
        <f t="shared" si="30"/>
        <v>25-34</v>
      </c>
      <c r="J664" t="str">
        <f t="shared" si="31"/>
        <v>Recently promoted</v>
      </c>
      <c r="K664">
        <f t="shared" si="32"/>
        <v>0</v>
      </c>
    </row>
    <row r="665" spans="1:11" x14ac:dyDescent="0.25">
      <c r="A665" s="5">
        <v>758</v>
      </c>
      <c r="B665" s="3">
        <v>23</v>
      </c>
      <c r="C665" t="s">
        <v>43</v>
      </c>
      <c r="D665" t="s">
        <v>64</v>
      </c>
      <c r="E665" t="s">
        <v>61</v>
      </c>
      <c r="F665" t="s">
        <v>36</v>
      </c>
      <c r="G665" s="3">
        <v>0</v>
      </c>
      <c r="I665" t="str">
        <f t="shared" si="30"/>
        <v>18-24</v>
      </c>
      <c r="J665" t="str">
        <f t="shared" si="31"/>
        <v>Recently promoted</v>
      </c>
      <c r="K665">
        <f t="shared" si="32"/>
        <v>0</v>
      </c>
    </row>
    <row r="666" spans="1:11" x14ac:dyDescent="0.25">
      <c r="A666" s="5">
        <v>1448</v>
      </c>
      <c r="B666" s="3">
        <v>41</v>
      </c>
      <c r="C666" t="s">
        <v>43</v>
      </c>
      <c r="D666" t="s">
        <v>70</v>
      </c>
      <c r="E666" t="s">
        <v>61</v>
      </c>
      <c r="F666" t="s">
        <v>42</v>
      </c>
      <c r="G666" s="3">
        <v>0</v>
      </c>
      <c r="I666" t="str">
        <f t="shared" si="30"/>
        <v>35-44</v>
      </c>
      <c r="J666" t="str">
        <f t="shared" si="31"/>
        <v>Recently promoted</v>
      </c>
      <c r="K666">
        <f t="shared" si="32"/>
        <v>0</v>
      </c>
    </row>
    <row r="667" spans="1:11" x14ac:dyDescent="0.25">
      <c r="A667" s="5">
        <v>887</v>
      </c>
      <c r="B667" s="3">
        <v>49</v>
      </c>
      <c r="C667" t="s">
        <v>43</v>
      </c>
      <c r="D667" t="s">
        <v>49</v>
      </c>
      <c r="E667" t="s">
        <v>61</v>
      </c>
      <c r="F667" t="s">
        <v>36</v>
      </c>
      <c r="G667" s="3">
        <v>0</v>
      </c>
      <c r="I667" t="str">
        <f t="shared" si="30"/>
        <v>45-54</v>
      </c>
      <c r="J667" t="str">
        <f t="shared" si="31"/>
        <v>Recently promoted</v>
      </c>
      <c r="K667">
        <f t="shared" si="32"/>
        <v>0</v>
      </c>
    </row>
    <row r="668" spans="1:11" x14ac:dyDescent="0.25">
      <c r="A668" s="5">
        <v>1446</v>
      </c>
      <c r="B668" s="3">
        <v>32</v>
      </c>
      <c r="C668" t="s">
        <v>43</v>
      </c>
      <c r="D668" t="s">
        <v>70</v>
      </c>
      <c r="E668" t="s">
        <v>61</v>
      </c>
      <c r="F668" t="s">
        <v>36</v>
      </c>
      <c r="G668" s="3">
        <v>0</v>
      </c>
      <c r="I668" t="str">
        <f t="shared" si="30"/>
        <v>25-34</v>
      </c>
      <c r="J668" t="str">
        <f t="shared" si="31"/>
        <v>Recently promoted</v>
      </c>
      <c r="K668">
        <f t="shared" si="32"/>
        <v>0</v>
      </c>
    </row>
    <row r="669" spans="1:11" x14ac:dyDescent="0.25">
      <c r="A669" s="5">
        <v>912</v>
      </c>
      <c r="B669" s="3">
        <v>29</v>
      </c>
      <c r="C669" t="s">
        <v>43</v>
      </c>
      <c r="D669" t="s">
        <v>64</v>
      </c>
      <c r="E669" t="s">
        <v>52</v>
      </c>
      <c r="F669" t="s">
        <v>50</v>
      </c>
      <c r="G669" s="3">
        <v>0</v>
      </c>
      <c r="I669" t="str">
        <f t="shared" si="30"/>
        <v>25-34</v>
      </c>
      <c r="J669" t="str">
        <f t="shared" si="31"/>
        <v>Recently promoted</v>
      </c>
      <c r="K669">
        <f t="shared" si="32"/>
        <v>0</v>
      </c>
    </row>
    <row r="670" spans="1:11" x14ac:dyDescent="0.25">
      <c r="A670" s="5">
        <v>916</v>
      </c>
      <c r="B670" s="3">
        <v>28</v>
      </c>
      <c r="C670" t="s">
        <v>43</v>
      </c>
      <c r="D670" t="s">
        <v>35</v>
      </c>
      <c r="E670" t="s">
        <v>41</v>
      </c>
      <c r="F670" t="s">
        <v>42</v>
      </c>
      <c r="G670" s="3">
        <v>0</v>
      </c>
      <c r="I670" t="str">
        <f t="shared" si="30"/>
        <v>25-34</v>
      </c>
      <c r="J670" t="str">
        <f t="shared" si="31"/>
        <v>Recently promoted</v>
      </c>
      <c r="K670">
        <f t="shared" si="32"/>
        <v>0</v>
      </c>
    </row>
    <row r="671" spans="1:11" x14ac:dyDescent="0.25">
      <c r="A671" s="5">
        <v>1739</v>
      </c>
      <c r="B671" s="3">
        <v>32</v>
      </c>
      <c r="C671" t="s">
        <v>43</v>
      </c>
      <c r="D671" t="s">
        <v>49</v>
      </c>
      <c r="E671" t="s">
        <v>61</v>
      </c>
      <c r="F671" t="s">
        <v>36</v>
      </c>
      <c r="G671" s="3">
        <v>0</v>
      </c>
      <c r="I671" t="str">
        <f t="shared" si="30"/>
        <v>25-34</v>
      </c>
      <c r="J671" t="str">
        <f t="shared" si="31"/>
        <v>Recently promoted</v>
      </c>
      <c r="K671">
        <f t="shared" si="32"/>
        <v>0</v>
      </c>
    </row>
    <row r="672" spans="1:11" x14ac:dyDescent="0.25">
      <c r="A672" s="5">
        <v>465</v>
      </c>
      <c r="B672" s="3">
        <v>23</v>
      </c>
      <c r="C672" t="s">
        <v>43</v>
      </c>
      <c r="D672" t="s">
        <v>64</v>
      </c>
      <c r="E672" t="s">
        <v>52</v>
      </c>
      <c r="F672" t="s">
        <v>53</v>
      </c>
      <c r="G672" s="3">
        <v>0</v>
      </c>
      <c r="I672" t="str">
        <f t="shared" si="30"/>
        <v>18-24</v>
      </c>
      <c r="J672" t="str">
        <f t="shared" si="31"/>
        <v>Recently promoted</v>
      </c>
      <c r="K672">
        <f t="shared" si="32"/>
        <v>0</v>
      </c>
    </row>
    <row r="673" spans="1:11" x14ac:dyDescent="0.25">
      <c r="A673" s="5">
        <v>854</v>
      </c>
      <c r="B673" s="3">
        <v>25</v>
      </c>
      <c r="C673" t="s">
        <v>43</v>
      </c>
      <c r="D673" t="s">
        <v>64</v>
      </c>
      <c r="E673" t="s">
        <v>41</v>
      </c>
      <c r="F673" t="s">
        <v>42</v>
      </c>
      <c r="G673" s="3">
        <v>0</v>
      </c>
      <c r="I673" t="str">
        <f t="shared" si="30"/>
        <v>25-34</v>
      </c>
      <c r="J673" t="str">
        <f t="shared" si="31"/>
        <v>Recently promoted</v>
      </c>
      <c r="K673">
        <f t="shared" si="32"/>
        <v>0</v>
      </c>
    </row>
    <row r="674" spans="1:11" x14ac:dyDescent="0.25">
      <c r="A674" s="5">
        <v>815</v>
      </c>
      <c r="B674" s="3">
        <v>50</v>
      </c>
      <c r="C674" t="s">
        <v>43</v>
      </c>
      <c r="D674" t="s">
        <v>49</v>
      </c>
      <c r="E674" t="s">
        <v>61</v>
      </c>
      <c r="F674" t="s">
        <v>42</v>
      </c>
      <c r="G674" s="3">
        <v>0</v>
      </c>
      <c r="I674" t="str">
        <f t="shared" si="30"/>
        <v>45-54</v>
      </c>
      <c r="J674" t="str">
        <f t="shared" si="31"/>
        <v>Recently promoted</v>
      </c>
      <c r="K674">
        <f t="shared" si="32"/>
        <v>0</v>
      </c>
    </row>
    <row r="675" spans="1:11" x14ac:dyDescent="0.25">
      <c r="A675" s="5">
        <v>2053</v>
      </c>
      <c r="B675" s="3">
        <v>29</v>
      </c>
      <c r="C675" t="s">
        <v>43</v>
      </c>
      <c r="D675" t="s">
        <v>67</v>
      </c>
      <c r="E675" t="s">
        <v>61</v>
      </c>
      <c r="F675" t="s">
        <v>36</v>
      </c>
      <c r="G675" s="3">
        <v>0</v>
      </c>
      <c r="I675" t="str">
        <f t="shared" si="30"/>
        <v>25-34</v>
      </c>
      <c r="J675" t="str">
        <f t="shared" si="31"/>
        <v>Recently promoted</v>
      </c>
      <c r="K675">
        <f t="shared" si="32"/>
        <v>0</v>
      </c>
    </row>
    <row r="676" spans="1:11" x14ac:dyDescent="0.25">
      <c r="A676" s="5">
        <v>126</v>
      </c>
      <c r="B676" s="3">
        <v>54</v>
      </c>
      <c r="C676" t="s">
        <v>43</v>
      </c>
      <c r="D676" t="s">
        <v>35</v>
      </c>
      <c r="E676" t="s">
        <v>61</v>
      </c>
      <c r="F676" t="s">
        <v>36</v>
      </c>
      <c r="G676" s="3">
        <v>0</v>
      </c>
      <c r="I676" t="str">
        <f t="shared" si="30"/>
        <v>45-54</v>
      </c>
      <c r="J676" t="str">
        <f t="shared" si="31"/>
        <v>Recently promoted</v>
      </c>
      <c r="K676">
        <f t="shared" si="32"/>
        <v>0</v>
      </c>
    </row>
    <row r="677" spans="1:11" x14ac:dyDescent="0.25">
      <c r="A677" s="5">
        <v>288</v>
      </c>
      <c r="B677" s="3">
        <v>46</v>
      </c>
      <c r="C677" t="s">
        <v>43</v>
      </c>
      <c r="D677" t="s">
        <v>35</v>
      </c>
      <c r="E677" t="s">
        <v>52</v>
      </c>
      <c r="F677" t="s">
        <v>36</v>
      </c>
      <c r="G677" s="3">
        <v>0</v>
      </c>
      <c r="I677" t="str">
        <f t="shared" si="30"/>
        <v>45-54</v>
      </c>
      <c r="J677" t="str">
        <f t="shared" si="31"/>
        <v>Recently promoted</v>
      </c>
      <c r="K677">
        <f t="shared" si="32"/>
        <v>0</v>
      </c>
    </row>
    <row r="678" spans="1:11" x14ac:dyDescent="0.25">
      <c r="A678" s="5">
        <v>1211</v>
      </c>
      <c r="B678" s="3">
        <v>30</v>
      </c>
      <c r="C678" t="s">
        <v>43</v>
      </c>
      <c r="D678" t="s">
        <v>35</v>
      </c>
      <c r="E678" t="s">
        <v>52</v>
      </c>
      <c r="F678" t="s">
        <v>50</v>
      </c>
      <c r="G678" s="3">
        <v>0</v>
      </c>
      <c r="I678" t="str">
        <f t="shared" si="30"/>
        <v>25-34</v>
      </c>
      <c r="J678" t="str">
        <f t="shared" si="31"/>
        <v>Recently promoted</v>
      </c>
      <c r="K678">
        <f t="shared" si="32"/>
        <v>0</v>
      </c>
    </row>
    <row r="679" spans="1:11" x14ac:dyDescent="0.25">
      <c r="A679" s="5">
        <v>1217</v>
      </c>
      <c r="B679" s="3">
        <v>46</v>
      </c>
      <c r="C679" t="s">
        <v>43</v>
      </c>
      <c r="D679" t="s">
        <v>67</v>
      </c>
      <c r="E679" t="s">
        <v>61</v>
      </c>
      <c r="F679" t="s">
        <v>36</v>
      </c>
      <c r="G679" s="3">
        <v>0</v>
      </c>
      <c r="I679" t="str">
        <f t="shared" si="30"/>
        <v>45-54</v>
      </c>
      <c r="J679" t="str">
        <f t="shared" si="31"/>
        <v>Recently promoted</v>
      </c>
      <c r="K679">
        <f t="shared" si="32"/>
        <v>0</v>
      </c>
    </row>
    <row r="680" spans="1:11" x14ac:dyDescent="0.25">
      <c r="A680" s="5">
        <v>910</v>
      </c>
      <c r="B680" s="3">
        <v>33</v>
      </c>
      <c r="C680" t="s">
        <v>43</v>
      </c>
      <c r="D680" t="s">
        <v>67</v>
      </c>
      <c r="E680" t="s">
        <v>52</v>
      </c>
      <c r="F680" t="s">
        <v>36</v>
      </c>
      <c r="G680" s="3">
        <v>0</v>
      </c>
      <c r="I680" t="str">
        <f t="shared" si="30"/>
        <v>25-34</v>
      </c>
      <c r="J680" t="str">
        <f t="shared" si="31"/>
        <v>Recently promoted</v>
      </c>
      <c r="K680">
        <f t="shared" si="32"/>
        <v>0</v>
      </c>
    </row>
    <row r="681" spans="1:11" x14ac:dyDescent="0.25">
      <c r="A681" s="5">
        <v>1915</v>
      </c>
      <c r="B681" s="3">
        <v>34</v>
      </c>
      <c r="C681" t="s">
        <v>43</v>
      </c>
      <c r="D681" t="s">
        <v>64</v>
      </c>
      <c r="E681" t="s">
        <v>61</v>
      </c>
      <c r="F681" t="s">
        <v>42</v>
      </c>
      <c r="G681" s="3">
        <v>0</v>
      </c>
      <c r="I681" t="str">
        <f t="shared" si="30"/>
        <v>25-34</v>
      </c>
      <c r="J681" t="str">
        <f t="shared" si="31"/>
        <v>Recently promoted</v>
      </c>
      <c r="K681">
        <f t="shared" si="32"/>
        <v>0</v>
      </c>
    </row>
    <row r="682" spans="1:11" x14ac:dyDescent="0.25">
      <c r="A682" s="5">
        <v>827</v>
      </c>
      <c r="B682" s="3">
        <v>42</v>
      </c>
      <c r="C682" t="s">
        <v>43</v>
      </c>
      <c r="D682" t="s">
        <v>67</v>
      </c>
      <c r="E682" t="s">
        <v>61</v>
      </c>
      <c r="F682" t="s">
        <v>36</v>
      </c>
      <c r="G682" s="3">
        <v>0</v>
      </c>
      <c r="I682" t="str">
        <f t="shared" si="30"/>
        <v>35-44</v>
      </c>
      <c r="J682" t="str">
        <f t="shared" si="31"/>
        <v>Recently promoted</v>
      </c>
      <c r="K682">
        <f t="shared" si="32"/>
        <v>0</v>
      </c>
    </row>
    <row r="683" spans="1:11" x14ac:dyDescent="0.25">
      <c r="A683" s="5">
        <v>1647</v>
      </c>
      <c r="B683" s="3">
        <v>27</v>
      </c>
      <c r="C683" t="s">
        <v>43</v>
      </c>
      <c r="D683" t="s">
        <v>49</v>
      </c>
      <c r="E683" t="s">
        <v>61</v>
      </c>
      <c r="F683" t="s">
        <v>42</v>
      </c>
      <c r="G683" s="3">
        <v>0</v>
      </c>
      <c r="I683" t="str">
        <f t="shared" si="30"/>
        <v>25-34</v>
      </c>
      <c r="J683" t="str">
        <f t="shared" si="31"/>
        <v>Recently promoted</v>
      </c>
      <c r="K683">
        <f t="shared" si="32"/>
        <v>0</v>
      </c>
    </row>
    <row r="684" spans="1:11" x14ac:dyDescent="0.25">
      <c r="A684" s="5">
        <v>1682</v>
      </c>
      <c r="B684" s="3">
        <v>36</v>
      </c>
      <c r="C684" t="s">
        <v>43</v>
      </c>
      <c r="D684" t="s">
        <v>35</v>
      </c>
      <c r="E684" t="s">
        <v>61</v>
      </c>
      <c r="F684" t="s">
        <v>53</v>
      </c>
      <c r="G684" s="3">
        <v>0</v>
      </c>
      <c r="I684" t="str">
        <f t="shared" si="30"/>
        <v>35-44</v>
      </c>
      <c r="J684" t="str">
        <f t="shared" si="31"/>
        <v>Recently promoted</v>
      </c>
      <c r="K684">
        <f t="shared" si="32"/>
        <v>0</v>
      </c>
    </row>
    <row r="685" spans="1:11" x14ac:dyDescent="0.25">
      <c r="A685" s="5">
        <v>340</v>
      </c>
      <c r="B685" s="3">
        <v>37</v>
      </c>
      <c r="C685" t="s">
        <v>43</v>
      </c>
      <c r="D685" t="s">
        <v>67</v>
      </c>
      <c r="E685" t="s">
        <v>61</v>
      </c>
      <c r="F685" t="s">
        <v>36</v>
      </c>
      <c r="G685" s="3">
        <v>0</v>
      </c>
      <c r="I685" t="str">
        <f t="shared" si="30"/>
        <v>35-44</v>
      </c>
      <c r="J685" t="str">
        <f t="shared" si="31"/>
        <v>Recently promoted</v>
      </c>
      <c r="K685">
        <f t="shared" si="32"/>
        <v>0</v>
      </c>
    </row>
    <row r="686" spans="1:11" x14ac:dyDescent="0.25">
      <c r="A686" s="5">
        <v>347</v>
      </c>
      <c r="B686" s="3">
        <v>42</v>
      </c>
      <c r="C686" t="s">
        <v>43</v>
      </c>
      <c r="D686" t="s">
        <v>67</v>
      </c>
      <c r="E686" t="s">
        <v>41</v>
      </c>
      <c r="F686" t="s">
        <v>42</v>
      </c>
      <c r="G686" s="3">
        <v>0</v>
      </c>
      <c r="I686" t="str">
        <f t="shared" si="30"/>
        <v>35-44</v>
      </c>
      <c r="J686" t="str">
        <f t="shared" si="31"/>
        <v>Recently promoted</v>
      </c>
      <c r="K686">
        <f t="shared" si="32"/>
        <v>0</v>
      </c>
    </row>
    <row r="687" spans="1:11" x14ac:dyDescent="0.25">
      <c r="A687" s="5">
        <v>1436</v>
      </c>
      <c r="B687" s="3">
        <v>36</v>
      </c>
      <c r="C687" t="s">
        <v>43</v>
      </c>
      <c r="D687" t="s">
        <v>35</v>
      </c>
      <c r="E687" t="s">
        <v>61</v>
      </c>
      <c r="F687" t="s">
        <v>53</v>
      </c>
      <c r="G687" s="3">
        <v>0</v>
      </c>
      <c r="I687" t="str">
        <f t="shared" si="30"/>
        <v>35-44</v>
      </c>
      <c r="J687" t="str">
        <f t="shared" si="31"/>
        <v>Recently promoted</v>
      </c>
      <c r="K687">
        <f t="shared" si="32"/>
        <v>0</v>
      </c>
    </row>
    <row r="688" spans="1:11" x14ac:dyDescent="0.25">
      <c r="A688" s="5">
        <v>699</v>
      </c>
      <c r="B688" s="3">
        <v>36</v>
      </c>
      <c r="C688" t="s">
        <v>43</v>
      </c>
      <c r="D688" t="s">
        <v>67</v>
      </c>
      <c r="E688" t="s">
        <v>52</v>
      </c>
      <c r="F688" t="s">
        <v>36</v>
      </c>
      <c r="G688" s="3">
        <v>0</v>
      </c>
      <c r="I688" t="str">
        <f t="shared" si="30"/>
        <v>35-44</v>
      </c>
      <c r="J688" t="str">
        <f t="shared" si="31"/>
        <v>Recently promoted</v>
      </c>
      <c r="K688">
        <f t="shared" si="32"/>
        <v>0</v>
      </c>
    </row>
    <row r="689" spans="1:11" x14ac:dyDescent="0.25">
      <c r="A689" s="5">
        <v>664</v>
      </c>
      <c r="B689" s="3">
        <v>48</v>
      </c>
      <c r="C689" t="s">
        <v>43</v>
      </c>
      <c r="D689" t="s">
        <v>35</v>
      </c>
      <c r="E689" t="s">
        <v>61</v>
      </c>
      <c r="F689" t="s">
        <v>36</v>
      </c>
      <c r="G689" s="3">
        <v>0</v>
      </c>
      <c r="I689" t="str">
        <f t="shared" si="30"/>
        <v>45-54</v>
      </c>
      <c r="J689" t="str">
        <f t="shared" si="31"/>
        <v>Recently promoted</v>
      </c>
      <c r="K689">
        <f t="shared" si="32"/>
        <v>0</v>
      </c>
    </row>
    <row r="690" spans="1:11" x14ac:dyDescent="0.25">
      <c r="A690" s="5">
        <v>1886</v>
      </c>
      <c r="B690" s="3">
        <v>35</v>
      </c>
      <c r="C690" t="s">
        <v>43</v>
      </c>
      <c r="D690" t="s">
        <v>67</v>
      </c>
      <c r="E690" t="s">
        <v>61</v>
      </c>
      <c r="F690" t="s">
        <v>42</v>
      </c>
      <c r="G690" s="3">
        <v>0</v>
      </c>
      <c r="I690" t="str">
        <f t="shared" si="30"/>
        <v>35-44</v>
      </c>
      <c r="J690" t="str">
        <f t="shared" si="31"/>
        <v>Recently promoted</v>
      </c>
      <c r="K690">
        <f t="shared" si="32"/>
        <v>0</v>
      </c>
    </row>
    <row r="691" spans="1:11" x14ac:dyDescent="0.25">
      <c r="A691" s="5">
        <v>1461</v>
      </c>
      <c r="B691" s="3">
        <v>31</v>
      </c>
      <c r="C691" t="s">
        <v>43</v>
      </c>
      <c r="D691" t="s">
        <v>67</v>
      </c>
      <c r="E691" t="s">
        <v>41</v>
      </c>
      <c r="F691" t="s">
        <v>42</v>
      </c>
      <c r="G691" s="3">
        <v>0</v>
      </c>
      <c r="I691" t="str">
        <f t="shared" si="30"/>
        <v>25-34</v>
      </c>
      <c r="J691" t="str">
        <f t="shared" si="31"/>
        <v>Recently promoted</v>
      </c>
      <c r="K691">
        <f t="shared" si="32"/>
        <v>0</v>
      </c>
    </row>
    <row r="692" spans="1:11" x14ac:dyDescent="0.25">
      <c r="A692" s="5">
        <v>705</v>
      </c>
      <c r="B692" s="3">
        <v>23</v>
      </c>
      <c r="C692" t="s">
        <v>43</v>
      </c>
      <c r="D692" t="s">
        <v>49</v>
      </c>
      <c r="E692" t="s">
        <v>61</v>
      </c>
      <c r="F692" t="s">
        <v>36</v>
      </c>
      <c r="G692" s="3">
        <v>0</v>
      </c>
      <c r="I692" t="str">
        <f t="shared" si="30"/>
        <v>18-24</v>
      </c>
      <c r="J692" t="str">
        <f t="shared" si="31"/>
        <v>Recently promoted</v>
      </c>
      <c r="K692">
        <f t="shared" si="32"/>
        <v>0</v>
      </c>
    </row>
    <row r="693" spans="1:11" x14ac:dyDescent="0.25">
      <c r="A693" s="5">
        <v>1411</v>
      </c>
      <c r="B693" s="3">
        <v>37</v>
      </c>
      <c r="C693" t="s">
        <v>43</v>
      </c>
      <c r="D693" t="s">
        <v>49</v>
      </c>
      <c r="E693" t="s">
        <v>41</v>
      </c>
      <c r="F693" t="s">
        <v>42</v>
      </c>
      <c r="G693" s="3">
        <v>0</v>
      </c>
      <c r="I693" t="str">
        <f t="shared" si="30"/>
        <v>35-44</v>
      </c>
      <c r="J693" t="str">
        <f t="shared" si="31"/>
        <v>Recently promoted</v>
      </c>
      <c r="K693">
        <f t="shared" si="32"/>
        <v>0</v>
      </c>
    </row>
    <row r="694" spans="1:11" x14ac:dyDescent="0.25">
      <c r="A694" s="5">
        <v>1607</v>
      </c>
      <c r="B694" s="3">
        <v>32</v>
      </c>
      <c r="C694" t="s">
        <v>43</v>
      </c>
      <c r="D694" t="s">
        <v>35</v>
      </c>
      <c r="E694" t="s">
        <v>61</v>
      </c>
      <c r="F694" t="s">
        <v>53</v>
      </c>
      <c r="G694" s="3">
        <v>0</v>
      </c>
      <c r="I694" t="str">
        <f t="shared" si="30"/>
        <v>25-34</v>
      </c>
      <c r="J694" t="str">
        <f t="shared" si="31"/>
        <v>Recently promoted</v>
      </c>
      <c r="K694">
        <f t="shared" si="32"/>
        <v>0</v>
      </c>
    </row>
    <row r="695" spans="1:11" x14ac:dyDescent="0.25">
      <c r="A695" s="5">
        <v>575</v>
      </c>
      <c r="B695" s="3">
        <v>46</v>
      </c>
      <c r="C695" t="s">
        <v>43</v>
      </c>
      <c r="D695" t="s">
        <v>49</v>
      </c>
      <c r="E695" t="s">
        <v>61</v>
      </c>
      <c r="F695" t="s">
        <v>42</v>
      </c>
      <c r="G695" s="3">
        <v>0</v>
      </c>
      <c r="I695" t="str">
        <f t="shared" si="30"/>
        <v>45-54</v>
      </c>
      <c r="J695" t="str">
        <f t="shared" si="31"/>
        <v>Recently promoted</v>
      </c>
      <c r="K695">
        <f t="shared" si="32"/>
        <v>0</v>
      </c>
    </row>
    <row r="696" spans="1:11" x14ac:dyDescent="0.25">
      <c r="A696" s="5">
        <v>995</v>
      </c>
      <c r="B696" s="3">
        <v>33</v>
      </c>
      <c r="C696" t="s">
        <v>43</v>
      </c>
      <c r="D696" t="s">
        <v>64</v>
      </c>
      <c r="E696" t="s">
        <v>41</v>
      </c>
      <c r="F696" t="s">
        <v>42</v>
      </c>
      <c r="G696" s="3">
        <v>0</v>
      </c>
      <c r="I696" t="str">
        <f t="shared" si="30"/>
        <v>25-34</v>
      </c>
      <c r="J696" t="str">
        <f t="shared" si="31"/>
        <v>Recently promoted</v>
      </c>
      <c r="K696">
        <f t="shared" si="32"/>
        <v>0</v>
      </c>
    </row>
    <row r="697" spans="1:11" x14ac:dyDescent="0.25">
      <c r="A697" s="5">
        <v>349</v>
      </c>
      <c r="B697" s="3">
        <v>29</v>
      </c>
      <c r="C697" t="s">
        <v>43</v>
      </c>
      <c r="D697" t="s">
        <v>67</v>
      </c>
      <c r="E697" t="s">
        <v>52</v>
      </c>
      <c r="F697" t="s">
        <v>36</v>
      </c>
      <c r="G697" s="3">
        <v>0</v>
      </c>
      <c r="I697" t="str">
        <f t="shared" si="30"/>
        <v>25-34</v>
      </c>
      <c r="J697" t="str">
        <f t="shared" si="31"/>
        <v>Recently promoted</v>
      </c>
      <c r="K697">
        <f t="shared" si="32"/>
        <v>0</v>
      </c>
    </row>
    <row r="698" spans="1:11" x14ac:dyDescent="0.25">
      <c r="A698" s="5">
        <v>939</v>
      </c>
      <c r="B698" s="3">
        <v>33</v>
      </c>
      <c r="C698" t="s">
        <v>43</v>
      </c>
      <c r="D698" t="s">
        <v>35</v>
      </c>
      <c r="E698" t="s">
        <v>41</v>
      </c>
      <c r="F698" t="s">
        <v>42</v>
      </c>
      <c r="G698" s="3">
        <v>0</v>
      </c>
      <c r="I698" t="str">
        <f t="shared" si="30"/>
        <v>25-34</v>
      </c>
      <c r="J698" t="str">
        <f t="shared" si="31"/>
        <v>Recently promoted</v>
      </c>
      <c r="K698">
        <f t="shared" si="32"/>
        <v>0</v>
      </c>
    </row>
    <row r="699" spans="1:11" x14ac:dyDescent="0.25">
      <c r="A699" s="5">
        <v>1281</v>
      </c>
      <c r="B699" s="3">
        <v>34</v>
      </c>
      <c r="C699" t="s">
        <v>43</v>
      </c>
      <c r="D699" t="s">
        <v>49</v>
      </c>
      <c r="E699" t="s">
        <v>41</v>
      </c>
      <c r="F699" t="s">
        <v>42</v>
      </c>
      <c r="G699" s="3">
        <v>0</v>
      </c>
      <c r="I699" t="str">
        <f t="shared" si="30"/>
        <v>25-34</v>
      </c>
      <c r="J699" t="str">
        <f t="shared" si="31"/>
        <v>Recently promoted</v>
      </c>
      <c r="K699">
        <f t="shared" si="32"/>
        <v>0</v>
      </c>
    </row>
    <row r="700" spans="1:11" x14ac:dyDescent="0.25">
      <c r="A700" s="5">
        <v>242</v>
      </c>
      <c r="B700" s="3">
        <v>33</v>
      </c>
      <c r="C700" t="s">
        <v>43</v>
      </c>
      <c r="D700" t="s">
        <v>49</v>
      </c>
      <c r="E700" t="s">
        <v>41</v>
      </c>
      <c r="F700" t="s">
        <v>42</v>
      </c>
      <c r="G700" s="3">
        <v>0</v>
      </c>
      <c r="I700" t="str">
        <f t="shared" si="30"/>
        <v>25-34</v>
      </c>
      <c r="J700" t="str">
        <f t="shared" si="31"/>
        <v>Recently promoted</v>
      </c>
      <c r="K700">
        <f t="shared" si="32"/>
        <v>0</v>
      </c>
    </row>
    <row r="701" spans="1:11" x14ac:dyDescent="0.25">
      <c r="A701" s="5">
        <v>847</v>
      </c>
      <c r="B701" s="3">
        <v>34</v>
      </c>
      <c r="C701" t="s">
        <v>43</v>
      </c>
      <c r="D701" t="s">
        <v>67</v>
      </c>
      <c r="E701" t="s">
        <v>61</v>
      </c>
      <c r="F701" t="s">
        <v>36</v>
      </c>
      <c r="G701" s="3">
        <v>0</v>
      </c>
      <c r="I701" t="str">
        <f t="shared" si="30"/>
        <v>25-34</v>
      </c>
      <c r="J701" t="str">
        <f t="shared" si="31"/>
        <v>Recently promoted</v>
      </c>
      <c r="K701">
        <f t="shared" si="32"/>
        <v>0</v>
      </c>
    </row>
    <row r="702" spans="1:11" x14ac:dyDescent="0.25">
      <c r="A702" s="5">
        <v>652</v>
      </c>
      <c r="B702" s="3">
        <v>35</v>
      </c>
      <c r="C702" t="s">
        <v>43</v>
      </c>
      <c r="D702" t="s">
        <v>67</v>
      </c>
      <c r="E702" t="s">
        <v>41</v>
      </c>
      <c r="F702" t="s">
        <v>42</v>
      </c>
      <c r="G702" s="3">
        <v>0</v>
      </c>
      <c r="I702" t="str">
        <f t="shared" si="30"/>
        <v>35-44</v>
      </c>
      <c r="J702" t="str">
        <f t="shared" si="31"/>
        <v>Recently promoted</v>
      </c>
      <c r="K702">
        <f t="shared" si="32"/>
        <v>0</v>
      </c>
    </row>
    <row r="703" spans="1:11" x14ac:dyDescent="0.25">
      <c r="A703" s="5">
        <v>1651</v>
      </c>
      <c r="B703" s="3">
        <v>36</v>
      </c>
      <c r="C703" t="s">
        <v>43</v>
      </c>
      <c r="D703" t="s">
        <v>35</v>
      </c>
      <c r="E703" t="s">
        <v>61</v>
      </c>
      <c r="F703" t="s">
        <v>53</v>
      </c>
      <c r="G703" s="3">
        <v>0</v>
      </c>
      <c r="I703" t="str">
        <f t="shared" si="30"/>
        <v>35-44</v>
      </c>
      <c r="J703" t="str">
        <f t="shared" si="31"/>
        <v>Recently promoted</v>
      </c>
      <c r="K703">
        <f t="shared" si="32"/>
        <v>0</v>
      </c>
    </row>
    <row r="704" spans="1:11" x14ac:dyDescent="0.25">
      <c r="A704" s="5">
        <v>1415</v>
      </c>
      <c r="B704" s="3">
        <v>25</v>
      </c>
      <c r="C704" t="s">
        <v>43</v>
      </c>
      <c r="D704" t="s">
        <v>49</v>
      </c>
      <c r="E704" t="s">
        <v>61</v>
      </c>
      <c r="F704" t="s">
        <v>36</v>
      </c>
      <c r="G704" s="3">
        <v>0</v>
      </c>
      <c r="I704" t="str">
        <f t="shared" si="30"/>
        <v>25-34</v>
      </c>
      <c r="J704" t="str">
        <f t="shared" si="31"/>
        <v>Recently promoted</v>
      </c>
      <c r="K704">
        <f t="shared" si="32"/>
        <v>0</v>
      </c>
    </row>
    <row r="705" spans="1:11" x14ac:dyDescent="0.25">
      <c r="A705" s="5">
        <v>686</v>
      </c>
      <c r="B705" s="3">
        <v>26</v>
      </c>
      <c r="C705" t="s">
        <v>43</v>
      </c>
      <c r="D705" t="s">
        <v>49</v>
      </c>
      <c r="E705" t="s">
        <v>61</v>
      </c>
      <c r="F705" t="s">
        <v>36</v>
      </c>
      <c r="G705" s="3">
        <v>0</v>
      </c>
      <c r="I705" t="str">
        <f t="shared" si="30"/>
        <v>25-34</v>
      </c>
      <c r="J705" t="str">
        <f t="shared" si="31"/>
        <v>Recently promoted</v>
      </c>
      <c r="K705">
        <f t="shared" si="32"/>
        <v>0</v>
      </c>
    </row>
    <row r="706" spans="1:11" x14ac:dyDescent="0.25">
      <c r="A706" s="5">
        <v>338</v>
      </c>
      <c r="B706" s="3">
        <v>33</v>
      </c>
      <c r="C706" t="s">
        <v>43</v>
      </c>
      <c r="D706" t="s">
        <v>35</v>
      </c>
      <c r="E706" t="s">
        <v>61</v>
      </c>
      <c r="F706" t="s">
        <v>36</v>
      </c>
      <c r="G706" s="3">
        <v>0</v>
      </c>
      <c r="I706" t="str">
        <f t="shared" si="30"/>
        <v>25-34</v>
      </c>
      <c r="J706" t="str">
        <f t="shared" si="31"/>
        <v>Recently promoted</v>
      </c>
      <c r="K706">
        <f t="shared" si="32"/>
        <v>0</v>
      </c>
    </row>
    <row r="707" spans="1:11" x14ac:dyDescent="0.25">
      <c r="A707" s="5">
        <v>671</v>
      </c>
      <c r="B707" s="3">
        <v>44</v>
      </c>
      <c r="C707" t="s">
        <v>43</v>
      </c>
      <c r="D707" t="s">
        <v>35</v>
      </c>
      <c r="E707" t="s">
        <v>61</v>
      </c>
      <c r="F707" t="s">
        <v>36</v>
      </c>
      <c r="G707" s="3">
        <v>0</v>
      </c>
      <c r="I707" t="str">
        <f t="shared" ref="I707:I770" si="33">IF(B707&lt;=24, "18-24", IF(B707&lt;=34,"25-34", IF(B707&lt;=44,"35-44", IF(B707&lt;=54,"45-54", IF(B707&lt;=60, "55-60")))))</f>
        <v>35-44</v>
      </c>
      <c r="J707" t="str">
        <f t="shared" ref="J707:J770" si="34">IF(G707&lt;=0,"Recently promoted",IF(G707&lt;=3,"Promoted in 1-3 years","Long Promotion gap"))</f>
        <v>Recently promoted</v>
      </c>
      <c r="K707">
        <f t="shared" ref="K707:K770" si="35">IF(C707="Yes", 1, 0)</f>
        <v>0</v>
      </c>
    </row>
    <row r="708" spans="1:11" x14ac:dyDescent="0.25">
      <c r="A708" s="5">
        <v>784</v>
      </c>
      <c r="B708" s="3">
        <v>23</v>
      </c>
      <c r="C708" t="s">
        <v>43</v>
      </c>
      <c r="D708" t="s">
        <v>64</v>
      </c>
      <c r="E708" t="s">
        <v>41</v>
      </c>
      <c r="F708" t="s">
        <v>42</v>
      </c>
      <c r="G708" s="3">
        <v>0</v>
      </c>
      <c r="I708" t="str">
        <f t="shared" si="33"/>
        <v>18-24</v>
      </c>
      <c r="J708" t="str">
        <f t="shared" si="34"/>
        <v>Recently promoted</v>
      </c>
      <c r="K708">
        <f t="shared" si="35"/>
        <v>0</v>
      </c>
    </row>
    <row r="709" spans="1:11" x14ac:dyDescent="0.25">
      <c r="A709" s="5">
        <v>665</v>
      </c>
      <c r="B709" s="3">
        <v>44</v>
      </c>
      <c r="C709" t="s">
        <v>43</v>
      </c>
      <c r="D709" t="s">
        <v>35</v>
      </c>
      <c r="E709" t="s">
        <v>41</v>
      </c>
      <c r="F709" t="s">
        <v>42</v>
      </c>
      <c r="G709" s="3">
        <v>0</v>
      </c>
      <c r="I709" t="str">
        <f t="shared" si="33"/>
        <v>35-44</v>
      </c>
      <c r="J709" t="str">
        <f t="shared" si="34"/>
        <v>Recently promoted</v>
      </c>
      <c r="K709">
        <f t="shared" si="35"/>
        <v>0</v>
      </c>
    </row>
    <row r="710" spans="1:11" x14ac:dyDescent="0.25">
      <c r="A710" s="5">
        <v>143</v>
      </c>
      <c r="B710" s="3">
        <v>25</v>
      </c>
      <c r="C710" t="s">
        <v>43</v>
      </c>
      <c r="D710" t="s">
        <v>64</v>
      </c>
      <c r="E710" t="s">
        <v>61</v>
      </c>
      <c r="F710" t="s">
        <v>53</v>
      </c>
      <c r="G710" s="3">
        <v>0</v>
      </c>
      <c r="I710" t="str">
        <f t="shared" si="33"/>
        <v>25-34</v>
      </c>
      <c r="J710" t="str">
        <f t="shared" si="34"/>
        <v>Recently promoted</v>
      </c>
      <c r="K710">
        <f t="shared" si="35"/>
        <v>0</v>
      </c>
    </row>
    <row r="711" spans="1:11" x14ac:dyDescent="0.25">
      <c r="A711" s="5">
        <v>1680</v>
      </c>
      <c r="B711" s="3">
        <v>20</v>
      </c>
      <c r="C711" t="s">
        <v>43</v>
      </c>
      <c r="D711" t="s">
        <v>64</v>
      </c>
      <c r="E711" t="s">
        <v>41</v>
      </c>
      <c r="F711" t="s">
        <v>42</v>
      </c>
      <c r="G711" s="3">
        <v>0</v>
      </c>
      <c r="I711" t="str">
        <f t="shared" si="33"/>
        <v>18-24</v>
      </c>
      <c r="J711" t="str">
        <f t="shared" si="34"/>
        <v>Recently promoted</v>
      </c>
      <c r="K711">
        <f t="shared" si="35"/>
        <v>0</v>
      </c>
    </row>
    <row r="712" spans="1:11" x14ac:dyDescent="0.25">
      <c r="A712" s="5">
        <v>1269</v>
      </c>
      <c r="B712" s="3">
        <v>19</v>
      </c>
      <c r="C712" t="s">
        <v>43</v>
      </c>
      <c r="D712" t="s">
        <v>49</v>
      </c>
      <c r="E712" t="s">
        <v>41</v>
      </c>
      <c r="F712" t="s">
        <v>42</v>
      </c>
      <c r="G712" s="3">
        <v>0</v>
      </c>
      <c r="I712" t="str">
        <f t="shared" si="33"/>
        <v>18-24</v>
      </c>
      <c r="J712" t="str">
        <f t="shared" si="34"/>
        <v>Recently promoted</v>
      </c>
      <c r="K712">
        <f t="shared" si="35"/>
        <v>0</v>
      </c>
    </row>
    <row r="713" spans="1:11" x14ac:dyDescent="0.25">
      <c r="A713" s="5">
        <v>1601</v>
      </c>
      <c r="B713" s="3">
        <v>35</v>
      </c>
      <c r="C713" t="s">
        <v>43</v>
      </c>
      <c r="D713" t="s">
        <v>67</v>
      </c>
      <c r="E713" t="s">
        <v>61</v>
      </c>
      <c r="F713" t="s">
        <v>36</v>
      </c>
      <c r="G713" s="3">
        <v>0</v>
      </c>
      <c r="I713" t="str">
        <f t="shared" si="33"/>
        <v>35-44</v>
      </c>
      <c r="J713" t="str">
        <f t="shared" si="34"/>
        <v>Recently promoted</v>
      </c>
      <c r="K713">
        <f t="shared" si="35"/>
        <v>0</v>
      </c>
    </row>
    <row r="714" spans="1:11" x14ac:dyDescent="0.25">
      <c r="A714" s="5">
        <v>776</v>
      </c>
      <c r="B714" s="3">
        <v>52</v>
      </c>
      <c r="C714" t="s">
        <v>43</v>
      </c>
      <c r="D714" t="s">
        <v>35</v>
      </c>
      <c r="E714" t="s">
        <v>61</v>
      </c>
      <c r="F714" t="s">
        <v>42</v>
      </c>
      <c r="G714" s="3">
        <v>1</v>
      </c>
      <c r="I714" t="str">
        <f t="shared" si="33"/>
        <v>45-54</v>
      </c>
      <c r="J714" t="str">
        <f t="shared" si="34"/>
        <v>Promoted in 1-3 years</v>
      </c>
      <c r="K714">
        <f t="shared" si="35"/>
        <v>0</v>
      </c>
    </row>
    <row r="715" spans="1:11" x14ac:dyDescent="0.25">
      <c r="A715" s="5">
        <v>1402</v>
      </c>
      <c r="B715" s="3">
        <v>43</v>
      </c>
      <c r="C715" t="s">
        <v>43</v>
      </c>
      <c r="D715" t="s">
        <v>49</v>
      </c>
      <c r="E715" t="s">
        <v>41</v>
      </c>
      <c r="F715" t="s">
        <v>42</v>
      </c>
      <c r="G715" s="3">
        <v>1</v>
      </c>
      <c r="I715" t="str">
        <f t="shared" si="33"/>
        <v>35-44</v>
      </c>
      <c r="J715" t="str">
        <f t="shared" si="34"/>
        <v>Promoted in 1-3 years</v>
      </c>
      <c r="K715">
        <f t="shared" si="35"/>
        <v>0</v>
      </c>
    </row>
    <row r="716" spans="1:11" x14ac:dyDescent="0.25">
      <c r="A716" s="5">
        <v>729</v>
      </c>
      <c r="B716" s="3">
        <v>40</v>
      </c>
      <c r="C716" t="s">
        <v>43</v>
      </c>
      <c r="D716" t="s">
        <v>35</v>
      </c>
      <c r="E716" t="s">
        <v>61</v>
      </c>
      <c r="F716" t="s">
        <v>36</v>
      </c>
      <c r="G716" s="3">
        <v>1</v>
      </c>
      <c r="I716" t="str">
        <f t="shared" si="33"/>
        <v>35-44</v>
      </c>
      <c r="J716" t="str">
        <f t="shared" si="34"/>
        <v>Promoted in 1-3 years</v>
      </c>
      <c r="K716">
        <f t="shared" si="35"/>
        <v>0</v>
      </c>
    </row>
    <row r="717" spans="1:11" x14ac:dyDescent="0.25">
      <c r="A717" s="5">
        <v>327</v>
      </c>
      <c r="B717" s="3">
        <v>43</v>
      </c>
      <c r="C717" t="s">
        <v>43</v>
      </c>
      <c r="D717" t="s">
        <v>49</v>
      </c>
      <c r="E717" t="s">
        <v>61</v>
      </c>
      <c r="F717" t="s">
        <v>36</v>
      </c>
      <c r="G717" s="3">
        <v>1</v>
      </c>
      <c r="I717" t="str">
        <f t="shared" si="33"/>
        <v>35-44</v>
      </c>
      <c r="J717" t="str">
        <f t="shared" si="34"/>
        <v>Promoted in 1-3 years</v>
      </c>
      <c r="K717">
        <f t="shared" si="35"/>
        <v>0</v>
      </c>
    </row>
    <row r="718" spans="1:11" x14ac:dyDescent="0.25">
      <c r="A718" s="5">
        <v>1621</v>
      </c>
      <c r="B718" s="3">
        <v>35</v>
      </c>
      <c r="C718" t="s">
        <v>43</v>
      </c>
      <c r="D718" t="s">
        <v>70</v>
      </c>
      <c r="E718" t="s">
        <v>61</v>
      </c>
      <c r="F718" t="s">
        <v>42</v>
      </c>
      <c r="G718" s="3">
        <v>1</v>
      </c>
      <c r="I718" t="str">
        <f t="shared" si="33"/>
        <v>35-44</v>
      </c>
      <c r="J718" t="str">
        <f t="shared" si="34"/>
        <v>Promoted in 1-3 years</v>
      </c>
      <c r="K718">
        <f t="shared" si="35"/>
        <v>0</v>
      </c>
    </row>
    <row r="719" spans="1:11" x14ac:dyDescent="0.25">
      <c r="A719" s="5">
        <v>1080</v>
      </c>
      <c r="B719" s="3">
        <v>46</v>
      </c>
      <c r="C719" t="s">
        <v>43</v>
      </c>
      <c r="D719" t="s">
        <v>35</v>
      </c>
      <c r="E719" t="s">
        <v>52</v>
      </c>
      <c r="F719" t="s">
        <v>50</v>
      </c>
      <c r="G719" s="3">
        <v>1</v>
      </c>
      <c r="I719" t="str">
        <f t="shared" si="33"/>
        <v>45-54</v>
      </c>
      <c r="J719" t="str">
        <f t="shared" si="34"/>
        <v>Promoted in 1-3 years</v>
      </c>
      <c r="K719">
        <f t="shared" si="35"/>
        <v>0</v>
      </c>
    </row>
    <row r="720" spans="1:11" x14ac:dyDescent="0.25">
      <c r="A720" s="5">
        <v>1520</v>
      </c>
      <c r="B720" s="3">
        <v>54</v>
      </c>
      <c r="C720" t="s">
        <v>43</v>
      </c>
      <c r="D720" t="s">
        <v>35</v>
      </c>
      <c r="E720" t="s">
        <v>52</v>
      </c>
      <c r="F720" t="s">
        <v>36</v>
      </c>
      <c r="G720" s="3">
        <v>1</v>
      </c>
      <c r="I720" t="str">
        <f t="shared" si="33"/>
        <v>45-54</v>
      </c>
      <c r="J720" t="str">
        <f t="shared" si="34"/>
        <v>Promoted in 1-3 years</v>
      </c>
      <c r="K720">
        <f t="shared" si="35"/>
        <v>0</v>
      </c>
    </row>
    <row r="721" spans="1:11" x14ac:dyDescent="0.25">
      <c r="A721" s="5">
        <v>107</v>
      </c>
      <c r="B721" s="3">
        <v>38</v>
      </c>
      <c r="C721" t="s">
        <v>43</v>
      </c>
      <c r="D721" t="s">
        <v>49</v>
      </c>
      <c r="E721" t="s">
        <v>52</v>
      </c>
      <c r="F721" t="s">
        <v>50</v>
      </c>
      <c r="G721" s="3">
        <v>1</v>
      </c>
      <c r="I721" t="str">
        <f t="shared" si="33"/>
        <v>35-44</v>
      </c>
      <c r="J721" t="str">
        <f t="shared" si="34"/>
        <v>Promoted in 1-3 years</v>
      </c>
      <c r="K721">
        <f t="shared" si="35"/>
        <v>0</v>
      </c>
    </row>
    <row r="722" spans="1:11" x14ac:dyDescent="0.25">
      <c r="A722" s="5">
        <v>2026</v>
      </c>
      <c r="B722" s="3">
        <v>56</v>
      </c>
      <c r="C722" t="s">
        <v>43</v>
      </c>
      <c r="D722" t="s">
        <v>35</v>
      </c>
      <c r="E722" t="s">
        <v>52</v>
      </c>
      <c r="F722" t="s">
        <v>36</v>
      </c>
      <c r="G722" s="3">
        <v>1</v>
      </c>
      <c r="I722" t="str">
        <f t="shared" si="33"/>
        <v>55-60</v>
      </c>
      <c r="J722" t="str">
        <f t="shared" si="34"/>
        <v>Promoted in 1-3 years</v>
      </c>
      <c r="K722">
        <f t="shared" si="35"/>
        <v>0</v>
      </c>
    </row>
    <row r="723" spans="1:11" x14ac:dyDescent="0.25">
      <c r="A723" s="5">
        <v>1233</v>
      </c>
      <c r="B723" s="3">
        <v>60</v>
      </c>
      <c r="C723" t="s">
        <v>43</v>
      </c>
      <c r="D723" t="s">
        <v>35</v>
      </c>
      <c r="E723" t="s">
        <v>52</v>
      </c>
      <c r="F723" t="s">
        <v>36</v>
      </c>
      <c r="G723" s="3">
        <v>1</v>
      </c>
      <c r="I723" t="str">
        <f t="shared" si="33"/>
        <v>55-60</v>
      </c>
      <c r="J723" t="str">
        <f t="shared" si="34"/>
        <v>Promoted in 1-3 years</v>
      </c>
      <c r="K723">
        <f t="shared" si="35"/>
        <v>0</v>
      </c>
    </row>
    <row r="724" spans="1:11" x14ac:dyDescent="0.25">
      <c r="A724" s="5">
        <v>98</v>
      </c>
      <c r="B724" s="3">
        <v>31</v>
      </c>
      <c r="C724" t="s">
        <v>43</v>
      </c>
      <c r="D724" t="s">
        <v>35</v>
      </c>
      <c r="E724" t="s">
        <v>41</v>
      </c>
      <c r="F724" t="s">
        <v>42</v>
      </c>
      <c r="G724" s="3">
        <v>1</v>
      </c>
      <c r="I724" t="str">
        <f t="shared" si="33"/>
        <v>25-34</v>
      </c>
      <c r="J724" t="str">
        <f t="shared" si="34"/>
        <v>Promoted in 1-3 years</v>
      </c>
      <c r="K724">
        <f t="shared" si="35"/>
        <v>0</v>
      </c>
    </row>
    <row r="725" spans="1:11" x14ac:dyDescent="0.25">
      <c r="A725" s="5">
        <v>120</v>
      </c>
      <c r="B725" s="3">
        <v>51</v>
      </c>
      <c r="C725" t="s">
        <v>43</v>
      </c>
      <c r="D725" t="s">
        <v>35</v>
      </c>
      <c r="E725" t="s">
        <v>41</v>
      </c>
      <c r="F725" t="s">
        <v>42</v>
      </c>
      <c r="G725" s="3">
        <v>1</v>
      </c>
      <c r="I725" t="str">
        <f t="shared" si="33"/>
        <v>45-54</v>
      </c>
      <c r="J725" t="str">
        <f t="shared" si="34"/>
        <v>Promoted in 1-3 years</v>
      </c>
      <c r="K725">
        <f t="shared" si="35"/>
        <v>0</v>
      </c>
    </row>
    <row r="726" spans="1:11" x14ac:dyDescent="0.25">
      <c r="A726" s="5">
        <v>1252</v>
      </c>
      <c r="B726" s="3">
        <v>31</v>
      </c>
      <c r="C726" t="s">
        <v>43</v>
      </c>
      <c r="D726" t="s">
        <v>49</v>
      </c>
      <c r="E726" t="s">
        <v>41</v>
      </c>
      <c r="F726" t="s">
        <v>42</v>
      </c>
      <c r="G726" s="3">
        <v>1</v>
      </c>
      <c r="I726" t="str">
        <f t="shared" si="33"/>
        <v>25-34</v>
      </c>
      <c r="J726" t="str">
        <f t="shared" si="34"/>
        <v>Promoted in 1-3 years</v>
      </c>
      <c r="K726">
        <f t="shared" si="35"/>
        <v>0</v>
      </c>
    </row>
    <row r="727" spans="1:11" x14ac:dyDescent="0.25">
      <c r="A727" s="5">
        <v>2</v>
      </c>
      <c r="B727" s="3">
        <v>49</v>
      </c>
      <c r="C727" t="s">
        <v>43</v>
      </c>
      <c r="D727" t="s">
        <v>64</v>
      </c>
      <c r="E727" t="s">
        <v>61</v>
      </c>
      <c r="F727" t="s">
        <v>36</v>
      </c>
      <c r="G727" s="3">
        <v>1</v>
      </c>
      <c r="I727" t="str">
        <f t="shared" si="33"/>
        <v>45-54</v>
      </c>
      <c r="J727" t="str">
        <f t="shared" si="34"/>
        <v>Promoted in 1-3 years</v>
      </c>
      <c r="K727">
        <f t="shared" si="35"/>
        <v>0</v>
      </c>
    </row>
    <row r="728" spans="1:11" x14ac:dyDescent="0.25">
      <c r="A728" s="5">
        <v>12</v>
      </c>
      <c r="B728" s="3">
        <v>38</v>
      </c>
      <c r="C728" t="s">
        <v>43</v>
      </c>
      <c r="D728" t="s">
        <v>49</v>
      </c>
      <c r="E728" t="s">
        <v>41</v>
      </c>
      <c r="F728" t="s">
        <v>42</v>
      </c>
      <c r="G728" s="3">
        <v>1</v>
      </c>
      <c r="I728" t="str">
        <f t="shared" si="33"/>
        <v>35-44</v>
      </c>
      <c r="J728" t="str">
        <f t="shared" si="34"/>
        <v>Promoted in 1-3 years</v>
      </c>
      <c r="K728">
        <f t="shared" si="35"/>
        <v>0</v>
      </c>
    </row>
    <row r="729" spans="1:11" x14ac:dyDescent="0.25">
      <c r="A729" s="5">
        <v>1423</v>
      </c>
      <c r="B729" s="3">
        <v>58</v>
      </c>
      <c r="C729" t="s">
        <v>43</v>
      </c>
      <c r="D729" t="s">
        <v>49</v>
      </c>
      <c r="E729" t="s">
        <v>61</v>
      </c>
      <c r="F729" t="s">
        <v>36</v>
      </c>
      <c r="G729" s="3">
        <v>1</v>
      </c>
      <c r="I729" t="str">
        <f t="shared" si="33"/>
        <v>55-60</v>
      </c>
      <c r="J729" t="str">
        <f t="shared" si="34"/>
        <v>Promoted in 1-3 years</v>
      </c>
      <c r="K729">
        <f t="shared" si="35"/>
        <v>0</v>
      </c>
    </row>
    <row r="730" spans="1:11" x14ac:dyDescent="0.25">
      <c r="A730" s="5">
        <v>724</v>
      </c>
      <c r="B730" s="3">
        <v>38</v>
      </c>
      <c r="C730" t="s">
        <v>43</v>
      </c>
      <c r="D730" t="s">
        <v>35</v>
      </c>
      <c r="E730" t="s">
        <v>41</v>
      </c>
      <c r="F730" t="s">
        <v>42</v>
      </c>
      <c r="G730" s="3">
        <v>1</v>
      </c>
      <c r="I730" t="str">
        <f t="shared" si="33"/>
        <v>35-44</v>
      </c>
      <c r="J730" t="str">
        <f t="shared" si="34"/>
        <v>Promoted in 1-3 years</v>
      </c>
      <c r="K730">
        <f t="shared" si="35"/>
        <v>0</v>
      </c>
    </row>
    <row r="731" spans="1:11" x14ac:dyDescent="0.25">
      <c r="A731" s="5">
        <v>733</v>
      </c>
      <c r="B731" s="3">
        <v>27</v>
      </c>
      <c r="C731" t="s">
        <v>43</v>
      </c>
      <c r="D731" t="s">
        <v>67</v>
      </c>
      <c r="E731" t="s">
        <v>52</v>
      </c>
      <c r="F731" t="s">
        <v>53</v>
      </c>
      <c r="G731" s="3">
        <v>1</v>
      </c>
      <c r="I731" t="str">
        <f t="shared" si="33"/>
        <v>25-34</v>
      </c>
      <c r="J731" t="str">
        <f t="shared" si="34"/>
        <v>Promoted in 1-3 years</v>
      </c>
      <c r="K731">
        <f t="shared" si="35"/>
        <v>0</v>
      </c>
    </row>
    <row r="732" spans="1:11" x14ac:dyDescent="0.25">
      <c r="A732" s="5">
        <v>74</v>
      </c>
      <c r="B732" s="3">
        <v>35</v>
      </c>
      <c r="C732" t="s">
        <v>43</v>
      </c>
      <c r="D732" t="s">
        <v>70</v>
      </c>
      <c r="E732" t="s">
        <v>61</v>
      </c>
      <c r="F732" t="s">
        <v>36</v>
      </c>
      <c r="G732" s="3">
        <v>1</v>
      </c>
      <c r="I732" t="str">
        <f t="shared" si="33"/>
        <v>35-44</v>
      </c>
      <c r="J732" t="str">
        <f t="shared" si="34"/>
        <v>Promoted in 1-3 years</v>
      </c>
      <c r="K732">
        <f t="shared" si="35"/>
        <v>0</v>
      </c>
    </row>
    <row r="733" spans="1:11" x14ac:dyDescent="0.25">
      <c r="A733" s="5">
        <v>227</v>
      </c>
      <c r="B733" s="3">
        <v>41</v>
      </c>
      <c r="C733" t="s">
        <v>43</v>
      </c>
      <c r="D733" t="s">
        <v>49</v>
      </c>
      <c r="E733" t="s">
        <v>52</v>
      </c>
      <c r="F733" t="s">
        <v>36</v>
      </c>
      <c r="G733" s="3">
        <v>1</v>
      </c>
      <c r="I733" t="str">
        <f t="shared" si="33"/>
        <v>35-44</v>
      </c>
      <c r="J733" t="str">
        <f t="shared" si="34"/>
        <v>Promoted in 1-3 years</v>
      </c>
      <c r="K733">
        <f t="shared" si="35"/>
        <v>0</v>
      </c>
    </row>
    <row r="734" spans="1:11" x14ac:dyDescent="0.25">
      <c r="A734" s="5">
        <v>1349</v>
      </c>
      <c r="B734" s="3">
        <v>41</v>
      </c>
      <c r="C734" t="s">
        <v>43</v>
      </c>
      <c r="D734" t="s">
        <v>49</v>
      </c>
      <c r="E734" t="s">
        <v>52</v>
      </c>
      <c r="F734" t="s">
        <v>36</v>
      </c>
      <c r="G734" s="3">
        <v>1</v>
      </c>
      <c r="I734" t="str">
        <f t="shared" si="33"/>
        <v>35-44</v>
      </c>
      <c r="J734" t="str">
        <f t="shared" si="34"/>
        <v>Promoted in 1-3 years</v>
      </c>
      <c r="K734">
        <f t="shared" si="35"/>
        <v>0</v>
      </c>
    </row>
    <row r="735" spans="1:11" x14ac:dyDescent="0.25">
      <c r="A735" s="5">
        <v>252</v>
      </c>
      <c r="B735" s="3">
        <v>33</v>
      </c>
      <c r="C735" t="s">
        <v>43</v>
      </c>
      <c r="D735" t="s">
        <v>49</v>
      </c>
      <c r="E735" t="s">
        <v>61</v>
      </c>
      <c r="F735" t="s">
        <v>36</v>
      </c>
      <c r="G735" s="3">
        <v>1</v>
      </c>
      <c r="I735" t="str">
        <f t="shared" si="33"/>
        <v>25-34</v>
      </c>
      <c r="J735" t="str">
        <f t="shared" si="34"/>
        <v>Promoted in 1-3 years</v>
      </c>
      <c r="K735">
        <f t="shared" si="35"/>
        <v>0</v>
      </c>
    </row>
    <row r="736" spans="1:11" x14ac:dyDescent="0.25">
      <c r="A736" s="5">
        <v>2035</v>
      </c>
      <c r="B736" s="3">
        <v>34</v>
      </c>
      <c r="C736" t="s">
        <v>43</v>
      </c>
      <c r="D736" t="s">
        <v>49</v>
      </c>
      <c r="E736" t="s">
        <v>61</v>
      </c>
      <c r="F736" t="s">
        <v>53</v>
      </c>
      <c r="G736" s="3">
        <v>1</v>
      </c>
      <c r="I736" t="str">
        <f t="shared" si="33"/>
        <v>25-34</v>
      </c>
      <c r="J736" t="str">
        <f t="shared" si="34"/>
        <v>Promoted in 1-3 years</v>
      </c>
      <c r="K736">
        <f t="shared" si="35"/>
        <v>0</v>
      </c>
    </row>
    <row r="737" spans="1:11" x14ac:dyDescent="0.25">
      <c r="A737" s="5">
        <v>845</v>
      </c>
      <c r="B737" s="3">
        <v>35</v>
      </c>
      <c r="C737" t="s">
        <v>43</v>
      </c>
      <c r="D737" t="s">
        <v>49</v>
      </c>
      <c r="E737" t="s">
        <v>41</v>
      </c>
      <c r="F737" t="s">
        <v>42</v>
      </c>
      <c r="G737" s="3">
        <v>1</v>
      </c>
      <c r="I737" t="str">
        <f t="shared" si="33"/>
        <v>35-44</v>
      </c>
      <c r="J737" t="str">
        <f t="shared" si="34"/>
        <v>Promoted in 1-3 years</v>
      </c>
      <c r="K737">
        <f t="shared" si="35"/>
        <v>0</v>
      </c>
    </row>
    <row r="738" spans="1:11" x14ac:dyDescent="0.25">
      <c r="A738" s="5">
        <v>1298</v>
      </c>
      <c r="B738" s="3">
        <v>30</v>
      </c>
      <c r="C738" t="s">
        <v>43</v>
      </c>
      <c r="D738" t="s">
        <v>67</v>
      </c>
      <c r="E738" t="s">
        <v>41</v>
      </c>
      <c r="F738" t="s">
        <v>42</v>
      </c>
      <c r="G738" s="3">
        <v>1</v>
      </c>
      <c r="I738" t="str">
        <f t="shared" si="33"/>
        <v>25-34</v>
      </c>
      <c r="J738" t="str">
        <f t="shared" si="34"/>
        <v>Promoted in 1-3 years</v>
      </c>
      <c r="K738">
        <f t="shared" si="35"/>
        <v>0</v>
      </c>
    </row>
    <row r="739" spans="1:11" x14ac:dyDescent="0.25">
      <c r="A739" s="5">
        <v>76</v>
      </c>
      <c r="B739" s="3">
        <v>31</v>
      </c>
      <c r="C739" t="s">
        <v>43</v>
      </c>
      <c r="D739" t="s">
        <v>35</v>
      </c>
      <c r="E739" t="s">
        <v>52</v>
      </c>
      <c r="F739" t="s">
        <v>36</v>
      </c>
      <c r="G739" s="3">
        <v>1</v>
      </c>
      <c r="I739" t="str">
        <f t="shared" si="33"/>
        <v>25-34</v>
      </c>
      <c r="J739" t="str">
        <f t="shared" si="34"/>
        <v>Promoted in 1-3 years</v>
      </c>
      <c r="K739">
        <f t="shared" si="35"/>
        <v>0</v>
      </c>
    </row>
    <row r="740" spans="1:11" x14ac:dyDescent="0.25">
      <c r="A740" s="5">
        <v>1120</v>
      </c>
      <c r="B740" s="3">
        <v>29</v>
      </c>
      <c r="C740" t="s">
        <v>43</v>
      </c>
      <c r="D740" t="s">
        <v>35</v>
      </c>
      <c r="E740" t="s">
        <v>52</v>
      </c>
      <c r="F740" t="s">
        <v>36</v>
      </c>
      <c r="G740" s="3">
        <v>1</v>
      </c>
      <c r="I740" t="str">
        <f t="shared" si="33"/>
        <v>25-34</v>
      </c>
      <c r="J740" t="str">
        <f t="shared" si="34"/>
        <v>Promoted in 1-3 years</v>
      </c>
      <c r="K740">
        <f t="shared" si="35"/>
        <v>0</v>
      </c>
    </row>
    <row r="741" spans="1:11" x14ac:dyDescent="0.25">
      <c r="A741" s="5">
        <v>1355</v>
      </c>
      <c r="B741" s="3">
        <v>38</v>
      </c>
      <c r="C741" t="s">
        <v>43</v>
      </c>
      <c r="D741" t="s">
        <v>67</v>
      </c>
      <c r="E741" t="s">
        <v>52</v>
      </c>
      <c r="F741" t="s">
        <v>36</v>
      </c>
      <c r="G741" s="3">
        <v>1</v>
      </c>
      <c r="I741" t="str">
        <f t="shared" si="33"/>
        <v>35-44</v>
      </c>
      <c r="J741" t="str">
        <f t="shared" si="34"/>
        <v>Promoted in 1-3 years</v>
      </c>
      <c r="K741">
        <f t="shared" si="35"/>
        <v>0</v>
      </c>
    </row>
    <row r="742" spans="1:11" x14ac:dyDescent="0.25">
      <c r="A742" s="5">
        <v>384</v>
      </c>
      <c r="B742" s="3">
        <v>26</v>
      </c>
      <c r="C742" t="s">
        <v>43</v>
      </c>
      <c r="D742" t="s">
        <v>49</v>
      </c>
      <c r="E742" t="s">
        <v>52</v>
      </c>
      <c r="F742" t="s">
        <v>36</v>
      </c>
      <c r="G742" s="3">
        <v>1</v>
      </c>
      <c r="I742" t="str">
        <f t="shared" si="33"/>
        <v>25-34</v>
      </c>
      <c r="J742" t="str">
        <f t="shared" si="34"/>
        <v>Promoted in 1-3 years</v>
      </c>
      <c r="K742">
        <f t="shared" si="35"/>
        <v>0</v>
      </c>
    </row>
    <row r="743" spans="1:11" x14ac:dyDescent="0.25">
      <c r="A743" s="5">
        <v>1681</v>
      </c>
      <c r="B743" s="3">
        <v>33</v>
      </c>
      <c r="C743" t="s">
        <v>43</v>
      </c>
      <c r="D743" t="s">
        <v>49</v>
      </c>
      <c r="E743" t="s">
        <v>52</v>
      </c>
      <c r="F743" t="s">
        <v>36</v>
      </c>
      <c r="G743" s="3">
        <v>1</v>
      </c>
      <c r="I743" t="str">
        <f t="shared" si="33"/>
        <v>25-34</v>
      </c>
      <c r="J743" t="str">
        <f t="shared" si="34"/>
        <v>Promoted in 1-3 years</v>
      </c>
      <c r="K743">
        <f t="shared" si="35"/>
        <v>0</v>
      </c>
    </row>
    <row r="744" spans="1:11" x14ac:dyDescent="0.25">
      <c r="A744" s="5">
        <v>786</v>
      </c>
      <c r="B744" s="3">
        <v>34</v>
      </c>
      <c r="C744" t="s">
        <v>43</v>
      </c>
      <c r="D744" t="s">
        <v>49</v>
      </c>
      <c r="E744" t="s">
        <v>41</v>
      </c>
      <c r="F744" t="s">
        <v>42</v>
      </c>
      <c r="G744" s="3">
        <v>1</v>
      </c>
      <c r="I744" t="str">
        <f t="shared" si="33"/>
        <v>25-34</v>
      </c>
      <c r="J744" t="str">
        <f t="shared" si="34"/>
        <v>Promoted in 1-3 years</v>
      </c>
      <c r="K744">
        <f t="shared" si="35"/>
        <v>0</v>
      </c>
    </row>
    <row r="745" spans="1:11" x14ac:dyDescent="0.25">
      <c r="A745" s="5">
        <v>804</v>
      </c>
      <c r="B745" s="3">
        <v>34</v>
      </c>
      <c r="C745" t="s">
        <v>43</v>
      </c>
      <c r="D745" t="s">
        <v>35</v>
      </c>
      <c r="E745" t="s">
        <v>41</v>
      </c>
      <c r="F745" t="s">
        <v>42</v>
      </c>
      <c r="G745" s="3">
        <v>1</v>
      </c>
      <c r="I745" t="str">
        <f t="shared" si="33"/>
        <v>25-34</v>
      </c>
      <c r="J745" t="str">
        <f t="shared" si="34"/>
        <v>Promoted in 1-3 years</v>
      </c>
      <c r="K745">
        <f t="shared" si="35"/>
        <v>0</v>
      </c>
    </row>
    <row r="746" spans="1:11" x14ac:dyDescent="0.25">
      <c r="A746" s="5">
        <v>1228</v>
      </c>
      <c r="B746" s="3">
        <v>46</v>
      </c>
      <c r="C746" t="s">
        <v>43</v>
      </c>
      <c r="D746" t="s">
        <v>35</v>
      </c>
      <c r="E746" t="s">
        <v>52</v>
      </c>
      <c r="F746" t="s">
        <v>36</v>
      </c>
      <c r="G746" s="3">
        <v>1</v>
      </c>
      <c r="I746" t="str">
        <f t="shared" si="33"/>
        <v>45-54</v>
      </c>
      <c r="J746" t="str">
        <f t="shared" si="34"/>
        <v>Promoted in 1-3 years</v>
      </c>
      <c r="K746">
        <f t="shared" si="35"/>
        <v>0</v>
      </c>
    </row>
    <row r="747" spans="1:11" x14ac:dyDescent="0.25">
      <c r="A747" s="5">
        <v>1574</v>
      </c>
      <c r="B747" s="3">
        <v>32</v>
      </c>
      <c r="C747" t="s">
        <v>43</v>
      </c>
      <c r="D747" t="s">
        <v>35</v>
      </c>
      <c r="E747" t="s">
        <v>61</v>
      </c>
      <c r="F747" t="s">
        <v>36</v>
      </c>
      <c r="G747" s="3">
        <v>1</v>
      </c>
      <c r="I747" t="str">
        <f t="shared" si="33"/>
        <v>25-34</v>
      </c>
      <c r="J747" t="str">
        <f t="shared" si="34"/>
        <v>Promoted in 1-3 years</v>
      </c>
      <c r="K747">
        <f t="shared" si="35"/>
        <v>0</v>
      </c>
    </row>
    <row r="748" spans="1:11" x14ac:dyDescent="0.25">
      <c r="A748" s="5">
        <v>1394</v>
      </c>
      <c r="B748" s="3">
        <v>37</v>
      </c>
      <c r="C748" t="s">
        <v>43</v>
      </c>
      <c r="D748" t="s">
        <v>64</v>
      </c>
      <c r="E748" t="s">
        <v>61</v>
      </c>
      <c r="F748" t="s">
        <v>42</v>
      </c>
      <c r="G748" s="3">
        <v>1</v>
      </c>
      <c r="I748" t="str">
        <f t="shared" si="33"/>
        <v>35-44</v>
      </c>
      <c r="J748" t="str">
        <f t="shared" si="34"/>
        <v>Promoted in 1-3 years</v>
      </c>
      <c r="K748">
        <f t="shared" si="35"/>
        <v>0</v>
      </c>
    </row>
    <row r="749" spans="1:11" x14ac:dyDescent="0.25">
      <c r="A749" s="5">
        <v>781</v>
      </c>
      <c r="B749" s="3">
        <v>25</v>
      </c>
      <c r="C749" t="s">
        <v>43</v>
      </c>
      <c r="D749" t="s">
        <v>64</v>
      </c>
      <c r="E749" t="s">
        <v>41</v>
      </c>
      <c r="F749" t="s">
        <v>42</v>
      </c>
      <c r="G749" s="3">
        <v>1</v>
      </c>
      <c r="I749" t="str">
        <f t="shared" si="33"/>
        <v>25-34</v>
      </c>
      <c r="J749" t="str">
        <f t="shared" si="34"/>
        <v>Promoted in 1-3 years</v>
      </c>
      <c r="K749">
        <f t="shared" si="35"/>
        <v>0</v>
      </c>
    </row>
    <row r="750" spans="1:11" x14ac:dyDescent="0.25">
      <c r="A750" s="5">
        <v>1163</v>
      </c>
      <c r="B750" s="3">
        <v>34</v>
      </c>
      <c r="C750" t="s">
        <v>43</v>
      </c>
      <c r="D750" t="s">
        <v>64</v>
      </c>
      <c r="E750" t="s">
        <v>61</v>
      </c>
      <c r="F750" t="s">
        <v>42</v>
      </c>
      <c r="G750" s="3">
        <v>1</v>
      </c>
      <c r="I750" t="str">
        <f t="shared" si="33"/>
        <v>25-34</v>
      </c>
      <c r="J750" t="str">
        <f t="shared" si="34"/>
        <v>Promoted in 1-3 years</v>
      </c>
      <c r="K750">
        <f t="shared" si="35"/>
        <v>0</v>
      </c>
    </row>
    <row r="751" spans="1:11" x14ac:dyDescent="0.25">
      <c r="A751" s="5">
        <v>813</v>
      </c>
      <c r="B751" s="3">
        <v>52</v>
      </c>
      <c r="C751" t="s">
        <v>43</v>
      </c>
      <c r="D751" t="s">
        <v>35</v>
      </c>
      <c r="E751" t="s">
        <v>61</v>
      </c>
      <c r="F751" t="s">
        <v>36</v>
      </c>
      <c r="G751" s="3">
        <v>1</v>
      </c>
      <c r="I751" t="str">
        <f t="shared" si="33"/>
        <v>45-54</v>
      </c>
      <c r="J751" t="str">
        <f t="shared" si="34"/>
        <v>Promoted in 1-3 years</v>
      </c>
      <c r="K751">
        <f t="shared" si="35"/>
        <v>0</v>
      </c>
    </row>
    <row r="752" spans="1:11" x14ac:dyDescent="0.25">
      <c r="A752" s="5">
        <v>1499</v>
      </c>
      <c r="B752" s="3">
        <v>30</v>
      </c>
      <c r="C752" t="s">
        <v>43</v>
      </c>
      <c r="D752" t="s">
        <v>49</v>
      </c>
      <c r="E752" t="s">
        <v>52</v>
      </c>
      <c r="F752" t="s">
        <v>36</v>
      </c>
      <c r="G752" s="3">
        <v>1</v>
      </c>
      <c r="I752" t="str">
        <f t="shared" si="33"/>
        <v>25-34</v>
      </c>
      <c r="J752" t="str">
        <f t="shared" si="34"/>
        <v>Promoted in 1-3 years</v>
      </c>
      <c r="K752">
        <f t="shared" si="35"/>
        <v>0</v>
      </c>
    </row>
    <row r="753" spans="1:11" x14ac:dyDescent="0.25">
      <c r="A753" s="5">
        <v>1909</v>
      </c>
      <c r="B753" s="3">
        <v>41</v>
      </c>
      <c r="C753" t="s">
        <v>43</v>
      </c>
      <c r="D753" t="s">
        <v>49</v>
      </c>
      <c r="E753" t="s">
        <v>61</v>
      </c>
      <c r="F753" t="s">
        <v>36</v>
      </c>
      <c r="G753" s="3">
        <v>1</v>
      </c>
      <c r="I753" t="str">
        <f t="shared" si="33"/>
        <v>35-44</v>
      </c>
      <c r="J753" t="str">
        <f t="shared" si="34"/>
        <v>Promoted in 1-3 years</v>
      </c>
      <c r="K753">
        <f t="shared" si="35"/>
        <v>0</v>
      </c>
    </row>
    <row r="754" spans="1:11" x14ac:dyDescent="0.25">
      <c r="A754" s="5">
        <v>231</v>
      </c>
      <c r="B754" s="3">
        <v>32</v>
      </c>
      <c r="C754" t="s">
        <v>43</v>
      </c>
      <c r="D754" t="s">
        <v>70</v>
      </c>
      <c r="E754" t="s">
        <v>41</v>
      </c>
      <c r="F754" t="s">
        <v>42</v>
      </c>
      <c r="G754" s="3">
        <v>1</v>
      </c>
      <c r="I754" t="str">
        <f t="shared" si="33"/>
        <v>25-34</v>
      </c>
      <c r="J754" t="str">
        <f t="shared" si="34"/>
        <v>Promoted in 1-3 years</v>
      </c>
      <c r="K754">
        <f t="shared" si="35"/>
        <v>0</v>
      </c>
    </row>
    <row r="755" spans="1:11" x14ac:dyDescent="0.25">
      <c r="A755" s="5">
        <v>150</v>
      </c>
      <c r="B755" s="3">
        <v>24</v>
      </c>
      <c r="C755" t="s">
        <v>43</v>
      </c>
      <c r="D755" t="s">
        <v>64</v>
      </c>
      <c r="E755" t="s">
        <v>61</v>
      </c>
      <c r="F755" t="s">
        <v>36</v>
      </c>
      <c r="G755" s="3">
        <v>1</v>
      </c>
      <c r="I755" t="str">
        <f t="shared" si="33"/>
        <v>18-24</v>
      </c>
      <c r="J755" t="str">
        <f t="shared" si="34"/>
        <v>Promoted in 1-3 years</v>
      </c>
      <c r="K755">
        <f t="shared" si="35"/>
        <v>0</v>
      </c>
    </row>
    <row r="756" spans="1:11" x14ac:dyDescent="0.25">
      <c r="A756" s="5">
        <v>1736</v>
      </c>
      <c r="B756" s="3">
        <v>31</v>
      </c>
      <c r="C756" t="s">
        <v>43</v>
      </c>
      <c r="D756" t="s">
        <v>64</v>
      </c>
      <c r="E756" t="s">
        <v>41</v>
      </c>
      <c r="F756" t="s">
        <v>42</v>
      </c>
      <c r="G756" s="3">
        <v>1</v>
      </c>
      <c r="I756" t="str">
        <f t="shared" si="33"/>
        <v>25-34</v>
      </c>
      <c r="J756" t="str">
        <f t="shared" si="34"/>
        <v>Promoted in 1-3 years</v>
      </c>
      <c r="K756">
        <f t="shared" si="35"/>
        <v>0</v>
      </c>
    </row>
    <row r="757" spans="1:11" x14ac:dyDescent="0.25">
      <c r="A757" s="5">
        <v>894</v>
      </c>
      <c r="B757" s="3">
        <v>42</v>
      </c>
      <c r="C757" t="s">
        <v>43</v>
      </c>
      <c r="D757" t="s">
        <v>49</v>
      </c>
      <c r="E757" t="s">
        <v>61</v>
      </c>
      <c r="F757" t="s">
        <v>36</v>
      </c>
      <c r="G757" s="3">
        <v>1</v>
      </c>
      <c r="I757" t="str">
        <f t="shared" si="33"/>
        <v>35-44</v>
      </c>
      <c r="J757" t="str">
        <f t="shared" si="34"/>
        <v>Promoted in 1-3 years</v>
      </c>
      <c r="K757">
        <f t="shared" si="35"/>
        <v>0</v>
      </c>
    </row>
    <row r="758" spans="1:11" x14ac:dyDescent="0.25">
      <c r="A758" s="5">
        <v>1999</v>
      </c>
      <c r="B758" s="3">
        <v>41</v>
      </c>
      <c r="C758" t="s">
        <v>43</v>
      </c>
      <c r="D758" t="s">
        <v>49</v>
      </c>
      <c r="E758" t="s">
        <v>61</v>
      </c>
      <c r="F758" t="s">
        <v>36</v>
      </c>
      <c r="G758" s="3">
        <v>1</v>
      </c>
      <c r="I758" t="str">
        <f t="shared" si="33"/>
        <v>35-44</v>
      </c>
      <c r="J758" t="str">
        <f t="shared" si="34"/>
        <v>Promoted in 1-3 years</v>
      </c>
      <c r="K758">
        <f t="shared" si="35"/>
        <v>0</v>
      </c>
    </row>
    <row r="759" spans="1:11" x14ac:dyDescent="0.25">
      <c r="A759" s="5">
        <v>1469</v>
      </c>
      <c r="B759" s="3">
        <v>28</v>
      </c>
      <c r="C759" t="s">
        <v>43</v>
      </c>
      <c r="D759" t="s">
        <v>49</v>
      </c>
      <c r="E759" t="s">
        <v>41</v>
      </c>
      <c r="F759" t="s">
        <v>42</v>
      </c>
      <c r="G759" s="3">
        <v>1</v>
      </c>
      <c r="I759" t="str">
        <f t="shared" si="33"/>
        <v>25-34</v>
      </c>
      <c r="J759" t="str">
        <f t="shared" si="34"/>
        <v>Promoted in 1-3 years</v>
      </c>
      <c r="K759">
        <f t="shared" si="35"/>
        <v>0</v>
      </c>
    </row>
    <row r="760" spans="1:11" x14ac:dyDescent="0.25">
      <c r="A760" s="5">
        <v>1598</v>
      </c>
      <c r="B760" s="3">
        <v>40</v>
      </c>
      <c r="C760" t="s">
        <v>43</v>
      </c>
      <c r="D760" t="s">
        <v>67</v>
      </c>
      <c r="E760" t="s">
        <v>61</v>
      </c>
      <c r="F760" t="s">
        <v>36</v>
      </c>
      <c r="G760" s="3">
        <v>1</v>
      </c>
      <c r="I760" t="str">
        <f t="shared" si="33"/>
        <v>35-44</v>
      </c>
      <c r="J760" t="str">
        <f t="shared" si="34"/>
        <v>Promoted in 1-3 years</v>
      </c>
      <c r="K760">
        <f t="shared" si="35"/>
        <v>0</v>
      </c>
    </row>
    <row r="761" spans="1:11" x14ac:dyDescent="0.25">
      <c r="A761" s="5">
        <v>641</v>
      </c>
      <c r="B761" s="3">
        <v>26</v>
      </c>
      <c r="C761" t="s">
        <v>43</v>
      </c>
      <c r="D761" t="s">
        <v>67</v>
      </c>
      <c r="E761" t="s">
        <v>61</v>
      </c>
      <c r="F761" t="s">
        <v>53</v>
      </c>
      <c r="G761" s="3">
        <v>1</v>
      </c>
      <c r="I761" t="str">
        <f t="shared" si="33"/>
        <v>25-34</v>
      </c>
      <c r="J761" t="str">
        <f t="shared" si="34"/>
        <v>Promoted in 1-3 years</v>
      </c>
      <c r="K761">
        <f t="shared" si="35"/>
        <v>0</v>
      </c>
    </row>
    <row r="762" spans="1:11" x14ac:dyDescent="0.25">
      <c r="A762" s="5">
        <v>997</v>
      </c>
      <c r="B762" s="3">
        <v>50</v>
      </c>
      <c r="C762" t="s">
        <v>43</v>
      </c>
      <c r="D762" t="s">
        <v>67</v>
      </c>
      <c r="E762" t="s">
        <v>52</v>
      </c>
      <c r="F762" t="s">
        <v>36</v>
      </c>
      <c r="G762" s="3">
        <v>1</v>
      </c>
      <c r="I762" t="str">
        <f t="shared" si="33"/>
        <v>45-54</v>
      </c>
      <c r="J762" t="str">
        <f t="shared" si="34"/>
        <v>Promoted in 1-3 years</v>
      </c>
      <c r="K762">
        <f t="shared" si="35"/>
        <v>0</v>
      </c>
    </row>
    <row r="763" spans="1:11" x14ac:dyDescent="0.25">
      <c r="A763" s="5">
        <v>200</v>
      </c>
      <c r="B763" s="3">
        <v>41</v>
      </c>
      <c r="C763" t="s">
        <v>43</v>
      </c>
      <c r="D763" t="s">
        <v>35</v>
      </c>
      <c r="E763" t="s">
        <v>61</v>
      </c>
      <c r="F763" t="s">
        <v>36</v>
      </c>
      <c r="G763" s="3">
        <v>1</v>
      </c>
      <c r="I763" t="str">
        <f t="shared" si="33"/>
        <v>35-44</v>
      </c>
      <c r="J763" t="str">
        <f t="shared" si="34"/>
        <v>Promoted in 1-3 years</v>
      </c>
      <c r="K763">
        <f t="shared" si="35"/>
        <v>0</v>
      </c>
    </row>
    <row r="764" spans="1:11" x14ac:dyDescent="0.25">
      <c r="A764" s="5">
        <v>1654</v>
      </c>
      <c r="B764" s="3">
        <v>39</v>
      </c>
      <c r="C764" t="s">
        <v>43</v>
      </c>
      <c r="D764" t="s">
        <v>49</v>
      </c>
      <c r="E764" t="s">
        <v>61</v>
      </c>
      <c r="F764" t="s">
        <v>42</v>
      </c>
      <c r="G764" s="3">
        <v>1</v>
      </c>
      <c r="I764" t="str">
        <f t="shared" si="33"/>
        <v>35-44</v>
      </c>
      <c r="J764" t="str">
        <f t="shared" si="34"/>
        <v>Promoted in 1-3 years</v>
      </c>
      <c r="K764">
        <f t="shared" si="35"/>
        <v>0</v>
      </c>
    </row>
    <row r="765" spans="1:11" x14ac:dyDescent="0.25">
      <c r="A765" s="5">
        <v>843</v>
      </c>
      <c r="B765" s="3">
        <v>43</v>
      </c>
      <c r="C765" t="s">
        <v>43</v>
      </c>
      <c r="D765" t="s">
        <v>67</v>
      </c>
      <c r="E765" t="s">
        <v>61</v>
      </c>
      <c r="F765" t="s">
        <v>36</v>
      </c>
      <c r="G765" s="3">
        <v>1</v>
      </c>
      <c r="I765" t="str">
        <f t="shared" si="33"/>
        <v>35-44</v>
      </c>
      <c r="J765" t="str">
        <f t="shared" si="34"/>
        <v>Promoted in 1-3 years</v>
      </c>
      <c r="K765">
        <f t="shared" si="35"/>
        <v>0</v>
      </c>
    </row>
    <row r="766" spans="1:11" x14ac:dyDescent="0.25">
      <c r="A766" s="5">
        <v>68</v>
      </c>
      <c r="B766" s="3">
        <v>44</v>
      </c>
      <c r="C766" t="s">
        <v>43</v>
      </c>
      <c r="D766" t="s">
        <v>70</v>
      </c>
      <c r="E766" t="s">
        <v>52</v>
      </c>
      <c r="F766" t="s">
        <v>36</v>
      </c>
      <c r="G766" s="3">
        <v>1</v>
      </c>
      <c r="I766" t="str">
        <f t="shared" si="33"/>
        <v>35-44</v>
      </c>
      <c r="J766" t="str">
        <f t="shared" si="34"/>
        <v>Promoted in 1-3 years</v>
      </c>
      <c r="K766">
        <f t="shared" si="35"/>
        <v>0</v>
      </c>
    </row>
    <row r="767" spans="1:11" x14ac:dyDescent="0.25">
      <c r="A767" s="5">
        <v>800</v>
      </c>
      <c r="B767" s="3">
        <v>27</v>
      </c>
      <c r="C767" t="s">
        <v>43</v>
      </c>
      <c r="D767" t="s">
        <v>64</v>
      </c>
      <c r="E767" t="s">
        <v>61</v>
      </c>
      <c r="F767" t="s">
        <v>36</v>
      </c>
      <c r="G767" s="3">
        <v>1</v>
      </c>
      <c r="I767" t="str">
        <f t="shared" si="33"/>
        <v>25-34</v>
      </c>
      <c r="J767" t="str">
        <f t="shared" si="34"/>
        <v>Promoted in 1-3 years</v>
      </c>
      <c r="K767">
        <f t="shared" si="35"/>
        <v>0</v>
      </c>
    </row>
    <row r="768" spans="1:11" x14ac:dyDescent="0.25">
      <c r="A768" s="5">
        <v>1659</v>
      </c>
      <c r="B768" s="3">
        <v>36</v>
      </c>
      <c r="C768" t="s">
        <v>43</v>
      </c>
      <c r="D768" t="s">
        <v>49</v>
      </c>
      <c r="E768" t="s">
        <v>41</v>
      </c>
      <c r="F768" t="s">
        <v>42</v>
      </c>
      <c r="G768" s="3">
        <v>1</v>
      </c>
      <c r="I768" t="str">
        <f t="shared" si="33"/>
        <v>35-44</v>
      </c>
      <c r="J768" t="str">
        <f t="shared" si="34"/>
        <v>Promoted in 1-3 years</v>
      </c>
      <c r="K768">
        <f t="shared" si="35"/>
        <v>0</v>
      </c>
    </row>
    <row r="769" spans="1:11" x14ac:dyDescent="0.25">
      <c r="A769" s="5">
        <v>1173</v>
      </c>
      <c r="B769" s="3">
        <v>24</v>
      </c>
      <c r="C769" t="s">
        <v>43</v>
      </c>
      <c r="D769" t="s">
        <v>49</v>
      </c>
      <c r="E769" t="s">
        <v>41</v>
      </c>
      <c r="F769" t="s">
        <v>42</v>
      </c>
      <c r="G769" s="3">
        <v>1</v>
      </c>
      <c r="I769" t="str">
        <f t="shared" si="33"/>
        <v>18-24</v>
      </c>
      <c r="J769" t="str">
        <f t="shared" si="34"/>
        <v>Promoted in 1-3 years</v>
      </c>
      <c r="K769">
        <f t="shared" si="35"/>
        <v>0</v>
      </c>
    </row>
    <row r="770" spans="1:11" x14ac:dyDescent="0.25">
      <c r="A770" s="5">
        <v>1814</v>
      </c>
      <c r="B770" s="3">
        <v>41</v>
      </c>
      <c r="C770" t="s">
        <v>43</v>
      </c>
      <c r="D770" t="s">
        <v>49</v>
      </c>
      <c r="E770" t="s">
        <v>41</v>
      </c>
      <c r="F770" t="s">
        <v>42</v>
      </c>
      <c r="G770" s="3">
        <v>1</v>
      </c>
      <c r="I770" t="str">
        <f t="shared" si="33"/>
        <v>35-44</v>
      </c>
      <c r="J770" t="str">
        <f t="shared" si="34"/>
        <v>Promoted in 1-3 years</v>
      </c>
      <c r="K770">
        <f t="shared" si="35"/>
        <v>0</v>
      </c>
    </row>
    <row r="771" spans="1:11" x14ac:dyDescent="0.25">
      <c r="A771" s="5">
        <v>1509</v>
      </c>
      <c r="B771" s="3">
        <v>49</v>
      </c>
      <c r="C771" t="s">
        <v>43</v>
      </c>
      <c r="D771" t="s">
        <v>67</v>
      </c>
      <c r="E771" t="s">
        <v>61</v>
      </c>
      <c r="F771" t="s">
        <v>36</v>
      </c>
      <c r="G771" s="3">
        <v>1</v>
      </c>
      <c r="I771" t="str">
        <f t="shared" ref="I771:I834" si="36">IF(B771&lt;=24, "18-24", IF(B771&lt;=34,"25-34", IF(B771&lt;=44,"35-44", IF(B771&lt;=54,"45-54", IF(B771&lt;=60, "55-60")))))</f>
        <v>45-54</v>
      </c>
      <c r="J771" t="str">
        <f t="shared" ref="J771:J834" si="37">IF(G771&lt;=0,"Recently promoted",IF(G771&lt;=3,"Promoted in 1-3 years","Long Promotion gap"))</f>
        <v>Promoted in 1-3 years</v>
      </c>
      <c r="K771">
        <f t="shared" ref="K771:K834" si="38">IF(C771="Yes", 1, 0)</f>
        <v>0</v>
      </c>
    </row>
    <row r="772" spans="1:11" x14ac:dyDescent="0.25">
      <c r="A772" s="5">
        <v>305</v>
      </c>
      <c r="B772" s="3">
        <v>33</v>
      </c>
      <c r="C772" t="s">
        <v>43</v>
      </c>
      <c r="D772" t="s">
        <v>35</v>
      </c>
      <c r="E772" t="s">
        <v>61</v>
      </c>
      <c r="F772" t="s">
        <v>42</v>
      </c>
      <c r="G772" s="3">
        <v>1</v>
      </c>
      <c r="I772" t="str">
        <f t="shared" si="36"/>
        <v>25-34</v>
      </c>
      <c r="J772" t="str">
        <f t="shared" si="37"/>
        <v>Promoted in 1-3 years</v>
      </c>
      <c r="K772">
        <f t="shared" si="38"/>
        <v>0</v>
      </c>
    </row>
    <row r="773" spans="1:11" x14ac:dyDescent="0.25">
      <c r="A773" s="5">
        <v>707</v>
      </c>
      <c r="B773" s="3">
        <v>25</v>
      </c>
      <c r="C773" t="s">
        <v>43</v>
      </c>
      <c r="D773" t="s">
        <v>49</v>
      </c>
      <c r="E773" t="s">
        <v>61</v>
      </c>
      <c r="F773" t="s">
        <v>36</v>
      </c>
      <c r="G773" s="3">
        <v>1</v>
      </c>
      <c r="I773" t="str">
        <f t="shared" si="36"/>
        <v>25-34</v>
      </c>
      <c r="J773" t="str">
        <f t="shared" si="37"/>
        <v>Promoted in 1-3 years</v>
      </c>
      <c r="K773">
        <f t="shared" si="38"/>
        <v>0</v>
      </c>
    </row>
    <row r="774" spans="1:11" x14ac:dyDescent="0.25">
      <c r="A774" s="5">
        <v>1473</v>
      </c>
      <c r="B774" s="3">
        <v>49</v>
      </c>
      <c r="C774" t="s">
        <v>43</v>
      </c>
      <c r="D774" t="s">
        <v>35</v>
      </c>
      <c r="E774" t="s">
        <v>61</v>
      </c>
      <c r="F774" t="s">
        <v>36</v>
      </c>
      <c r="G774" s="3">
        <v>1</v>
      </c>
      <c r="I774" t="str">
        <f t="shared" si="36"/>
        <v>45-54</v>
      </c>
      <c r="J774" t="str">
        <f t="shared" si="37"/>
        <v>Promoted in 1-3 years</v>
      </c>
      <c r="K774">
        <f t="shared" si="38"/>
        <v>0</v>
      </c>
    </row>
    <row r="775" spans="1:11" x14ac:dyDescent="0.25">
      <c r="A775" s="5">
        <v>1556</v>
      </c>
      <c r="B775" s="3">
        <v>36</v>
      </c>
      <c r="C775" t="s">
        <v>43</v>
      </c>
      <c r="D775" t="s">
        <v>35</v>
      </c>
      <c r="E775" t="s">
        <v>41</v>
      </c>
      <c r="F775" t="s">
        <v>42</v>
      </c>
      <c r="G775" s="3">
        <v>1</v>
      </c>
      <c r="I775" t="str">
        <f t="shared" si="36"/>
        <v>35-44</v>
      </c>
      <c r="J775" t="str">
        <f t="shared" si="37"/>
        <v>Promoted in 1-3 years</v>
      </c>
      <c r="K775">
        <f t="shared" si="38"/>
        <v>0</v>
      </c>
    </row>
    <row r="776" spans="1:11" x14ac:dyDescent="0.25">
      <c r="A776" s="5">
        <v>1883</v>
      </c>
      <c r="B776" s="3">
        <v>29</v>
      </c>
      <c r="C776" t="s">
        <v>43</v>
      </c>
      <c r="D776" t="s">
        <v>49</v>
      </c>
      <c r="E776" t="s">
        <v>41</v>
      </c>
      <c r="F776" t="s">
        <v>42</v>
      </c>
      <c r="G776" s="3">
        <v>1</v>
      </c>
      <c r="I776" t="str">
        <f t="shared" si="36"/>
        <v>25-34</v>
      </c>
      <c r="J776" t="str">
        <f t="shared" si="37"/>
        <v>Promoted in 1-3 years</v>
      </c>
      <c r="K776">
        <f t="shared" si="38"/>
        <v>0</v>
      </c>
    </row>
    <row r="777" spans="1:11" x14ac:dyDescent="0.25">
      <c r="A777" s="5">
        <v>525</v>
      </c>
      <c r="B777" s="3">
        <v>43</v>
      </c>
      <c r="C777" t="s">
        <v>43</v>
      </c>
      <c r="D777" t="s">
        <v>49</v>
      </c>
      <c r="E777" t="s">
        <v>61</v>
      </c>
      <c r="F777" t="s">
        <v>36</v>
      </c>
      <c r="G777" s="3">
        <v>1</v>
      </c>
      <c r="I777" t="str">
        <f t="shared" si="36"/>
        <v>35-44</v>
      </c>
      <c r="J777" t="str">
        <f t="shared" si="37"/>
        <v>Promoted in 1-3 years</v>
      </c>
      <c r="K777">
        <f t="shared" si="38"/>
        <v>0</v>
      </c>
    </row>
    <row r="778" spans="1:11" x14ac:dyDescent="0.25">
      <c r="A778" s="5">
        <v>1441</v>
      </c>
      <c r="B778" s="3">
        <v>56</v>
      </c>
      <c r="C778" t="s">
        <v>43</v>
      </c>
      <c r="D778" t="s">
        <v>67</v>
      </c>
      <c r="E778" t="s">
        <v>61</v>
      </c>
      <c r="F778" t="s">
        <v>36</v>
      </c>
      <c r="G778" s="3">
        <v>1</v>
      </c>
      <c r="I778" t="str">
        <f t="shared" si="36"/>
        <v>55-60</v>
      </c>
      <c r="J778" t="str">
        <f t="shared" si="37"/>
        <v>Promoted in 1-3 years</v>
      </c>
      <c r="K778">
        <f t="shared" si="38"/>
        <v>0</v>
      </c>
    </row>
    <row r="779" spans="1:11" x14ac:dyDescent="0.25">
      <c r="A779" s="5">
        <v>1834</v>
      </c>
      <c r="B779" s="3">
        <v>28</v>
      </c>
      <c r="C779" t="s">
        <v>43</v>
      </c>
      <c r="D779" t="s">
        <v>49</v>
      </c>
      <c r="E779" t="s">
        <v>61</v>
      </c>
      <c r="F779" t="s">
        <v>36</v>
      </c>
      <c r="G779" s="3">
        <v>1</v>
      </c>
      <c r="I779" t="str">
        <f t="shared" si="36"/>
        <v>25-34</v>
      </c>
      <c r="J779" t="str">
        <f t="shared" si="37"/>
        <v>Promoted in 1-3 years</v>
      </c>
      <c r="K779">
        <f t="shared" si="38"/>
        <v>0</v>
      </c>
    </row>
    <row r="780" spans="1:11" x14ac:dyDescent="0.25">
      <c r="A780" s="5">
        <v>1028</v>
      </c>
      <c r="B780" s="3">
        <v>35</v>
      </c>
      <c r="C780" t="s">
        <v>43</v>
      </c>
      <c r="D780" t="s">
        <v>49</v>
      </c>
      <c r="E780" t="s">
        <v>52</v>
      </c>
      <c r="F780" t="s">
        <v>36</v>
      </c>
      <c r="G780" s="3">
        <v>1</v>
      </c>
      <c r="I780" t="str">
        <f t="shared" si="36"/>
        <v>35-44</v>
      </c>
      <c r="J780" t="str">
        <f t="shared" si="37"/>
        <v>Promoted in 1-3 years</v>
      </c>
      <c r="K780">
        <f t="shared" si="38"/>
        <v>0</v>
      </c>
    </row>
    <row r="781" spans="1:11" x14ac:dyDescent="0.25">
      <c r="A781" s="5">
        <v>897</v>
      </c>
      <c r="B781" s="3">
        <v>53</v>
      </c>
      <c r="C781" t="s">
        <v>43</v>
      </c>
      <c r="D781" t="s">
        <v>49</v>
      </c>
      <c r="E781" t="s">
        <v>61</v>
      </c>
      <c r="F781" t="s">
        <v>36</v>
      </c>
      <c r="G781" s="3">
        <v>1</v>
      </c>
      <c r="I781" t="str">
        <f t="shared" si="36"/>
        <v>45-54</v>
      </c>
      <c r="J781" t="str">
        <f t="shared" si="37"/>
        <v>Promoted in 1-3 years</v>
      </c>
      <c r="K781">
        <f t="shared" si="38"/>
        <v>0</v>
      </c>
    </row>
    <row r="782" spans="1:11" x14ac:dyDescent="0.25">
      <c r="A782" s="5">
        <v>1644</v>
      </c>
      <c r="B782" s="3">
        <v>48</v>
      </c>
      <c r="C782" t="s">
        <v>43</v>
      </c>
      <c r="D782" t="s">
        <v>70</v>
      </c>
      <c r="E782" t="s">
        <v>61</v>
      </c>
      <c r="F782" t="s">
        <v>36</v>
      </c>
      <c r="G782" s="3">
        <v>1</v>
      </c>
      <c r="I782" t="str">
        <f t="shared" si="36"/>
        <v>45-54</v>
      </c>
      <c r="J782" t="str">
        <f t="shared" si="37"/>
        <v>Promoted in 1-3 years</v>
      </c>
      <c r="K782">
        <f t="shared" si="38"/>
        <v>0</v>
      </c>
    </row>
    <row r="783" spans="1:11" x14ac:dyDescent="0.25">
      <c r="A783" s="5">
        <v>531</v>
      </c>
      <c r="B783" s="3">
        <v>39</v>
      </c>
      <c r="C783" t="s">
        <v>43</v>
      </c>
      <c r="D783" t="s">
        <v>64</v>
      </c>
      <c r="E783" t="s">
        <v>52</v>
      </c>
      <c r="F783" t="s">
        <v>36</v>
      </c>
      <c r="G783" s="3">
        <v>1</v>
      </c>
      <c r="I783" t="str">
        <f t="shared" si="36"/>
        <v>35-44</v>
      </c>
      <c r="J783" t="str">
        <f t="shared" si="37"/>
        <v>Promoted in 1-3 years</v>
      </c>
      <c r="K783">
        <f t="shared" si="38"/>
        <v>0</v>
      </c>
    </row>
    <row r="784" spans="1:11" x14ac:dyDescent="0.25">
      <c r="A784" s="5">
        <v>599</v>
      </c>
      <c r="B784" s="3">
        <v>41</v>
      </c>
      <c r="C784" t="s">
        <v>43</v>
      </c>
      <c r="D784" t="s">
        <v>67</v>
      </c>
      <c r="E784" t="s">
        <v>41</v>
      </c>
      <c r="F784" t="s">
        <v>42</v>
      </c>
      <c r="G784" s="3">
        <v>1</v>
      </c>
      <c r="I784" t="str">
        <f t="shared" si="36"/>
        <v>35-44</v>
      </c>
      <c r="J784" t="str">
        <f t="shared" si="37"/>
        <v>Promoted in 1-3 years</v>
      </c>
      <c r="K784">
        <f t="shared" si="38"/>
        <v>0</v>
      </c>
    </row>
    <row r="785" spans="1:11" x14ac:dyDescent="0.25">
      <c r="A785" s="5">
        <v>481</v>
      </c>
      <c r="B785" s="3">
        <v>36</v>
      </c>
      <c r="C785" t="s">
        <v>43</v>
      </c>
      <c r="D785" t="s">
        <v>35</v>
      </c>
      <c r="E785" t="s">
        <v>61</v>
      </c>
      <c r="F785" t="s">
        <v>36</v>
      </c>
      <c r="G785" s="3">
        <v>1</v>
      </c>
      <c r="I785" t="str">
        <f t="shared" si="36"/>
        <v>35-44</v>
      </c>
      <c r="J785" t="str">
        <f t="shared" si="37"/>
        <v>Promoted in 1-3 years</v>
      </c>
      <c r="K785">
        <f t="shared" si="38"/>
        <v>0</v>
      </c>
    </row>
    <row r="786" spans="1:11" x14ac:dyDescent="0.25">
      <c r="A786" s="5">
        <v>1756</v>
      </c>
      <c r="B786" s="3">
        <v>33</v>
      </c>
      <c r="C786" t="s">
        <v>43</v>
      </c>
      <c r="D786" t="s">
        <v>49</v>
      </c>
      <c r="E786" t="s">
        <v>41</v>
      </c>
      <c r="F786" t="s">
        <v>42</v>
      </c>
      <c r="G786" s="3">
        <v>1</v>
      </c>
      <c r="I786" t="str">
        <f t="shared" si="36"/>
        <v>25-34</v>
      </c>
      <c r="J786" t="str">
        <f t="shared" si="37"/>
        <v>Promoted in 1-3 years</v>
      </c>
      <c r="K786">
        <f t="shared" si="38"/>
        <v>0</v>
      </c>
    </row>
    <row r="787" spans="1:11" x14ac:dyDescent="0.25">
      <c r="A787" s="5">
        <v>1289</v>
      </c>
      <c r="B787" s="3">
        <v>34</v>
      </c>
      <c r="C787" t="s">
        <v>43</v>
      </c>
      <c r="D787" t="s">
        <v>49</v>
      </c>
      <c r="E787" t="s">
        <v>61</v>
      </c>
      <c r="F787" t="s">
        <v>53</v>
      </c>
      <c r="G787" s="3">
        <v>1</v>
      </c>
      <c r="I787" t="str">
        <f t="shared" si="36"/>
        <v>25-34</v>
      </c>
      <c r="J787" t="str">
        <f t="shared" si="37"/>
        <v>Promoted in 1-3 years</v>
      </c>
      <c r="K787">
        <f t="shared" si="38"/>
        <v>0</v>
      </c>
    </row>
    <row r="788" spans="1:11" x14ac:dyDescent="0.25">
      <c r="A788" s="5">
        <v>256</v>
      </c>
      <c r="B788" s="3">
        <v>34</v>
      </c>
      <c r="C788" t="s">
        <v>43</v>
      </c>
      <c r="D788" t="s">
        <v>64</v>
      </c>
      <c r="E788" t="s">
        <v>61</v>
      </c>
      <c r="F788" t="s">
        <v>42</v>
      </c>
      <c r="G788" s="3">
        <v>1</v>
      </c>
      <c r="I788" t="str">
        <f t="shared" si="36"/>
        <v>25-34</v>
      </c>
      <c r="J788" t="str">
        <f t="shared" si="37"/>
        <v>Promoted in 1-3 years</v>
      </c>
      <c r="K788">
        <f t="shared" si="38"/>
        <v>0</v>
      </c>
    </row>
    <row r="789" spans="1:11" x14ac:dyDescent="0.25">
      <c r="A789" s="5">
        <v>1350</v>
      </c>
      <c r="B789" s="3">
        <v>35</v>
      </c>
      <c r="C789" t="s">
        <v>43</v>
      </c>
      <c r="D789" t="s">
        <v>35</v>
      </c>
      <c r="E789" t="s">
        <v>41</v>
      </c>
      <c r="F789" t="s">
        <v>42</v>
      </c>
      <c r="G789" s="3">
        <v>1</v>
      </c>
      <c r="I789" t="str">
        <f t="shared" si="36"/>
        <v>35-44</v>
      </c>
      <c r="J789" t="str">
        <f t="shared" si="37"/>
        <v>Promoted in 1-3 years</v>
      </c>
      <c r="K789">
        <f t="shared" si="38"/>
        <v>0</v>
      </c>
    </row>
    <row r="790" spans="1:11" x14ac:dyDescent="0.25">
      <c r="A790" s="5">
        <v>2057</v>
      </c>
      <c r="B790" s="3">
        <v>31</v>
      </c>
      <c r="C790" t="s">
        <v>43</v>
      </c>
      <c r="D790" t="s">
        <v>49</v>
      </c>
      <c r="E790" t="s">
        <v>41</v>
      </c>
      <c r="F790" t="s">
        <v>42</v>
      </c>
      <c r="G790" s="3">
        <v>1</v>
      </c>
      <c r="I790" t="str">
        <f t="shared" si="36"/>
        <v>25-34</v>
      </c>
      <c r="J790" t="str">
        <f t="shared" si="37"/>
        <v>Promoted in 1-3 years</v>
      </c>
      <c r="K790">
        <f t="shared" si="38"/>
        <v>0</v>
      </c>
    </row>
    <row r="791" spans="1:11" x14ac:dyDescent="0.25">
      <c r="A791" s="5">
        <v>1771</v>
      </c>
      <c r="B791" s="3">
        <v>33</v>
      </c>
      <c r="C791" t="s">
        <v>43</v>
      </c>
      <c r="D791" t="s">
        <v>49</v>
      </c>
      <c r="E791" t="s">
        <v>52</v>
      </c>
      <c r="F791" t="s">
        <v>53</v>
      </c>
      <c r="G791" s="3">
        <v>1</v>
      </c>
      <c r="I791" t="str">
        <f t="shared" si="36"/>
        <v>25-34</v>
      </c>
      <c r="J791" t="str">
        <f t="shared" si="37"/>
        <v>Promoted in 1-3 years</v>
      </c>
      <c r="K791">
        <f t="shared" si="38"/>
        <v>0</v>
      </c>
    </row>
    <row r="792" spans="1:11" x14ac:dyDescent="0.25">
      <c r="A792" s="5">
        <v>56</v>
      </c>
      <c r="B792" s="3">
        <v>27</v>
      </c>
      <c r="C792" t="s">
        <v>43</v>
      </c>
      <c r="D792" t="s">
        <v>49</v>
      </c>
      <c r="E792" t="s">
        <v>41</v>
      </c>
      <c r="F792" t="s">
        <v>42</v>
      </c>
      <c r="G792" s="3">
        <v>1</v>
      </c>
      <c r="I792" t="str">
        <f t="shared" si="36"/>
        <v>25-34</v>
      </c>
      <c r="J792" t="str">
        <f t="shared" si="37"/>
        <v>Promoted in 1-3 years</v>
      </c>
      <c r="K792">
        <f t="shared" si="38"/>
        <v>0</v>
      </c>
    </row>
    <row r="793" spans="1:11" x14ac:dyDescent="0.25">
      <c r="A793" s="5">
        <v>430</v>
      </c>
      <c r="B793" s="3">
        <v>43</v>
      </c>
      <c r="C793" t="s">
        <v>43</v>
      </c>
      <c r="D793" t="s">
        <v>35</v>
      </c>
      <c r="E793" t="s">
        <v>41</v>
      </c>
      <c r="F793" t="s">
        <v>42</v>
      </c>
      <c r="G793" s="3">
        <v>1</v>
      </c>
      <c r="I793" t="str">
        <f t="shared" si="36"/>
        <v>35-44</v>
      </c>
      <c r="J793" t="str">
        <f t="shared" si="37"/>
        <v>Promoted in 1-3 years</v>
      </c>
      <c r="K793">
        <f t="shared" si="38"/>
        <v>0</v>
      </c>
    </row>
    <row r="794" spans="1:11" x14ac:dyDescent="0.25">
      <c r="A794" s="5">
        <v>1934</v>
      </c>
      <c r="B794" s="3">
        <v>47</v>
      </c>
      <c r="C794" t="s">
        <v>43</v>
      </c>
      <c r="D794" t="s">
        <v>35</v>
      </c>
      <c r="E794" t="s">
        <v>61</v>
      </c>
      <c r="F794" t="s">
        <v>36</v>
      </c>
      <c r="G794" s="3">
        <v>1</v>
      </c>
      <c r="I794" t="str">
        <f t="shared" si="36"/>
        <v>45-54</v>
      </c>
      <c r="J794" t="str">
        <f t="shared" si="37"/>
        <v>Promoted in 1-3 years</v>
      </c>
      <c r="K794">
        <f t="shared" si="38"/>
        <v>0</v>
      </c>
    </row>
    <row r="795" spans="1:11" x14ac:dyDescent="0.25">
      <c r="A795" s="5">
        <v>286</v>
      </c>
      <c r="B795" s="3">
        <v>36</v>
      </c>
      <c r="C795" t="s">
        <v>43</v>
      </c>
      <c r="D795" t="s">
        <v>64</v>
      </c>
      <c r="E795" t="s">
        <v>41</v>
      </c>
      <c r="F795" t="s">
        <v>42</v>
      </c>
      <c r="G795" s="3">
        <v>1</v>
      </c>
      <c r="I795" t="str">
        <f t="shared" si="36"/>
        <v>35-44</v>
      </c>
      <c r="J795" t="str">
        <f t="shared" si="37"/>
        <v>Promoted in 1-3 years</v>
      </c>
      <c r="K795">
        <f t="shared" si="38"/>
        <v>0</v>
      </c>
    </row>
    <row r="796" spans="1:11" x14ac:dyDescent="0.25">
      <c r="A796" s="5">
        <v>1804</v>
      </c>
      <c r="B796" s="3">
        <v>35</v>
      </c>
      <c r="C796" t="s">
        <v>43</v>
      </c>
      <c r="D796" t="s">
        <v>67</v>
      </c>
      <c r="E796" t="s">
        <v>52</v>
      </c>
      <c r="F796" t="s">
        <v>36</v>
      </c>
      <c r="G796" s="3">
        <v>1</v>
      </c>
      <c r="I796" t="str">
        <f t="shared" si="36"/>
        <v>35-44</v>
      </c>
      <c r="J796" t="str">
        <f t="shared" si="37"/>
        <v>Promoted in 1-3 years</v>
      </c>
      <c r="K796">
        <f t="shared" si="38"/>
        <v>0</v>
      </c>
    </row>
    <row r="797" spans="1:11" x14ac:dyDescent="0.25">
      <c r="A797" s="5">
        <v>1143</v>
      </c>
      <c r="B797" s="3">
        <v>29</v>
      </c>
      <c r="C797" t="s">
        <v>43</v>
      </c>
      <c r="D797" t="s">
        <v>49</v>
      </c>
      <c r="E797" t="s">
        <v>52</v>
      </c>
      <c r="F797" t="s">
        <v>53</v>
      </c>
      <c r="G797" s="3">
        <v>1</v>
      </c>
      <c r="I797" t="str">
        <f t="shared" si="36"/>
        <v>25-34</v>
      </c>
      <c r="J797" t="str">
        <f t="shared" si="37"/>
        <v>Promoted in 1-3 years</v>
      </c>
      <c r="K797">
        <f t="shared" si="38"/>
        <v>0</v>
      </c>
    </row>
    <row r="798" spans="1:11" x14ac:dyDescent="0.25">
      <c r="A798" s="5">
        <v>275</v>
      </c>
      <c r="B798" s="3">
        <v>49</v>
      </c>
      <c r="C798" t="s">
        <v>43</v>
      </c>
      <c r="D798" t="s">
        <v>35</v>
      </c>
      <c r="E798" t="s">
        <v>52</v>
      </c>
      <c r="F798" t="s">
        <v>53</v>
      </c>
      <c r="G798" s="3">
        <v>1</v>
      </c>
      <c r="I798" t="str">
        <f t="shared" si="36"/>
        <v>45-54</v>
      </c>
      <c r="J798" t="str">
        <f t="shared" si="37"/>
        <v>Promoted in 1-3 years</v>
      </c>
      <c r="K798">
        <f t="shared" si="38"/>
        <v>0</v>
      </c>
    </row>
    <row r="799" spans="1:11" x14ac:dyDescent="0.25">
      <c r="A799" s="5">
        <v>1440</v>
      </c>
      <c r="B799" s="3">
        <v>37</v>
      </c>
      <c r="C799" t="s">
        <v>43</v>
      </c>
      <c r="D799" t="s">
        <v>67</v>
      </c>
      <c r="E799" t="s">
        <v>41</v>
      </c>
      <c r="F799" t="s">
        <v>42</v>
      </c>
      <c r="G799" s="3">
        <v>1</v>
      </c>
      <c r="I799" t="str">
        <f t="shared" si="36"/>
        <v>35-44</v>
      </c>
      <c r="J799" t="str">
        <f t="shared" si="37"/>
        <v>Promoted in 1-3 years</v>
      </c>
      <c r="K799">
        <f t="shared" si="38"/>
        <v>0</v>
      </c>
    </row>
    <row r="800" spans="1:11" x14ac:dyDescent="0.25">
      <c r="A800" s="5">
        <v>269</v>
      </c>
      <c r="B800" s="3">
        <v>35</v>
      </c>
      <c r="C800" t="s">
        <v>43</v>
      </c>
      <c r="D800" t="s">
        <v>49</v>
      </c>
      <c r="E800" t="s">
        <v>41</v>
      </c>
      <c r="F800" t="s">
        <v>42</v>
      </c>
      <c r="G800" s="3">
        <v>1</v>
      </c>
      <c r="I800" t="str">
        <f t="shared" si="36"/>
        <v>35-44</v>
      </c>
      <c r="J800" t="str">
        <f t="shared" si="37"/>
        <v>Promoted in 1-3 years</v>
      </c>
      <c r="K800">
        <f t="shared" si="38"/>
        <v>0</v>
      </c>
    </row>
    <row r="801" spans="1:11" x14ac:dyDescent="0.25">
      <c r="A801" s="5">
        <v>998</v>
      </c>
      <c r="B801" s="3">
        <v>33</v>
      </c>
      <c r="C801" t="s">
        <v>43</v>
      </c>
      <c r="D801" t="s">
        <v>35</v>
      </c>
      <c r="E801" t="s">
        <v>61</v>
      </c>
      <c r="F801" t="s">
        <v>36</v>
      </c>
      <c r="G801" s="3">
        <v>1</v>
      </c>
      <c r="I801" t="str">
        <f t="shared" si="36"/>
        <v>25-34</v>
      </c>
      <c r="J801" t="str">
        <f t="shared" si="37"/>
        <v>Promoted in 1-3 years</v>
      </c>
      <c r="K801">
        <f t="shared" si="38"/>
        <v>0</v>
      </c>
    </row>
    <row r="802" spans="1:11" x14ac:dyDescent="0.25">
      <c r="A802" s="5">
        <v>2022</v>
      </c>
      <c r="B802" s="3">
        <v>39</v>
      </c>
      <c r="C802" t="s">
        <v>43</v>
      </c>
      <c r="D802" t="s">
        <v>49</v>
      </c>
      <c r="E802" t="s">
        <v>41</v>
      </c>
      <c r="F802" t="s">
        <v>42</v>
      </c>
      <c r="G802" s="3">
        <v>1</v>
      </c>
      <c r="I802" t="str">
        <f t="shared" si="36"/>
        <v>35-44</v>
      </c>
      <c r="J802" t="str">
        <f t="shared" si="37"/>
        <v>Promoted in 1-3 years</v>
      </c>
      <c r="K802">
        <f t="shared" si="38"/>
        <v>0</v>
      </c>
    </row>
    <row r="803" spans="1:11" x14ac:dyDescent="0.25">
      <c r="A803" s="5">
        <v>1700</v>
      </c>
      <c r="B803" s="3">
        <v>37</v>
      </c>
      <c r="C803" t="s">
        <v>43</v>
      </c>
      <c r="D803" t="s">
        <v>35</v>
      </c>
      <c r="E803" t="s">
        <v>52</v>
      </c>
      <c r="F803" t="s">
        <v>53</v>
      </c>
      <c r="G803" s="3">
        <v>1</v>
      </c>
      <c r="I803" t="str">
        <f t="shared" si="36"/>
        <v>35-44</v>
      </c>
      <c r="J803" t="str">
        <f t="shared" si="37"/>
        <v>Promoted in 1-3 years</v>
      </c>
      <c r="K803">
        <f t="shared" si="38"/>
        <v>0</v>
      </c>
    </row>
    <row r="804" spans="1:11" x14ac:dyDescent="0.25">
      <c r="A804" s="5">
        <v>1563</v>
      </c>
      <c r="B804" s="3">
        <v>38</v>
      </c>
      <c r="C804" t="s">
        <v>43</v>
      </c>
      <c r="D804" t="s">
        <v>35</v>
      </c>
      <c r="E804" t="s">
        <v>61</v>
      </c>
      <c r="F804" t="s">
        <v>42</v>
      </c>
      <c r="G804" s="3">
        <v>1</v>
      </c>
      <c r="I804" t="str">
        <f t="shared" si="36"/>
        <v>35-44</v>
      </c>
      <c r="J804" t="str">
        <f t="shared" si="37"/>
        <v>Promoted in 1-3 years</v>
      </c>
      <c r="K804">
        <f t="shared" si="38"/>
        <v>0</v>
      </c>
    </row>
    <row r="805" spans="1:11" x14ac:dyDescent="0.25">
      <c r="A805" s="5">
        <v>1590</v>
      </c>
      <c r="B805" s="3">
        <v>29</v>
      </c>
      <c r="C805" t="s">
        <v>43</v>
      </c>
      <c r="D805" t="s">
        <v>64</v>
      </c>
      <c r="E805" t="s">
        <v>52</v>
      </c>
      <c r="F805" t="s">
        <v>36</v>
      </c>
      <c r="G805" s="3">
        <v>1</v>
      </c>
      <c r="I805" t="str">
        <f t="shared" si="36"/>
        <v>25-34</v>
      </c>
      <c r="J805" t="str">
        <f t="shared" si="37"/>
        <v>Promoted in 1-3 years</v>
      </c>
      <c r="K805">
        <f t="shared" si="38"/>
        <v>0</v>
      </c>
    </row>
    <row r="806" spans="1:11" x14ac:dyDescent="0.25">
      <c r="A806" s="5">
        <v>1972</v>
      </c>
      <c r="B806" s="3">
        <v>38</v>
      </c>
      <c r="C806" t="s">
        <v>43</v>
      </c>
      <c r="D806" t="s">
        <v>35</v>
      </c>
      <c r="E806" t="s">
        <v>61</v>
      </c>
      <c r="F806" t="s">
        <v>36</v>
      </c>
      <c r="G806" s="3">
        <v>1</v>
      </c>
      <c r="I806" t="str">
        <f t="shared" si="36"/>
        <v>35-44</v>
      </c>
      <c r="J806" t="str">
        <f t="shared" si="37"/>
        <v>Promoted in 1-3 years</v>
      </c>
      <c r="K806">
        <f t="shared" si="38"/>
        <v>0</v>
      </c>
    </row>
    <row r="807" spans="1:11" x14ac:dyDescent="0.25">
      <c r="A807" s="5">
        <v>1646</v>
      </c>
      <c r="B807" s="3">
        <v>24</v>
      </c>
      <c r="C807" t="s">
        <v>43</v>
      </c>
      <c r="D807" t="s">
        <v>64</v>
      </c>
      <c r="E807" t="s">
        <v>41</v>
      </c>
      <c r="F807" t="s">
        <v>42</v>
      </c>
      <c r="G807" s="3">
        <v>1</v>
      </c>
      <c r="I807" t="str">
        <f t="shared" si="36"/>
        <v>18-24</v>
      </c>
      <c r="J807" t="str">
        <f t="shared" si="37"/>
        <v>Promoted in 1-3 years</v>
      </c>
      <c r="K807">
        <f t="shared" si="38"/>
        <v>0</v>
      </c>
    </row>
    <row r="808" spans="1:11" x14ac:dyDescent="0.25">
      <c r="A808" s="5">
        <v>369</v>
      </c>
      <c r="B808" s="3">
        <v>25</v>
      </c>
      <c r="C808" t="s">
        <v>43</v>
      </c>
      <c r="D808" t="s">
        <v>67</v>
      </c>
      <c r="E808" t="s">
        <v>52</v>
      </c>
      <c r="F808" t="s">
        <v>53</v>
      </c>
      <c r="G808" s="3">
        <v>1</v>
      </c>
      <c r="I808" t="str">
        <f t="shared" si="36"/>
        <v>25-34</v>
      </c>
      <c r="J808" t="str">
        <f t="shared" si="37"/>
        <v>Promoted in 1-3 years</v>
      </c>
      <c r="K808">
        <f t="shared" si="38"/>
        <v>0</v>
      </c>
    </row>
    <row r="809" spans="1:11" x14ac:dyDescent="0.25">
      <c r="A809" s="5">
        <v>1395</v>
      </c>
      <c r="B809" s="3">
        <v>33</v>
      </c>
      <c r="C809" t="s">
        <v>43</v>
      </c>
      <c r="D809" t="s">
        <v>64</v>
      </c>
      <c r="E809" t="s">
        <v>61</v>
      </c>
      <c r="F809" t="s">
        <v>42</v>
      </c>
      <c r="G809" s="3">
        <v>1</v>
      </c>
      <c r="I809" t="str">
        <f t="shared" si="36"/>
        <v>25-34</v>
      </c>
      <c r="J809" t="str">
        <f t="shared" si="37"/>
        <v>Promoted in 1-3 years</v>
      </c>
      <c r="K809">
        <f t="shared" si="38"/>
        <v>0</v>
      </c>
    </row>
    <row r="810" spans="1:11" x14ac:dyDescent="0.25">
      <c r="A810" s="5">
        <v>983</v>
      </c>
      <c r="B810" s="3">
        <v>38</v>
      </c>
      <c r="C810" t="s">
        <v>43</v>
      </c>
      <c r="D810" t="s">
        <v>49</v>
      </c>
      <c r="E810" t="s">
        <v>41</v>
      </c>
      <c r="F810" t="s">
        <v>42</v>
      </c>
      <c r="G810" s="3">
        <v>1</v>
      </c>
      <c r="I810" t="str">
        <f t="shared" si="36"/>
        <v>35-44</v>
      </c>
      <c r="J810" t="str">
        <f t="shared" si="37"/>
        <v>Promoted in 1-3 years</v>
      </c>
      <c r="K810">
        <f t="shared" si="38"/>
        <v>0</v>
      </c>
    </row>
    <row r="811" spans="1:11" x14ac:dyDescent="0.25">
      <c r="A811" s="5">
        <v>52</v>
      </c>
      <c r="B811" s="3">
        <v>33</v>
      </c>
      <c r="C811" t="s">
        <v>43</v>
      </c>
      <c r="D811" t="s">
        <v>49</v>
      </c>
      <c r="E811" t="s">
        <v>61</v>
      </c>
      <c r="F811" t="s">
        <v>53</v>
      </c>
      <c r="G811" s="3">
        <v>1</v>
      </c>
      <c r="I811" t="str">
        <f t="shared" si="36"/>
        <v>25-34</v>
      </c>
      <c r="J811" t="str">
        <f t="shared" si="37"/>
        <v>Promoted in 1-3 years</v>
      </c>
      <c r="K811">
        <f t="shared" si="38"/>
        <v>0</v>
      </c>
    </row>
    <row r="812" spans="1:11" x14ac:dyDescent="0.25">
      <c r="A812" s="5">
        <v>1068</v>
      </c>
      <c r="B812" s="3">
        <v>26</v>
      </c>
      <c r="C812" t="s">
        <v>43</v>
      </c>
      <c r="D812" t="s">
        <v>64</v>
      </c>
      <c r="E812" t="s">
        <v>52</v>
      </c>
      <c r="F812" t="s">
        <v>53</v>
      </c>
      <c r="G812" s="3">
        <v>1</v>
      </c>
      <c r="I812" t="str">
        <f t="shared" si="36"/>
        <v>25-34</v>
      </c>
      <c r="J812" t="str">
        <f t="shared" si="37"/>
        <v>Promoted in 1-3 years</v>
      </c>
      <c r="K812">
        <f t="shared" si="38"/>
        <v>0</v>
      </c>
    </row>
    <row r="813" spans="1:11" x14ac:dyDescent="0.25">
      <c r="A813" s="5">
        <v>449</v>
      </c>
      <c r="B813" s="3">
        <v>27</v>
      </c>
      <c r="C813" t="s">
        <v>43</v>
      </c>
      <c r="D813" t="s">
        <v>64</v>
      </c>
      <c r="E813" t="s">
        <v>61</v>
      </c>
      <c r="F813" t="s">
        <v>36</v>
      </c>
      <c r="G813" s="3">
        <v>1</v>
      </c>
      <c r="I813" t="str">
        <f t="shared" si="36"/>
        <v>25-34</v>
      </c>
      <c r="J813" t="str">
        <f t="shared" si="37"/>
        <v>Promoted in 1-3 years</v>
      </c>
      <c r="K813">
        <f t="shared" si="38"/>
        <v>0</v>
      </c>
    </row>
    <row r="814" spans="1:11" x14ac:dyDescent="0.25">
      <c r="A814" s="5">
        <v>308</v>
      </c>
      <c r="B814" s="3">
        <v>31</v>
      </c>
      <c r="C814" t="s">
        <v>43</v>
      </c>
      <c r="D814" t="s">
        <v>35</v>
      </c>
      <c r="E814" t="s">
        <v>61</v>
      </c>
      <c r="F814" t="s">
        <v>36</v>
      </c>
      <c r="G814" s="3">
        <v>1</v>
      </c>
      <c r="I814" t="str">
        <f t="shared" si="36"/>
        <v>25-34</v>
      </c>
      <c r="J814" t="str">
        <f t="shared" si="37"/>
        <v>Promoted in 1-3 years</v>
      </c>
      <c r="K814">
        <f t="shared" si="38"/>
        <v>0</v>
      </c>
    </row>
    <row r="815" spans="1:11" x14ac:dyDescent="0.25">
      <c r="A815" s="5">
        <v>562</v>
      </c>
      <c r="B815" s="3">
        <v>30</v>
      </c>
      <c r="C815" t="s">
        <v>43</v>
      </c>
      <c r="D815" t="s">
        <v>49</v>
      </c>
      <c r="E815" t="s">
        <v>61</v>
      </c>
      <c r="F815" t="s">
        <v>36</v>
      </c>
      <c r="G815" s="3">
        <v>1</v>
      </c>
      <c r="I815" t="str">
        <f t="shared" si="36"/>
        <v>25-34</v>
      </c>
      <c r="J815" t="str">
        <f t="shared" si="37"/>
        <v>Promoted in 1-3 years</v>
      </c>
      <c r="K815">
        <f t="shared" si="38"/>
        <v>0</v>
      </c>
    </row>
    <row r="816" spans="1:11" x14ac:dyDescent="0.25">
      <c r="A816" s="5">
        <v>1947</v>
      </c>
      <c r="B816" s="3">
        <v>28</v>
      </c>
      <c r="C816" t="s">
        <v>43</v>
      </c>
      <c r="D816" t="s">
        <v>49</v>
      </c>
      <c r="E816" t="s">
        <v>41</v>
      </c>
      <c r="F816" t="s">
        <v>42</v>
      </c>
      <c r="G816" s="3">
        <v>1</v>
      </c>
      <c r="I816" t="str">
        <f t="shared" si="36"/>
        <v>25-34</v>
      </c>
      <c r="J816" t="str">
        <f t="shared" si="37"/>
        <v>Promoted in 1-3 years</v>
      </c>
      <c r="K816">
        <f t="shared" si="38"/>
        <v>0</v>
      </c>
    </row>
    <row r="817" spans="1:11" x14ac:dyDescent="0.25">
      <c r="A817" s="5">
        <v>1955</v>
      </c>
      <c r="B817" s="3">
        <v>32</v>
      </c>
      <c r="C817" t="s">
        <v>43</v>
      </c>
      <c r="D817" t="s">
        <v>35</v>
      </c>
      <c r="E817" t="s">
        <v>52</v>
      </c>
      <c r="F817" t="s">
        <v>36</v>
      </c>
      <c r="G817" s="3">
        <v>1</v>
      </c>
      <c r="I817" t="str">
        <f t="shared" si="36"/>
        <v>25-34</v>
      </c>
      <c r="J817" t="str">
        <f t="shared" si="37"/>
        <v>Promoted in 1-3 years</v>
      </c>
      <c r="K817">
        <f t="shared" si="38"/>
        <v>0</v>
      </c>
    </row>
    <row r="818" spans="1:11" x14ac:dyDescent="0.25">
      <c r="A818" s="5">
        <v>838</v>
      </c>
      <c r="B818" s="3">
        <v>34</v>
      </c>
      <c r="C818" t="s">
        <v>43</v>
      </c>
      <c r="D818" t="s">
        <v>35</v>
      </c>
      <c r="E818" t="s">
        <v>41</v>
      </c>
      <c r="F818" t="s">
        <v>42</v>
      </c>
      <c r="G818" s="3">
        <v>1</v>
      </c>
      <c r="I818" t="str">
        <f t="shared" si="36"/>
        <v>25-34</v>
      </c>
      <c r="J818" t="str">
        <f t="shared" si="37"/>
        <v>Promoted in 1-3 years</v>
      </c>
      <c r="K818">
        <f t="shared" si="38"/>
        <v>0</v>
      </c>
    </row>
    <row r="819" spans="1:11" x14ac:dyDescent="0.25">
      <c r="A819" s="5">
        <v>422</v>
      </c>
      <c r="B819" s="3">
        <v>58</v>
      </c>
      <c r="C819" t="s">
        <v>43</v>
      </c>
      <c r="D819" t="s">
        <v>35</v>
      </c>
      <c r="E819" t="s">
        <v>52</v>
      </c>
      <c r="F819" t="s">
        <v>36</v>
      </c>
      <c r="G819" s="3">
        <v>1</v>
      </c>
      <c r="I819" t="str">
        <f t="shared" si="36"/>
        <v>55-60</v>
      </c>
      <c r="J819" t="str">
        <f t="shared" si="37"/>
        <v>Promoted in 1-3 years</v>
      </c>
      <c r="K819">
        <f t="shared" si="38"/>
        <v>0</v>
      </c>
    </row>
    <row r="820" spans="1:11" x14ac:dyDescent="0.25">
      <c r="A820" s="5">
        <v>1245</v>
      </c>
      <c r="B820" s="3">
        <v>54</v>
      </c>
      <c r="C820" t="s">
        <v>43</v>
      </c>
      <c r="D820" t="s">
        <v>35</v>
      </c>
      <c r="E820" t="s">
        <v>52</v>
      </c>
      <c r="F820" t="s">
        <v>36</v>
      </c>
      <c r="G820" s="3">
        <v>1</v>
      </c>
      <c r="I820" t="str">
        <f t="shared" si="36"/>
        <v>45-54</v>
      </c>
      <c r="J820" t="str">
        <f t="shared" si="37"/>
        <v>Promoted in 1-3 years</v>
      </c>
      <c r="K820">
        <f t="shared" si="38"/>
        <v>0</v>
      </c>
    </row>
    <row r="821" spans="1:11" x14ac:dyDescent="0.25">
      <c r="A821" s="5">
        <v>744</v>
      </c>
      <c r="B821" s="3">
        <v>44</v>
      </c>
      <c r="C821" t="s">
        <v>43</v>
      </c>
      <c r="D821" t="s">
        <v>49</v>
      </c>
      <c r="E821" t="s">
        <v>41</v>
      </c>
      <c r="F821" t="s">
        <v>42</v>
      </c>
      <c r="G821" s="3">
        <v>1</v>
      </c>
      <c r="I821" t="str">
        <f t="shared" si="36"/>
        <v>35-44</v>
      </c>
      <c r="J821" t="str">
        <f t="shared" si="37"/>
        <v>Promoted in 1-3 years</v>
      </c>
      <c r="K821">
        <f t="shared" si="38"/>
        <v>0</v>
      </c>
    </row>
    <row r="822" spans="1:11" x14ac:dyDescent="0.25">
      <c r="A822" s="5">
        <v>1720</v>
      </c>
      <c r="B822" s="3">
        <v>32</v>
      </c>
      <c r="C822" t="s">
        <v>43</v>
      </c>
      <c r="D822" t="s">
        <v>49</v>
      </c>
      <c r="E822" t="s">
        <v>61</v>
      </c>
      <c r="F822" t="s">
        <v>36</v>
      </c>
      <c r="G822" s="3">
        <v>1</v>
      </c>
      <c r="I822" t="str">
        <f t="shared" si="36"/>
        <v>25-34</v>
      </c>
      <c r="J822" t="str">
        <f t="shared" si="37"/>
        <v>Promoted in 1-3 years</v>
      </c>
      <c r="K822">
        <f t="shared" si="38"/>
        <v>0</v>
      </c>
    </row>
    <row r="823" spans="1:11" x14ac:dyDescent="0.25">
      <c r="A823" s="5">
        <v>1704</v>
      </c>
      <c r="B823" s="3">
        <v>35</v>
      </c>
      <c r="C823" t="s">
        <v>43</v>
      </c>
      <c r="D823" t="s">
        <v>35</v>
      </c>
      <c r="E823" t="s">
        <v>41</v>
      </c>
      <c r="F823" t="s">
        <v>42</v>
      </c>
      <c r="G823" s="3">
        <v>1</v>
      </c>
      <c r="I823" t="str">
        <f t="shared" si="36"/>
        <v>35-44</v>
      </c>
      <c r="J823" t="str">
        <f t="shared" si="37"/>
        <v>Promoted in 1-3 years</v>
      </c>
      <c r="K823">
        <f t="shared" si="38"/>
        <v>0</v>
      </c>
    </row>
    <row r="824" spans="1:11" x14ac:dyDescent="0.25">
      <c r="A824" s="5">
        <v>1648</v>
      </c>
      <c r="B824" s="3">
        <v>27</v>
      </c>
      <c r="C824" t="s">
        <v>43</v>
      </c>
      <c r="D824" t="s">
        <v>49</v>
      </c>
      <c r="E824" t="s">
        <v>41</v>
      </c>
      <c r="F824" t="s">
        <v>42</v>
      </c>
      <c r="G824" s="3">
        <v>1</v>
      </c>
      <c r="I824" t="str">
        <f t="shared" si="36"/>
        <v>25-34</v>
      </c>
      <c r="J824" t="str">
        <f t="shared" si="37"/>
        <v>Promoted in 1-3 years</v>
      </c>
      <c r="K824">
        <f t="shared" si="38"/>
        <v>0</v>
      </c>
    </row>
    <row r="825" spans="1:11" x14ac:dyDescent="0.25">
      <c r="A825" s="5">
        <v>26</v>
      </c>
      <c r="B825" s="3">
        <v>24</v>
      </c>
      <c r="C825" t="s">
        <v>43</v>
      </c>
      <c r="D825" t="s">
        <v>67</v>
      </c>
      <c r="E825" t="s">
        <v>52</v>
      </c>
      <c r="F825" t="s">
        <v>36</v>
      </c>
      <c r="G825" s="3">
        <v>1</v>
      </c>
      <c r="I825" t="str">
        <f t="shared" si="36"/>
        <v>18-24</v>
      </c>
      <c r="J825" t="str">
        <f t="shared" si="37"/>
        <v>Promoted in 1-3 years</v>
      </c>
      <c r="K825">
        <f t="shared" si="38"/>
        <v>0</v>
      </c>
    </row>
    <row r="826" spans="1:11" x14ac:dyDescent="0.25">
      <c r="A826" s="5">
        <v>1507</v>
      </c>
      <c r="B826" s="3">
        <v>28</v>
      </c>
      <c r="C826" t="s">
        <v>43</v>
      </c>
      <c r="D826" t="s">
        <v>49</v>
      </c>
      <c r="E826" t="s">
        <v>41</v>
      </c>
      <c r="F826" t="s">
        <v>42</v>
      </c>
      <c r="G826" s="3">
        <v>1</v>
      </c>
      <c r="I826" t="str">
        <f t="shared" si="36"/>
        <v>25-34</v>
      </c>
      <c r="J826" t="str">
        <f t="shared" si="37"/>
        <v>Promoted in 1-3 years</v>
      </c>
      <c r="K826">
        <f t="shared" si="38"/>
        <v>0</v>
      </c>
    </row>
    <row r="827" spans="1:11" x14ac:dyDescent="0.25">
      <c r="A827" s="5">
        <v>1605</v>
      </c>
      <c r="B827" s="3">
        <v>22</v>
      </c>
      <c r="C827" t="s">
        <v>43</v>
      </c>
      <c r="D827" t="s">
        <v>67</v>
      </c>
      <c r="E827" t="s">
        <v>61</v>
      </c>
      <c r="F827" t="s">
        <v>42</v>
      </c>
      <c r="G827" s="3">
        <v>1</v>
      </c>
      <c r="I827" t="str">
        <f t="shared" si="36"/>
        <v>18-24</v>
      </c>
      <c r="J827" t="str">
        <f t="shared" si="37"/>
        <v>Promoted in 1-3 years</v>
      </c>
      <c r="K827">
        <f t="shared" si="38"/>
        <v>0</v>
      </c>
    </row>
    <row r="828" spans="1:11" x14ac:dyDescent="0.25">
      <c r="A828" s="5">
        <v>91</v>
      </c>
      <c r="B828" s="3">
        <v>59</v>
      </c>
      <c r="C828" t="s">
        <v>43</v>
      </c>
      <c r="D828" t="s">
        <v>64</v>
      </c>
      <c r="E828" t="s">
        <v>41</v>
      </c>
      <c r="F828" t="s">
        <v>42</v>
      </c>
      <c r="G828" s="3">
        <v>1</v>
      </c>
      <c r="I828" t="str">
        <f t="shared" si="36"/>
        <v>55-60</v>
      </c>
      <c r="J828" t="str">
        <f t="shared" si="37"/>
        <v>Promoted in 1-3 years</v>
      </c>
      <c r="K828">
        <f t="shared" si="38"/>
        <v>0</v>
      </c>
    </row>
    <row r="829" spans="1:11" x14ac:dyDescent="0.25">
      <c r="A829" s="5">
        <v>403</v>
      </c>
      <c r="B829" s="3">
        <v>37</v>
      </c>
      <c r="C829" t="s">
        <v>43</v>
      </c>
      <c r="D829" t="s">
        <v>49</v>
      </c>
      <c r="E829" t="s">
        <v>61</v>
      </c>
      <c r="F829" t="s">
        <v>50</v>
      </c>
      <c r="G829" s="3">
        <v>1</v>
      </c>
      <c r="I829" t="str">
        <f t="shared" si="36"/>
        <v>35-44</v>
      </c>
      <c r="J829" t="str">
        <f t="shared" si="37"/>
        <v>Promoted in 1-3 years</v>
      </c>
      <c r="K829">
        <f t="shared" si="38"/>
        <v>0</v>
      </c>
    </row>
    <row r="830" spans="1:11" x14ac:dyDescent="0.25">
      <c r="A830" s="5">
        <v>1431</v>
      </c>
      <c r="B830" s="3">
        <v>34</v>
      </c>
      <c r="C830" t="s">
        <v>43</v>
      </c>
      <c r="D830" t="s">
        <v>35</v>
      </c>
      <c r="E830" t="s">
        <v>52</v>
      </c>
      <c r="F830" t="s">
        <v>53</v>
      </c>
      <c r="G830" s="3">
        <v>1</v>
      </c>
      <c r="I830" t="str">
        <f t="shared" si="36"/>
        <v>25-34</v>
      </c>
      <c r="J830" t="str">
        <f t="shared" si="37"/>
        <v>Promoted in 1-3 years</v>
      </c>
      <c r="K830">
        <f t="shared" si="38"/>
        <v>0</v>
      </c>
    </row>
    <row r="831" spans="1:11" x14ac:dyDescent="0.25">
      <c r="A831" s="5">
        <v>216</v>
      </c>
      <c r="B831" s="3">
        <v>34</v>
      </c>
      <c r="C831" t="s">
        <v>43</v>
      </c>
      <c r="D831" t="s">
        <v>35</v>
      </c>
      <c r="E831" t="s">
        <v>61</v>
      </c>
      <c r="F831" t="s">
        <v>36</v>
      </c>
      <c r="G831" s="3">
        <v>1</v>
      </c>
      <c r="I831" t="str">
        <f t="shared" si="36"/>
        <v>25-34</v>
      </c>
      <c r="J831" t="str">
        <f t="shared" si="37"/>
        <v>Promoted in 1-3 years</v>
      </c>
      <c r="K831">
        <f t="shared" si="38"/>
        <v>0</v>
      </c>
    </row>
    <row r="832" spans="1:11" x14ac:dyDescent="0.25">
      <c r="A832" s="5">
        <v>791</v>
      </c>
      <c r="B832" s="3">
        <v>52</v>
      </c>
      <c r="C832" t="s">
        <v>43</v>
      </c>
      <c r="D832" t="s">
        <v>35</v>
      </c>
      <c r="E832" t="s">
        <v>61</v>
      </c>
      <c r="F832" t="s">
        <v>36</v>
      </c>
      <c r="G832" s="3">
        <v>1</v>
      </c>
      <c r="I832" t="str">
        <f t="shared" si="36"/>
        <v>45-54</v>
      </c>
      <c r="J832" t="str">
        <f t="shared" si="37"/>
        <v>Promoted in 1-3 years</v>
      </c>
      <c r="K832">
        <f t="shared" si="38"/>
        <v>0</v>
      </c>
    </row>
    <row r="833" spans="1:11" x14ac:dyDescent="0.25">
      <c r="A833" s="5">
        <v>837</v>
      </c>
      <c r="B833" s="3">
        <v>38</v>
      </c>
      <c r="C833" t="s">
        <v>43</v>
      </c>
      <c r="D833" t="s">
        <v>49</v>
      </c>
      <c r="E833" t="s">
        <v>52</v>
      </c>
      <c r="F833" t="s">
        <v>36</v>
      </c>
      <c r="G833" s="3">
        <v>1</v>
      </c>
      <c r="I833" t="str">
        <f t="shared" si="36"/>
        <v>35-44</v>
      </c>
      <c r="J833" t="str">
        <f t="shared" si="37"/>
        <v>Promoted in 1-3 years</v>
      </c>
      <c r="K833">
        <f t="shared" si="38"/>
        <v>0</v>
      </c>
    </row>
    <row r="834" spans="1:11" x14ac:dyDescent="0.25">
      <c r="A834" s="5">
        <v>1813</v>
      </c>
      <c r="B834" s="3">
        <v>43</v>
      </c>
      <c r="C834" t="s">
        <v>43</v>
      </c>
      <c r="D834" t="s">
        <v>49</v>
      </c>
      <c r="E834" t="s">
        <v>41</v>
      </c>
      <c r="F834" t="s">
        <v>42</v>
      </c>
      <c r="G834" s="3">
        <v>1</v>
      </c>
      <c r="I834" t="str">
        <f t="shared" si="36"/>
        <v>35-44</v>
      </c>
      <c r="J834" t="str">
        <f t="shared" si="37"/>
        <v>Promoted in 1-3 years</v>
      </c>
      <c r="K834">
        <f t="shared" si="38"/>
        <v>0</v>
      </c>
    </row>
    <row r="835" spans="1:11" x14ac:dyDescent="0.25">
      <c r="A835" s="5">
        <v>171</v>
      </c>
      <c r="B835" s="3">
        <v>43</v>
      </c>
      <c r="C835" t="s">
        <v>43</v>
      </c>
      <c r="D835" t="s">
        <v>49</v>
      </c>
      <c r="E835" t="s">
        <v>41</v>
      </c>
      <c r="F835" t="s">
        <v>42</v>
      </c>
      <c r="G835" s="3">
        <v>1</v>
      </c>
      <c r="I835" t="str">
        <f t="shared" ref="I835:I898" si="39">IF(B835&lt;=24, "18-24", IF(B835&lt;=34,"25-34", IF(B835&lt;=44,"35-44", IF(B835&lt;=54,"45-54", IF(B835&lt;=60, "55-60")))))</f>
        <v>35-44</v>
      </c>
      <c r="J835" t="str">
        <f t="shared" ref="J835:J898" si="40">IF(G835&lt;=0,"Recently promoted",IF(G835&lt;=3,"Promoted in 1-3 years","Long Promotion gap"))</f>
        <v>Promoted in 1-3 years</v>
      </c>
      <c r="K835">
        <f t="shared" ref="K835:K898" si="41">IF(C835="Yes", 1, 0)</f>
        <v>0</v>
      </c>
    </row>
    <row r="836" spans="1:11" x14ac:dyDescent="0.25">
      <c r="A836" s="5">
        <v>1096</v>
      </c>
      <c r="B836" s="3">
        <v>55</v>
      </c>
      <c r="C836" t="s">
        <v>43</v>
      </c>
      <c r="D836" t="s">
        <v>64</v>
      </c>
      <c r="E836" t="s">
        <v>61</v>
      </c>
      <c r="F836" t="s">
        <v>36</v>
      </c>
      <c r="G836" s="3">
        <v>1</v>
      </c>
      <c r="I836" t="str">
        <f t="shared" si="39"/>
        <v>55-60</v>
      </c>
      <c r="J836" t="str">
        <f t="shared" si="40"/>
        <v>Promoted in 1-3 years</v>
      </c>
      <c r="K836">
        <f t="shared" si="41"/>
        <v>0</v>
      </c>
    </row>
    <row r="837" spans="1:11" x14ac:dyDescent="0.25">
      <c r="A837" s="5">
        <v>396</v>
      </c>
      <c r="B837" s="3">
        <v>49</v>
      </c>
      <c r="C837" t="s">
        <v>43</v>
      </c>
      <c r="D837" t="s">
        <v>35</v>
      </c>
      <c r="E837" t="s">
        <v>41</v>
      </c>
      <c r="F837" t="s">
        <v>42</v>
      </c>
      <c r="G837" s="3">
        <v>1</v>
      </c>
      <c r="I837" t="str">
        <f t="shared" si="39"/>
        <v>45-54</v>
      </c>
      <c r="J837" t="str">
        <f t="shared" si="40"/>
        <v>Promoted in 1-3 years</v>
      </c>
      <c r="K837">
        <f t="shared" si="41"/>
        <v>0</v>
      </c>
    </row>
    <row r="838" spans="1:11" x14ac:dyDescent="0.25">
      <c r="A838" s="5">
        <v>523</v>
      </c>
      <c r="B838" s="3">
        <v>34</v>
      </c>
      <c r="C838" t="s">
        <v>43</v>
      </c>
      <c r="D838" t="s">
        <v>35</v>
      </c>
      <c r="E838" t="s">
        <v>61</v>
      </c>
      <c r="F838" t="s">
        <v>36</v>
      </c>
      <c r="G838" s="3">
        <v>1</v>
      </c>
      <c r="I838" t="str">
        <f t="shared" si="39"/>
        <v>25-34</v>
      </c>
      <c r="J838" t="str">
        <f t="shared" si="40"/>
        <v>Promoted in 1-3 years</v>
      </c>
      <c r="K838">
        <f t="shared" si="41"/>
        <v>0</v>
      </c>
    </row>
    <row r="839" spans="1:11" x14ac:dyDescent="0.25">
      <c r="A839" s="5">
        <v>1929</v>
      </c>
      <c r="B839" s="3">
        <v>39</v>
      </c>
      <c r="C839" t="s">
        <v>43</v>
      </c>
      <c r="D839" t="s">
        <v>35</v>
      </c>
      <c r="E839" t="s">
        <v>61</v>
      </c>
      <c r="F839" t="s">
        <v>36</v>
      </c>
      <c r="G839" s="3">
        <v>1</v>
      </c>
      <c r="I839" t="str">
        <f t="shared" si="39"/>
        <v>35-44</v>
      </c>
      <c r="J839" t="str">
        <f t="shared" si="40"/>
        <v>Promoted in 1-3 years</v>
      </c>
      <c r="K839">
        <f t="shared" si="41"/>
        <v>0</v>
      </c>
    </row>
    <row r="840" spans="1:11" x14ac:dyDescent="0.25">
      <c r="A840" s="5">
        <v>1094</v>
      </c>
      <c r="B840" s="3">
        <v>27</v>
      </c>
      <c r="C840" t="s">
        <v>43</v>
      </c>
      <c r="D840" t="s">
        <v>70</v>
      </c>
      <c r="E840" t="s">
        <v>61</v>
      </c>
      <c r="F840" t="s">
        <v>50</v>
      </c>
      <c r="G840" s="3">
        <v>1</v>
      </c>
      <c r="I840" t="str">
        <f t="shared" si="39"/>
        <v>25-34</v>
      </c>
      <c r="J840" t="str">
        <f t="shared" si="40"/>
        <v>Promoted in 1-3 years</v>
      </c>
      <c r="K840">
        <f t="shared" si="41"/>
        <v>0</v>
      </c>
    </row>
    <row r="841" spans="1:11" x14ac:dyDescent="0.25">
      <c r="A841" s="5">
        <v>1662</v>
      </c>
      <c r="B841" s="3">
        <v>36</v>
      </c>
      <c r="C841" t="s">
        <v>43</v>
      </c>
      <c r="D841" t="s">
        <v>35</v>
      </c>
      <c r="E841" t="s">
        <v>61</v>
      </c>
      <c r="F841" t="s">
        <v>42</v>
      </c>
      <c r="G841" s="3">
        <v>1</v>
      </c>
      <c r="I841" t="str">
        <f t="shared" si="39"/>
        <v>35-44</v>
      </c>
      <c r="J841" t="str">
        <f t="shared" si="40"/>
        <v>Promoted in 1-3 years</v>
      </c>
      <c r="K841">
        <f t="shared" si="41"/>
        <v>0</v>
      </c>
    </row>
    <row r="842" spans="1:11" x14ac:dyDescent="0.25">
      <c r="A842" s="5">
        <v>88</v>
      </c>
      <c r="B842" s="3">
        <v>35</v>
      </c>
      <c r="C842" t="s">
        <v>43</v>
      </c>
      <c r="D842" t="s">
        <v>49</v>
      </c>
      <c r="E842" t="s">
        <v>61</v>
      </c>
      <c r="F842" t="s">
        <v>36</v>
      </c>
      <c r="G842" s="3">
        <v>1</v>
      </c>
      <c r="I842" t="str">
        <f t="shared" si="39"/>
        <v>35-44</v>
      </c>
      <c r="J842" t="str">
        <f t="shared" si="40"/>
        <v>Promoted in 1-3 years</v>
      </c>
      <c r="K842">
        <f t="shared" si="41"/>
        <v>0</v>
      </c>
    </row>
    <row r="843" spans="1:11" x14ac:dyDescent="0.25">
      <c r="A843" s="5">
        <v>132</v>
      </c>
      <c r="B843" s="3">
        <v>44</v>
      </c>
      <c r="C843" t="s">
        <v>43</v>
      </c>
      <c r="D843" t="s">
        <v>49</v>
      </c>
      <c r="E843" t="s">
        <v>61</v>
      </c>
      <c r="F843" t="s">
        <v>36</v>
      </c>
      <c r="G843" s="3">
        <v>1</v>
      </c>
      <c r="I843" t="str">
        <f t="shared" si="39"/>
        <v>35-44</v>
      </c>
      <c r="J843" t="str">
        <f t="shared" si="40"/>
        <v>Promoted in 1-3 years</v>
      </c>
      <c r="K843">
        <f t="shared" si="41"/>
        <v>0</v>
      </c>
    </row>
    <row r="844" spans="1:11" x14ac:dyDescent="0.25">
      <c r="A844" s="5">
        <v>1722</v>
      </c>
      <c r="B844" s="3">
        <v>41</v>
      </c>
      <c r="C844" t="s">
        <v>43</v>
      </c>
      <c r="D844" t="s">
        <v>49</v>
      </c>
      <c r="E844" t="s">
        <v>61</v>
      </c>
      <c r="F844" t="s">
        <v>36</v>
      </c>
      <c r="G844" s="3">
        <v>1</v>
      </c>
      <c r="I844" t="str">
        <f t="shared" si="39"/>
        <v>35-44</v>
      </c>
      <c r="J844" t="str">
        <f t="shared" si="40"/>
        <v>Promoted in 1-3 years</v>
      </c>
      <c r="K844">
        <f t="shared" si="41"/>
        <v>0</v>
      </c>
    </row>
    <row r="845" spans="1:11" x14ac:dyDescent="0.25">
      <c r="A845" s="5">
        <v>1185</v>
      </c>
      <c r="B845" s="3">
        <v>35</v>
      </c>
      <c r="C845" t="s">
        <v>43</v>
      </c>
      <c r="D845" t="s">
        <v>35</v>
      </c>
      <c r="E845" t="s">
        <v>61</v>
      </c>
      <c r="F845" t="s">
        <v>36</v>
      </c>
      <c r="G845" s="3">
        <v>1</v>
      </c>
      <c r="I845" t="str">
        <f t="shared" si="39"/>
        <v>35-44</v>
      </c>
      <c r="J845" t="str">
        <f t="shared" si="40"/>
        <v>Promoted in 1-3 years</v>
      </c>
      <c r="K845">
        <f t="shared" si="41"/>
        <v>0</v>
      </c>
    </row>
    <row r="846" spans="1:11" x14ac:dyDescent="0.25">
      <c r="A846" s="5">
        <v>1044</v>
      </c>
      <c r="B846" s="3">
        <v>33</v>
      </c>
      <c r="C846" t="s">
        <v>43</v>
      </c>
      <c r="D846" t="s">
        <v>64</v>
      </c>
      <c r="E846" t="s">
        <v>41</v>
      </c>
      <c r="F846" t="s">
        <v>42</v>
      </c>
      <c r="G846" s="3">
        <v>1</v>
      </c>
      <c r="I846" t="str">
        <f t="shared" si="39"/>
        <v>25-34</v>
      </c>
      <c r="J846" t="str">
        <f t="shared" si="40"/>
        <v>Promoted in 1-3 years</v>
      </c>
      <c r="K846">
        <f t="shared" si="41"/>
        <v>0</v>
      </c>
    </row>
    <row r="847" spans="1:11" x14ac:dyDescent="0.25">
      <c r="A847" s="5">
        <v>1296</v>
      </c>
      <c r="B847" s="3">
        <v>28</v>
      </c>
      <c r="C847" t="s">
        <v>43</v>
      </c>
      <c r="D847" t="s">
        <v>49</v>
      </c>
      <c r="E847" t="s">
        <v>61</v>
      </c>
      <c r="F847" t="s">
        <v>36</v>
      </c>
      <c r="G847" s="3">
        <v>1</v>
      </c>
      <c r="I847" t="str">
        <f t="shared" si="39"/>
        <v>25-34</v>
      </c>
      <c r="J847" t="str">
        <f t="shared" si="40"/>
        <v>Promoted in 1-3 years</v>
      </c>
      <c r="K847">
        <f t="shared" si="41"/>
        <v>0</v>
      </c>
    </row>
    <row r="848" spans="1:11" x14ac:dyDescent="0.25">
      <c r="A848" s="5">
        <v>591</v>
      </c>
      <c r="B848" s="3">
        <v>42</v>
      </c>
      <c r="C848" t="s">
        <v>43</v>
      </c>
      <c r="D848" t="s">
        <v>67</v>
      </c>
      <c r="E848" t="s">
        <v>61</v>
      </c>
      <c r="F848" t="s">
        <v>36</v>
      </c>
      <c r="G848" s="3">
        <v>1</v>
      </c>
      <c r="I848" t="str">
        <f t="shared" si="39"/>
        <v>35-44</v>
      </c>
      <c r="J848" t="str">
        <f t="shared" si="40"/>
        <v>Promoted in 1-3 years</v>
      </c>
      <c r="K848">
        <f t="shared" si="41"/>
        <v>0</v>
      </c>
    </row>
    <row r="849" spans="1:11" x14ac:dyDescent="0.25">
      <c r="A849" s="5">
        <v>875</v>
      </c>
      <c r="B849" s="3">
        <v>42</v>
      </c>
      <c r="C849" t="s">
        <v>43</v>
      </c>
      <c r="D849" t="s">
        <v>64</v>
      </c>
      <c r="E849" t="s">
        <v>41</v>
      </c>
      <c r="F849" t="s">
        <v>42</v>
      </c>
      <c r="G849" s="3">
        <v>1</v>
      </c>
      <c r="I849" t="str">
        <f t="shared" si="39"/>
        <v>35-44</v>
      </c>
      <c r="J849" t="str">
        <f t="shared" si="40"/>
        <v>Promoted in 1-3 years</v>
      </c>
      <c r="K849">
        <f t="shared" si="41"/>
        <v>0</v>
      </c>
    </row>
    <row r="850" spans="1:11" x14ac:dyDescent="0.25">
      <c r="A850" s="5">
        <v>337</v>
      </c>
      <c r="B850" s="3">
        <v>31</v>
      </c>
      <c r="C850" t="s">
        <v>43</v>
      </c>
      <c r="D850" t="s">
        <v>35</v>
      </c>
      <c r="E850" t="s">
        <v>52</v>
      </c>
      <c r="F850" t="s">
        <v>36</v>
      </c>
      <c r="G850" s="3">
        <v>1</v>
      </c>
      <c r="I850" t="str">
        <f t="shared" si="39"/>
        <v>25-34</v>
      </c>
      <c r="J850" t="str">
        <f t="shared" si="40"/>
        <v>Promoted in 1-3 years</v>
      </c>
      <c r="K850">
        <f t="shared" si="41"/>
        <v>0</v>
      </c>
    </row>
    <row r="851" spans="1:11" x14ac:dyDescent="0.25">
      <c r="A851" s="5">
        <v>624</v>
      </c>
      <c r="B851" s="3">
        <v>46</v>
      </c>
      <c r="C851" t="s">
        <v>43</v>
      </c>
      <c r="D851" t="s">
        <v>64</v>
      </c>
      <c r="E851" t="s">
        <v>61</v>
      </c>
      <c r="F851" t="s">
        <v>42</v>
      </c>
      <c r="G851" s="3">
        <v>1</v>
      </c>
      <c r="I851" t="str">
        <f t="shared" si="39"/>
        <v>45-54</v>
      </c>
      <c r="J851" t="str">
        <f t="shared" si="40"/>
        <v>Promoted in 1-3 years</v>
      </c>
      <c r="K851">
        <f t="shared" si="41"/>
        <v>0</v>
      </c>
    </row>
    <row r="852" spans="1:11" x14ac:dyDescent="0.25">
      <c r="A852" s="5">
        <v>131</v>
      </c>
      <c r="B852" s="3">
        <v>58</v>
      </c>
      <c r="C852" t="s">
        <v>43</v>
      </c>
      <c r="D852" t="s">
        <v>35</v>
      </c>
      <c r="E852" t="s">
        <v>41</v>
      </c>
      <c r="F852" t="s">
        <v>42</v>
      </c>
      <c r="G852" s="3">
        <v>1</v>
      </c>
      <c r="I852" t="str">
        <f t="shared" si="39"/>
        <v>55-60</v>
      </c>
      <c r="J852" t="str">
        <f t="shared" si="40"/>
        <v>Promoted in 1-3 years</v>
      </c>
      <c r="K852">
        <f t="shared" si="41"/>
        <v>0</v>
      </c>
    </row>
    <row r="853" spans="1:11" x14ac:dyDescent="0.25">
      <c r="A853" s="5">
        <v>558</v>
      </c>
      <c r="B853" s="3">
        <v>40</v>
      </c>
      <c r="C853" t="s">
        <v>43</v>
      </c>
      <c r="D853" t="s">
        <v>35</v>
      </c>
      <c r="E853" t="s">
        <v>61</v>
      </c>
      <c r="F853" t="s">
        <v>42</v>
      </c>
      <c r="G853" s="3">
        <v>1</v>
      </c>
      <c r="I853" t="str">
        <f t="shared" si="39"/>
        <v>35-44</v>
      </c>
      <c r="J853" t="str">
        <f t="shared" si="40"/>
        <v>Promoted in 1-3 years</v>
      </c>
      <c r="K853">
        <f t="shared" si="41"/>
        <v>0</v>
      </c>
    </row>
    <row r="854" spans="1:11" x14ac:dyDescent="0.25">
      <c r="A854" s="5">
        <v>1179</v>
      </c>
      <c r="B854" s="3">
        <v>30</v>
      </c>
      <c r="C854" t="s">
        <v>43</v>
      </c>
      <c r="D854" t="s">
        <v>49</v>
      </c>
      <c r="E854" t="s">
        <v>61</v>
      </c>
      <c r="F854" t="s">
        <v>36</v>
      </c>
      <c r="G854" s="3">
        <v>1</v>
      </c>
      <c r="I854" t="str">
        <f t="shared" si="39"/>
        <v>25-34</v>
      </c>
      <c r="J854" t="str">
        <f t="shared" si="40"/>
        <v>Promoted in 1-3 years</v>
      </c>
      <c r="K854">
        <f t="shared" si="41"/>
        <v>0</v>
      </c>
    </row>
    <row r="855" spans="1:11" x14ac:dyDescent="0.25">
      <c r="A855" s="5">
        <v>456</v>
      </c>
      <c r="B855" s="3">
        <v>30</v>
      </c>
      <c r="C855" t="s">
        <v>43</v>
      </c>
      <c r="D855" t="s">
        <v>49</v>
      </c>
      <c r="E855" t="s">
        <v>52</v>
      </c>
      <c r="F855" t="s">
        <v>50</v>
      </c>
      <c r="G855" s="3">
        <v>1</v>
      </c>
      <c r="I855" t="str">
        <f t="shared" si="39"/>
        <v>25-34</v>
      </c>
      <c r="J855" t="str">
        <f t="shared" si="40"/>
        <v>Promoted in 1-3 years</v>
      </c>
      <c r="K855">
        <f t="shared" si="41"/>
        <v>0</v>
      </c>
    </row>
    <row r="856" spans="1:11" x14ac:dyDescent="0.25">
      <c r="A856" s="5">
        <v>1973</v>
      </c>
      <c r="B856" s="3">
        <v>55</v>
      </c>
      <c r="C856" t="s">
        <v>43</v>
      </c>
      <c r="D856" t="s">
        <v>35</v>
      </c>
      <c r="E856" t="s">
        <v>61</v>
      </c>
      <c r="F856" t="s">
        <v>36</v>
      </c>
      <c r="G856" s="3">
        <v>1</v>
      </c>
      <c r="I856" t="str">
        <f t="shared" si="39"/>
        <v>55-60</v>
      </c>
      <c r="J856" t="str">
        <f t="shared" si="40"/>
        <v>Promoted in 1-3 years</v>
      </c>
      <c r="K856">
        <f t="shared" si="41"/>
        <v>0</v>
      </c>
    </row>
    <row r="857" spans="1:11" x14ac:dyDescent="0.25">
      <c r="A857" s="5">
        <v>2041</v>
      </c>
      <c r="B857" s="3">
        <v>38</v>
      </c>
      <c r="C857" t="s">
        <v>43</v>
      </c>
      <c r="D857" t="s">
        <v>67</v>
      </c>
      <c r="E857" t="s">
        <v>61</v>
      </c>
      <c r="F857" t="s">
        <v>36</v>
      </c>
      <c r="G857" s="3">
        <v>1</v>
      </c>
      <c r="I857" t="str">
        <f t="shared" si="39"/>
        <v>35-44</v>
      </c>
      <c r="J857" t="str">
        <f t="shared" si="40"/>
        <v>Promoted in 1-3 years</v>
      </c>
      <c r="K857">
        <f t="shared" si="41"/>
        <v>0</v>
      </c>
    </row>
    <row r="858" spans="1:11" x14ac:dyDescent="0.25">
      <c r="A858" s="5">
        <v>1880</v>
      </c>
      <c r="B858" s="3">
        <v>36</v>
      </c>
      <c r="C858" t="s">
        <v>43</v>
      </c>
      <c r="D858" t="s">
        <v>35</v>
      </c>
      <c r="E858" t="s">
        <v>61</v>
      </c>
      <c r="F858" t="s">
        <v>36</v>
      </c>
      <c r="G858" s="3">
        <v>1</v>
      </c>
      <c r="I858" t="str">
        <f t="shared" si="39"/>
        <v>35-44</v>
      </c>
      <c r="J858" t="str">
        <f t="shared" si="40"/>
        <v>Promoted in 1-3 years</v>
      </c>
      <c r="K858">
        <f t="shared" si="41"/>
        <v>0</v>
      </c>
    </row>
    <row r="859" spans="1:11" x14ac:dyDescent="0.25">
      <c r="A859" s="5">
        <v>1045</v>
      </c>
      <c r="B859" s="3">
        <v>45</v>
      </c>
      <c r="C859" t="s">
        <v>43</v>
      </c>
      <c r="D859" t="s">
        <v>67</v>
      </c>
      <c r="E859" t="s">
        <v>61</v>
      </c>
      <c r="F859" t="s">
        <v>36</v>
      </c>
      <c r="G859" s="3">
        <v>1</v>
      </c>
      <c r="I859" t="str">
        <f t="shared" si="39"/>
        <v>45-54</v>
      </c>
      <c r="J859" t="str">
        <f t="shared" si="40"/>
        <v>Promoted in 1-3 years</v>
      </c>
      <c r="K859">
        <f t="shared" si="41"/>
        <v>0</v>
      </c>
    </row>
    <row r="860" spans="1:11" x14ac:dyDescent="0.25">
      <c r="A860" s="5">
        <v>1778</v>
      </c>
      <c r="B860" s="3">
        <v>43</v>
      </c>
      <c r="C860" t="s">
        <v>43</v>
      </c>
      <c r="D860" t="s">
        <v>49</v>
      </c>
      <c r="E860" t="s">
        <v>41</v>
      </c>
      <c r="F860" t="s">
        <v>42</v>
      </c>
      <c r="G860" s="3">
        <v>1</v>
      </c>
      <c r="I860" t="str">
        <f t="shared" si="39"/>
        <v>35-44</v>
      </c>
      <c r="J860" t="str">
        <f t="shared" si="40"/>
        <v>Promoted in 1-3 years</v>
      </c>
      <c r="K860">
        <f t="shared" si="41"/>
        <v>0</v>
      </c>
    </row>
    <row r="861" spans="1:11" x14ac:dyDescent="0.25">
      <c r="A861" s="5">
        <v>2040</v>
      </c>
      <c r="B861" s="3">
        <v>35</v>
      </c>
      <c r="C861" t="s">
        <v>43</v>
      </c>
      <c r="D861" t="s">
        <v>35</v>
      </c>
      <c r="E861" t="s">
        <v>41</v>
      </c>
      <c r="F861" t="s">
        <v>42</v>
      </c>
      <c r="G861" s="3">
        <v>1</v>
      </c>
      <c r="I861" t="str">
        <f t="shared" si="39"/>
        <v>35-44</v>
      </c>
      <c r="J861" t="str">
        <f t="shared" si="40"/>
        <v>Promoted in 1-3 years</v>
      </c>
      <c r="K861">
        <f t="shared" si="41"/>
        <v>0</v>
      </c>
    </row>
    <row r="862" spans="1:11" x14ac:dyDescent="0.25">
      <c r="A862" s="5">
        <v>1951</v>
      </c>
      <c r="B862" s="3">
        <v>34</v>
      </c>
      <c r="C862" t="s">
        <v>43</v>
      </c>
      <c r="D862" t="s">
        <v>35</v>
      </c>
      <c r="E862" t="s">
        <v>52</v>
      </c>
      <c r="F862" t="s">
        <v>36</v>
      </c>
      <c r="G862" s="3">
        <v>1</v>
      </c>
      <c r="I862" t="str">
        <f t="shared" si="39"/>
        <v>25-34</v>
      </c>
      <c r="J862" t="str">
        <f t="shared" si="40"/>
        <v>Promoted in 1-3 years</v>
      </c>
      <c r="K862">
        <f t="shared" si="41"/>
        <v>0</v>
      </c>
    </row>
    <row r="863" spans="1:11" x14ac:dyDescent="0.25">
      <c r="A863" s="5">
        <v>728</v>
      </c>
      <c r="B863" s="3">
        <v>47</v>
      </c>
      <c r="C863" t="s">
        <v>43</v>
      </c>
      <c r="D863" t="s">
        <v>35</v>
      </c>
      <c r="E863" t="s">
        <v>41</v>
      </c>
      <c r="F863" t="s">
        <v>42</v>
      </c>
      <c r="G863" s="3">
        <v>1</v>
      </c>
      <c r="I863" t="str">
        <f t="shared" si="39"/>
        <v>45-54</v>
      </c>
      <c r="J863" t="str">
        <f t="shared" si="40"/>
        <v>Promoted in 1-3 years</v>
      </c>
      <c r="K863">
        <f t="shared" si="41"/>
        <v>0</v>
      </c>
    </row>
    <row r="864" spans="1:11" x14ac:dyDescent="0.25">
      <c r="A864" s="5">
        <v>1754</v>
      </c>
      <c r="B864" s="3">
        <v>30</v>
      </c>
      <c r="C864" t="s">
        <v>43</v>
      </c>
      <c r="D864" t="s">
        <v>67</v>
      </c>
      <c r="E864" t="s">
        <v>52</v>
      </c>
      <c r="F864" t="s">
        <v>36</v>
      </c>
      <c r="G864" s="3">
        <v>1</v>
      </c>
      <c r="I864" t="str">
        <f t="shared" si="39"/>
        <v>25-34</v>
      </c>
      <c r="J864" t="str">
        <f t="shared" si="40"/>
        <v>Promoted in 1-3 years</v>
      </c>
      <c r="K864">
        <f t="shared" si="41"/>
        <v>0</v>
      </c>
    </row>
    <row r="865" spans="1:11" x14ac:dyDescent="0.25">
      <c r="A865" s="5">
        <v>463</v>
      </c>
      <c r="B865" s="3">
        <v>29</v>
      </c>
      <c r="C865" t="s">
        <v>43</v>
      </c>
      <c r="D865" t="s">
        <v>64</v>
      </c>
      <c r="E865" t="s">
        <v>52</v>
      </c>
      <c r="F865" t="s">
        <v>53</v>
      </c>
      <c r="G865" s="3">
        <v>1</v>
      </c>
      <c r="I865" t="str">
        <f t="shared" si="39"/>
        <v>25-34</v>
      </c>
      <c r="J865" t="str">
        <f t="shared" si="40"/>
        <v>Promoted in 1-3 years</v>
      </c>
      <c r="K865">
        <f t="shared" si="41"/>
        <v>0</v>
      </c>
    </row>
    <row r="866" spans="1:11" x14ac:dyDescent="0.25">
      <c r="A866" s="5">
        <v>1218</v>
      </c>
      <c r="B866" s="3">
        <v>35</v>
      </c>
      <c r="C866" t="s">
        <v>43</v>
      </c>
      <c r="D866" t="s">
        <v>35</v>
      </c>
      <c r="E866" t="s">
        <v>61</v>
      </c>
      <c r="F866" t="s">
        <v>50</v>
      </c>
      <c r="G866" s="3">
        <v>1</v>
      </c>
      <c r="I866" t="str">
        <f t="shared" si="39"/>
        <v>35-44</v>
      </c>
      <c r="J866" t="str">
        <f t="shared" si="40"/>
        <v>Promoted in 1-3 years</v>
      </c>
      <c r="K866">
        <f t="shared" si="41"/>
        <v>0</v>
      </c>
    </row>
    <row r="867" spans="1:11" x14ac:dyDescent="0.25">
      <c r="A867" s="5">
        <v>438</v>
      </c>
      <c r="B867" s="3">
        <v>31</v>
      </c>
      <c r="C867" t="s">
        <v>43</v>
      </c>
      <c r="D867" t="s">
        <v>49</v>
      </c>
      <c r="E867" t="s">
        <v>52</v>
      </c>
      <c r="F867" t="s">
        <v>50</v>
      </c>
      <c r="G867" s="3">
        <v>1</v>
      </c>
      <c r="I867" t="str">
        <f t="shared" si="39"/>
        <v>25-34</v>
      </c>
      <c r="J867" t="str">
        <f t="shared" si="40"/>
        <v>Promoted in 1-3 years</v>
      </c>
      <c r="K867">
        <f t="shared" si="41"/>
        <v>0</v>
      </c>
    </row>
    <row r="868" spans="1:11" x14ac:dyDescent="0.25">
      <c r="A868" s="5">
        <v>1171</v>
      </c>
      <c r="B868" s="3">
        <v>42</v>
      </c>
      <c r="C868" t="s">
        <v>43</v>
      </c>
      <c r="D868" t="s">
        <v>35</v>
      </c>
      <c r="E868" t="s">
        <v>41</v>
      </c>
      <c r="F868" t="s">
        <v>42</v>
      </c>
      <c r="G868" s="3">
        <v>1</v>
      </c>
      <c r="I868" t="str">
        <f t="shared" si="39"/>
        <v>35-44</v>
      </c>
      <c r="J868" t="str">
        <f t="shared" si="40"/>
        <v>Promoted in 1-3 years</v>
      </c>
      <c r="K868">
        <f t="shared" si="41"/>
        <v>0</v>
      </c>
    </row>
    <row r="869" spans="1:11" x14ac:dyDescent="0.25">
      <c r="A869" s="5">
        <v>690</v>
      </c>
      <c r="B869" s="3">
        <v>29</v>
      </c>
      <c r="C869" t="s">
        <v>43</v>
      </c>
      <c r="D869" t="s">
        <v>67</v>
      </c>
      <c r="E869" t="s">
        <v>61</v>
      </c>
      <c r="F869" t="s">
        <v>36</v>
      </c>
      <c r="G869" s="3">
        <v>1</v>
      </c>
      <c r="I869" t="str">
        <f t="shared" si="39"/>
        <v>25-34</v>
      </c>
      <c r="J869" t="str">
        <f t="shared" si="40"/>
        <v>Promoted in 1-3 years</v>
      </c>
      <c r="K869">
        <f t="shared" si="41"/>
        <v>0</v>
      </c>
    </row>
    <row r="870" spans="1:11" x14ac:dyDescent="0.25">
      <c r="A870" s="5">
        <v>1239</v>
      </c>
      <c r="B870" s="3">
        <v>40</v>
      </c>
      <c r="C870" t="s">
        <v>43</v>
      </c>
      <c r="D870" t="s">
        <v>49</v>
      </c>
      <c r="E870" t="s">
        <v>52</v>
      </c>
      <c r="F870" t="s">
        <v>36</v>
      </c>
      <c r="G870" s="3">
        <v>1</v>
      </c>
      <c r="I870" t="str">
        <f t="shared" si="39"/>
        <v>35-44</v>
      </c>
      <c r="J870" t="str">
        <f t="shared" si="40"/>
        <v>Promoted in 1-3 years</v>
      </c>
      <c r="K870">
        <f t="shared" si="41"/>
        <v>0</v>
      </c>
    </row>
    <row r="871" spans="1:11" x14ac:dyDescent="0.25">
      <c r="A871" s="5">
        <v>1882</v>
      </c>
      <c r="B871" s="3">
        <v>34</v>
      </c>
      <c r="C871" t="s">
        <v>43</v>
      </c>
      <c r="D871" t="s">
        <v>49</v>
      </c>
      <c r="E871" t="s">
        <v>61</v>
      </c>
      <c r="F871" t="s">
        <v>50</v>
      </c>
      <c r="G871" s="3">
        <v>1</v>
      </c>
      <c r="I871" t="str">
        <f t="shared" si="39"/>
        <v>25-34</v>
      </c>
      <c r="J871" t="str">
        <f t="shared" si="40"/>
        <v>Promoted in 1-3 years</v>
      </c>
      <c r="K871">
        <f t="shared" si="41"/>
        <v>0</v>
      </c>
    </row>
    <row r="872" spans="1:11" x14ac:dyDescent="0.25">
      <c r="A872" s="5">
        <v>1207</v>
      </c>
      <c r="B872" s="3">
        <v>33</v>
      </c>
      <c r="C872" t="s">
        <v>43</v>
      </c>
      <c r="D872" t="s">
        <v>49</v>
      </c>
      <c r="E872" t="s">
        <v>61</v>
      </c>
      <c r="F872" t="s">
        <v>36</v>
      </c>
      <c r="G872" s="3">
        <v>1</v>
      </c>
      <c r="I872" t="str">
        <f t="shared" si="39"/>
        <v>25-34</v>
      </c>
      <c r="J872" t="str">
        <f t="shared" si="40"/>
        <v>Promoted in 1-3 years</v>
      </c>
      <c r="K872">
        <f t="shared" si="41"/>
        <v>0</v>
      </c>
    </row>
    <row r="873" spans="1:11" x14ac:dyDescent="0.25">
      <c r="A873" s="5">
        <v>527</v>
      </c>
      <c r="B873" s="3">
        <v>25</v>
      </c>
      <c r="C873" t="s">
        <v>43</v>
      </c>
      <c r="D873" t="s">
        <v>67</v>
      </c>
      <c r="E873" t="s">
        <v>41</v>
      </c>
      <c r="F873" t="s">
        <v>42</v>
      </c>
      <c r="G873" s="3">
        <v>1</v>
      </c>
      <c r="I873" t="str">
        <f t="shared" si="39"/>
        <v>25-34</v>
      </c>
      <c r="J873" t="str">
        <f t="shared" si="40"/>
        <v>Promoted in 1-3 years</v>
      </c>
      <c r="K873">
        <f t="shared" si="41"/>
        <v>0</v>
      </c>
    </row>
    <row r="874" spans="1:11" x14ac:dyDescent="0.25">
      <c r="A874" s="5">
        <v>516</v>
      </c>
      <c r="B874" s="3">
        <v>40</v>
      </c>
      <c r="C874" t="s">
        <v>43</v>
      </c>
      <c r="D874" t="s">
        <v>67</v>
      </c>
      <c r="E874" t="s">
        <v>52</v>
      </c>
      <c r="F874" t="s">
        <v>53</v>
      </c>
      <c r="G874" s="3">
        <v>1</v>
      </c>
      <c r="I874" t="str">
        <f t="shared" si="39"/>
        <v>35-44</v>
      </c>
      <c r="J874" t="str">
        <f t="shared" si="40"/>
        <v>Promoted in 1-3 years</v>
      </c>
      <c r="K874">
        <f t="shared" si="41"/>
        <v>0</v>
      </c>
    </row>
    <row r="875" spans="1:11" x14ac:dyDescent="0.25">
      <c r="A875" s="5">
        <v>1836</v>
      </c>
      <c r="B875" s="3">
        <v>26</v>
      </c>
      <c r="C875" t="s">
        <v>43</v>
      </c>
      <c r="D875" t="s">
        <v>49</v>
      </c>
      <c r="E875" t="s">
        <v>41</v>
      </c>
      <c r="F875" t="s">
        <v>42</v>
      </c>
      <c r="G875" s="3">
        <v>1</v>
      </c>
      <c r="I875" t="str">
        <f t="shared" si="39"/>
        <v>25-34</v>
      </c>
      <c r="J875" t="str">
        <f t="shared" si="40"/>
        <v>Promoted in 1-3 years</v>
      </c>
      <c r="K875">
        <f t="shared" si="41"/>
        <v>0</v>
      </c>
    </row>
    <row r="876" spans="1:11" x14ac:dyDescent="0.25">
      <c r="A876" s="5">
        <v>152</v>
      </c>
      <c r="B876" s="3">
        <v>37</v>
      </c>
      <c r="C876" t="s">
        <v>43</v>
      </c>
      <c r="D876" t="s">
        <v>49</v>
      </c>
      <c r="E876" t="s">
        <v>41</v>
      </c>
      <c r="F876" t="s">
        <v>42</v>
      </c>
      <c r="G876" s="3">
        <v>1</v>
      </c>
      <c r="I876" t="str">
        <f t="shared" si="39"/>
        <v>35-44</v>
      </c>
      <c r="J876" t="str">
        <f t="shared" si="40"/>
        <v>Promoted in 1-3 years</v>
      </c>
      <c r="K876">
        <f t="shared" si="41"/>
        <v>0</v>
      </c>
    </row>
    <row r="877" spans="1:11" x14ac:dyDescent="0.25">
      <c r="A877" s="5">
        <v>1650</v>
      </c>
      <c r="B877" s="3">
        <v>29</v>
      </c>
      <c r="C877" t="s">
        <v>43</v>
      </c>
      <c r="D877" t="s">
        <v>49</v>
      </c>
      <c r="E877" t="s">
        <v>41</v>
      </c>
      <c r="F877" t="s">
        <v>42</v>
      </c>
      <c r="G877" s="3">
        <v>1</v>
      </c>
      <c r="I877" t="str">
        <f t="shared" si="39"/>
        <v>25-34</v>
      </c>
      <c r="J877" t="str">
        <f t="shared" si="40"/>
        <v>Promoted in 1-3 years</v>
      </c>
      <c r="K877">
        <f t="shared" si="41"/>
        <v>0</v>
      </c>
    </row>
    <row r="878" spans="1:11" x14ac:dyDescent="0.25">
      <c r="A878" s="5">
        <v>975</v>
      </c>
      <c r="B878" s="3">
        <v>35</v>
      </c>
      <c r="C878" t="s">
        <v>43</v>
      </c>
      <c r="D878" t="s">
        <v>49</v>
      </c>
      <c r="E878" t="s">
        <v>61</v>
      </c>
      <c r="F878" t="s">
        <v>42</v>
      </c>
      <c r="G878" s="3">
        <v>1</v>
      </c>
      <c r="I878" t="str">
        <f t="shared" si="39"/>
        <v>35-44</v>
      </c>
      <c r="J878" t="str">
        <f t="shared" si="40"/>
        <v>Promoted in 1-3 years</v>
      </c>
      <c r="K878">
        <f t="shared" si="41"/>
        <v>0</v>
      </c>
    </row>
    <row r="879" spans="1:11" x14ac:dyDescent="0.25">
      <c r="A879" s="5">
        <v>1625</v>
      </c>
      <c r="B879" s="3">
        <v>47</v>
      </c>
      <c r="C879" t="s">
        <v>43</v>
      </c>
      <c r="D879" t="s">
        <v>35</v>
      </c>
      <c r="E879" t="s">
        <v>61</v>
      </c>
      <c r="F879" t="s">
        <v>36</v>
      </c>
      <c r="G879" s="3">
        <v>1</v>
      </c>
      <c r="I879" t="str">
        <f t="shared" si="39"/>
        <v>45-54</v>
      </c>
      <c r="J879" t="str">
        <f t="shared" si="40"/>
        <v>Promoted in 1-3 years</v>
      </c>
      <c r="K879">
        <f t="shared" si="41"/>
        <v>0</v>
      </c>
    </row>
    <row r="880" spans="1:11" x14ac:dyDescent="0.25">
      <c r="A880" s="5">
        <v>677</v>
      </c>
      <c r="B880" s="3">
        <v>33</v>
      </c>
      <c r="C880" t="s">
        <v>43</v>
      </c>
      <c r="D880" t="s">
        <v>35</v>
      </c>
      <c r="E880" t="s">
        <v>52</v>
      </c>
      <c r="F880" t="s">
        <v>42</v>
      </c>
      <c r="G880" s="3">
        <v>1</v>
      </c>
      <c r="I880" t="str">
        <f t="shared" si="39"/>
        <v>25-34</v>
      </c>
      <c r="J880" t="str">
        <f t="shared" si="40"/>
        <v>Promoted in 1-3 years</v>
      </c>
      <c r="K880">
        <f t="shared" si="41"/>
        <v>0</v>
      </c>
    </row>
    <row r="881" spans="1:11" x14ac:dyDescent="0.25">
      <c r="A881" s="5">
        <v>1503</v>
      </c>
      <c r="B881" s="3">
        <v>47</v>
      </c>
      <c r="C881" t="s">
        <v>43</v>
      </c>
      <c r="D881" t="s">
        <v>49</v>
      </c>
      <c r="E881" t="s">
        <v>61</v>
      </c>
      <c r="F881" t="s">
        <v>36</v>
      </c>
      <c r="G881" s="3">
        <v>1</v>
      </c>
      <c r="I881" t="str">
        <f t="shared" si="39"/>
        <v>45-54</v>
      </c>
      <c r="J881" t="str">
        <f t="shared" si="40"/>
        <v>Promoted in 1-3 years</v>
      </c>
      <c r="K881">
        <f t="shared" si="41"/>
        <v>0</v>
      </c>
    </row>
    <row r="882" spans="1:11" x14ac:dyDescent="0.25">
      <c r="A882" s="5">
        <v>1164</v>
      </c>
      <c r="B882" s="3">
        <v>35</v>
      </c>
      <c r="C882" t="s">
        <v>43</v>
      </c>
      <c r="D882" t="s">
        <v>35</v>
      </c>
      <c r="E882" t="s">
        <v>41</v>
      </c>
      <c r="F882" t="s">
        <v>42</v>
      </c>
      <c r="G882" s="3">
        <v>1</v>
      </c>
      <c r="I882" t="str">
        <f t="shared" si="39"/>
        <v>35-44</v>
      </c>
      <c r="J882" t="str">
        <f t="shared" si="40"/>
        <v>Promoted in 1-3 years</v>
      </c>
      <c r="K882">
        <f t="shared" si="41"/>
        <v>0</v>
      </c>
    </row>
    <row r="883" spans="1:11" x14ac:dyDescent="0.25">
      <c r="A883" s="5">
        <v>1912</v>
      </c>
      <c r="B883" s="3">
        <v>31</v>
      </c>
      <c r="C883" t="s">
        <v>43</v>
      </c>
      <c r="D883" t="s">
        <v>67</v>
      </c>
      <c r="E883" t="s">
        <v>52</v>
      </c>
      <c r="F883" t="s">
        <v>36</v>
      </c>
      <c r="G883" s="3">
        <v>1</v>
      </c>
      <c r="I883" t="str">
        <f t="shared" si="39"/>
        <v>25-34</v>
      </c>
      <c r="J883" t="str">
        <f t="shared" si="40"/>
        <v>Promoted in 1-3 years</v>
      </c>
      <c r="K883">
        <f t="shared" si="41"/>
        <v>0</v>
      </c>
    </row>
    <row r="884" spans="1:11" x14ac:dyDescent="0.25">
      <c r="A884" s="5">
        <v>1390</v>
      </c>
      <c r="B884" s="3">
        <v>39</v>
      </c>
      <c r="C884" t="s">
        <v>43</v>
      </c>
      <c r="D884" t="s">
        <v>35</v>
      </c>
      <c r="E884" t="s">
        <v>61</v>
      </c>
      <c r="F884" t="s">
        <v>53</v>
      </c>
      <c r="G884" s="3">
        <v>1</v>
      </c>
      <c r="I884" t="str">
        <f t="shared" si="39"/>
        <v>35-44</v>
      </c>
      <c r="J884" t="str">
        <f t="shared" si="40"/>
        <v>Promoted in 1-3 years</v>
      </c>
      <c r="K884">
        <f t="shared" si="41"/>
        <v>0</v>
      </c>
    </row>
    <row r="885" spans="1:11" x14ac:dyDescent="0.25">
      <c r="A885" s="5">
        <v>1908</v>
      </c>
      <c r="B885" s="3">
        <v>36</v>
      </c>
      <c r="C885" t="s">
        <v>43</v>
      </c>
      <c r="D885" t="s">
        <v>67</v>
      </c>
      <c r="E885" t="s">
        <v>61</v>
      </c>
      <c r="F885" t="s">
        <v>53</v>
      </c>
      <c r="G885" s="3">
        <v>1</v>
      </c>
      <c r="I885" t="str">
        <f t="shared" si="39"/>
        <v>35-44</v>
      </c>
      <c r="J885" t="str">
        <f t="shared" si="40"/>
        <v>Promoted in 1-3 years</v>
      </c>
      <c r="K885">
        <f t="shared" si="41"/>
        <v>0</v>
      </c>
    </row>
    <row r="886" spans="1:11" x14ac:dyDescent="0.25">
      <c r="A886" s="5">
        <v>1568</v>
      </c>
      <c r="B886" s="3">
        <v>30</v>
      </c>
      <c r="C886" t="s">
        <v>43</v>
      </c>
      <c r="D886" t="s">
        <v>35</v>
      </c>
      <c r="E886" t="s">
        <v>61</v>
      </c>
      <c r="F886" t="s">
        <v>36</v>
      </c>
      <c r="G886" s="3">
        <v>1</v>
      </c>
      <c r="I886" t="str">
        <f t="shared" si="39"/>
        <v>25-34</v>
      </c>
      <c r="J886" t="str">
        <f t="shared" si="40"/>
        <v>Promoted in 1-3 years</v>
      </c>
      <c r="K886">
        <f t="shared" si="41"/>
        <v>0</v>
      </c>
    </row>
    <row r="887" spans="1:11" x14ac:dyDescent="0.25">
      <c r="A887" s="5">
        <v>1240</v>
      </c>
      <c r="B887" s="3">
        <v>25</v>
      </c>
      <c r="C887" t="s">
        <v>43</v>
      </c>
      <c r="D887" t="s">
        <v>35</v>
      </c>
      <c r="E887" t="s">
        <v>41</v>
      </c>
      <c r="F887" t="s">
        <v>42</v>
      </c>
      <c r="G887" s="3">
        <v>1</v>
      </c>
      <c r="I887" t="str">
        <f t="shared" si="39"/>
        <v>25-34</v>
      </c>
      <c r="J887" t="str">
        <f t="shared" si="40"/>
        <v>Promoted in 1-3 years</v>
      </c>
      <c r="K887">
        <f t="shared" si="41"/>
        <v>0</v>
      </c>
    </row>
    <row r="888" spans="1:11" x14ac:dyDescent="0.25">
      <c r="A888" s="5">
        <v>330</v>
      </c>
      <c r="B888" s="3">
        <v>32</v>
      </c>
      <c r="C888" t="s">
        <v>43</v>
      </c>
      <c r="D888" t="s">
        <v>67</v>
      </c>
      <c r="E888" t="s">
        <v>61</v>
      </c>
      <c r="F888" t="s">
        <v>36</v>
      </c>
      <c r="G888" s="3">
        <v>1</v>
      </c>
      <c r="I888" t="str">
        <f t="shared" si="39"/>
        <v>25-34</v>
      </c>
      <c r="J888" t="str">
        <f t="shared" si="40"/>
        <v>Promoted in 1-3 years</v>
      </c>
      <c r="K888">
        <f t="shared" si="41"/>
        <v>0</v>
      </c>
    </row>
    <row r="889" spans="1:11" x14ac:dyDescent="0.25">
      <c r="A889" s="5">
        <v>470</v>
      </c>
      <c r="B889" s="3">
        <v>42</v>
      </c>
      <c r="C889" t="s">
        <v>43</v>
      </c>
      <c r="D889" t="s">
        <v>64</v>
      </c>
      <c r="E889" t="s">
        <v>52</v>
      </c>
      <c r="F889" t="s">
        <v>36</v>
      </c>
      <c r="G889" s="3">
        <v>1</v>
      </c>
      <c r="I889" t="str">
        <f t="shared" si="39"/>
        <v>35-44</v>
      </c>
      <c r="J889" t="str">
        <f t="shared" si="40"/>
        <v>Promoted in 1-3 years</v>
      </c>
      <c r="K889">
        <f t="shared" si="41"/>
        <v>0</v>
      </c>
    </row>
    <row r="890" spans="1:11" x14ac:dyDescent="0.25">
      <c r="A890" s="5">
        <v>580</v>
      </c>
      <c r="B890" s="3">
        <v>46</v>
      </c>
      <c r="C890" t="s">
        <v>43</v>
      </c>
      <c r="D890" t="s">
        <v>49</v>
      </c>
      <c r="E890" t="s">
        <v>61</v>
      </c>
      <c r="F890" t="s">
        <v>36</v>
      </c>
      <c r="G890" s="3">
        <v>1</v>
      </c>
      <c r="I890" t="str">
        <f t="shared" si="39"/>
        <v>45-54</v>
      </c>
      <c r="J890" t="str">
        <f t="shared" si="40"/>
        <v>Promoted in 1-3 years</v>
      </c>
      <c r="K890">
        <f t="shared" si="41"/>
        <v>0</v>
      </c>
    </row>
    <row r="891" spans="1:11" x14ac:dyDescent="0.25">
      <c r="A891" s="5">
        <v>1583</v>
      </c>
      <c r="B891" s="3">
        <v>38</v>
      </c>
      <c r="C891" t="s">
        <v>43</v>
      </c>
      <c r="D891" t="s">
        <v>49</v>
      </c>
      <c r="E891" t="s">
        <v>41</v>
      </c>
      <c r="F891" t="s">
        <v>42</v>
      </c>
      <c r="G891" s="3">
        <v>1</v>
      </c>
      <c r="I891" t="str">
        <f t="shared" si="39"/>
        <v>35-44</v>
      </c>
      <c r="J891" t="str">
        <f t="shared" si="40"/>
        <v>Promoted in 1-3 years</v>
      </c>
      <c r="K891">
        <f t="shared" si="41"/>
        <v>0</v>
      </c>
    </row>
    <row r="892" spans="1:11" x14ac:dyDescent="0.25">
      <c r="A892" s="5">
        <v>669</v>
      </c>
      <c r="B892" s="3">
        <v>21</v>
      </c>
      <c r="C892" t="s">
        <v>43</v>
      </c>
      <c r="D892" t="s">
        <v>64</v>
      </c>
      <c r="E892" t="s">
        <v>41</v>
      </c>
      <c r="F892" t="s">
        <v>42</v>
      </c>
      <c r="G892" s="3">
        <v>1</v>
      </c>
      <c r="I892" t="str">
        <f t="shared" si="39"/>
        <v>18-24</v>
      </c>
      <c r="J892" t="str">
        <f t="shared" si="40"/>
        <v>Promoted in 1-3 years</v>
      </c>
      <c r="K892">
        <f t="shared" si="41"/>
        <v>0</v>
      </c>
    </row>
    <row r="893" spans="1:11" x14ac:dyDescent="0.25">
      <c r="A893" s="5">
        <v>1396</v>
      </c>
      <c r="B893" s="3">
        <v>32</v>
      </c>
      <c r="C893" t="s">
        <v>43</v>
      </c>
      <c r="D893" t="s">
        <v>64</v>
      </c>
      <c r="E893" t="s">
        <v>61</v>
      </c>
      <c r="F893" t="s">
        <v>50</v>
      </c>
      <c r="G893" s="3">
        <v>1</v>
      </c>
      <c r="I893" t="str">
        <f t="shared" si="39"/>
        <v>25-34</v>
      </c>
      <c r="J893" t="str">
        <f t="shared" si="40"/>
        <v>Promoted in 1-3 years</v>
      </c>
      <c r="K893">
        <f t="shared" si="41"/>
        <v>0</v>
      </c>
    </row>
    <row r="894" spans="1:11" x14ac:dyDescent="0.25">
      <c r="A894" s="5">
        <v>925</v>
      </c>
      <c r="B894" s="3">
        <v>47</v>
      </c>
      <c r="C894" t="s">
        <v>43</v>
      </c>
      <c r="D894" t="s">
        <v>35</v>
      </c>
      <c r="E894" t="s">
        <v>41</v>
      </c>
      <c r="F894" t="s">
        <v>42</v>
      </c>
      <c r="G894" s="3">
        <v>1</v>
      </c>
      <c r="I894" t="str">
        <f t="shared" si="39"/>
        <v>45-54</v>
      </c>
      <c r="J894" t="str">
        <f t="shared" si="40"/>
        <v>Promoted in 1-3 years</v>
      </c>
      <c r="K894">
        <f t="shared" si="41"/>
        <v>0</v>
      </c>
    </row>
    <row r="895" spans="1:11" x14ac:dyDescent="0.25">
      <c r="A895" s="5">
        <v>1399</v>
      </c>
      <c r="B895" s="3">
        <v>25</v>
      </c>
      <c r="C895" t="s">
        <v>43</v>
      </c>
      <c r="D895" t="s">
        <v>64</v>
      </c>
      <c r="E895" t="s">
        <v>61</v>
      </c>
      <c r="F895" t="s">
        <v>42</v>
      </c>
      <c r="G895" s="3">
        <v>1</v>
      </c>
      <c r="I895" t="str">
        <f t="shared" si="39"/>
        <v>25-34</v>
      </c>
      <c r="J895" t="str">
        <f t="shared" si="40"/>
        <v>Promoted in 1-3 years</v>
      </c>
      <c r="K895">
        <f t="shared" si="41"/>
        <v>0</v>
      </c>
    </row>
    <row r="896" spans="1:11" x14ac:dyDescent="0.25">
      <c r="A896" s="5">
        <v>1676</v>
      </c>
      <c r="B896" s="3">
        <v>47</v>
      </c>
      <c r="C896" t="s">
        <v>43</v>
      </c>
      <c r="D896" t="s">
        <v>35</v>
      </c>
      <c r="E896" t="s">
        <v>52</v>
      </c>
      <c r="F896" t="s">
        <v>50</v>
      </c>
      <c r="G896" s="3">
        <v>1</v>
      </c>
      <c r="I896" t="str">
        <f t="shared" si="39"/>
        <v>45-54</v>
      </c>
      <c r="J896" t="str">
        <f t="shared" si="40"/>
        <v>Promoted in 1-3 years</v>
      </c>
      <c r="K896">
        <f t="shared" si="41"/>
        <v>0</v>
      </c>
    </row>
    <row r="897" spans="1:11" x14ac:dyDescent="0.25">
      <c r="A897" s="5">
        <v>808</v>
      </c>
      <c r="B897" s="3">
        <v>34</v>
      </c>
      <c r="C897" t="s">
        <v>43</v>
      </c>
      <c r="D897" t="s">
        <v>67</v>
      </c>
      <c r="E897" t="s">
        <v>61</v>
      </c>
      <c r="F897" t="s">
        <v>36</v>
      </c>
      <c r="G897" s="3">
        <v>1</v>
      </c>
      <c r="I897" t="str">
        <f t="shared" si="39"/>
        <v>25-34</v>
      </c>
      <c r="J897" t="str">
        <f t="shared" si="40"/>
        <v>Promoted in 1-3 years</v>
      </c>
      <c r="K897">
        <f t="shared" si="41"/>
        <v>0</v>
      </c>
    </row>
    <row r="898" spans="1:11" x14ac:dyDescent="0.25">
      <c r="A898" s="5">
        <v>656</v>
      </c>
      <c r="B898" s="3">
        <v>37</v>
      </c>
      <c r="C898" t="s">
        <v>43</v>
      </c>
      <c r="D898" t="s">
        <v>49</v>
      </c>
      <c r="E898" t="s">
        <v>61</v>
      </c>
      <c r="F898" t="s">
        <v>36</v>
      </c>
      <c r="G898" s="3">
        <v>1</v>
      </c>
      <c r="I898" t="str">
        <f t="shared" si="39"/>
        <v>35-44</v>
      </c>
      <c r="J898" t="str">
        <f t="shared" si="40"/>
        <v>Promoted in 1-3 years</v>
      </c>
      <c r="K898">
        <f t="shared" si="41"/>
        <v>0</v>
      </c>
    </row>
    <row r="899" spans="1:11" x14ac:dyDescent="0.25">
      <c r="A899" s="5">
        <v>585</v>
      </c>
      <c r="B899" s="3">
        <v>30</v>
      </c>
      <c r="C899" t="s">
        <v>43</v>
      </c>
      <c r="D899" t="s">
        <v>64</v>
      </c>
      <c r="E899" t="s">
        <v>41</v>
      </c>
      <c r="F899" t="s">
        <v>42</v>
      </c>
      <c r="G899" s="3">
        <v>1</v>
      </c>
      <c r="I899" t="str">
        <f t="shared" ref="I899:I962" si="42">IF(B899&lt;=24, "18-24", IF(B899&lt;=34,"25-34", IF(B899&lt;=44,"35-44", IF(B899&lt;=54,"45-54", IF(B899&lt;=60, "55-60")))))</f>
        <v>25-34</v>
      </c>
      <c r="J899" t="str">
        <f t="shared" ref="J899:J962" si="43">IF(G899&lt;=0,"Recently promoted",IF(G899&lt;=3,"Promoted in 1-3 years","Long Promotion gap"))</f>
        <v>Promoted in 1-3 years</v>
      </c>
      <c r="K899">
        <f t="shared" ref="K899:K962" si="44">IF(C899="Yes", 1, 0)</f>
        <v>0</v>
      </c>
    </row>
    <row r="900" spans="1:11" x14ac:dyDescent="0.25">
      <c r="A900" s="5">
        <v>893</v>
      </c>
      <c r="B900" s="3">
        <v>38</v>
      </c>
      <c r="C900" t="s">
        <v>43</v>
      </c>
      <c r="D900" t="s">
        <v>49</v>
      </c>
      <c r="E900" t="s">
        <v>61</v>
      </c>
      <c r="F900" t="s">
        <v>36</v>
      </c>
      <c r="G900" s="3">
        <v>1</v>
      </c>
      <c r="I900" t="str">
        <f t="shared" si="42"/>
        <v>35-44</v>
      </c>
      <c r="J900" t="str">
        <f t="shared" si="43"/>
        <v>Promoted in 1-3 years</v>
      </c>
      <c r="K900">
        <f t="shared" si="44"/>
        <v>0</v>
      </c>
    </row>
    <row r="901" spans="1:11" x14ac:dyDescent="0.25">
      <c r="A901" s="5">
        <v>1987</v>
      </c>
      <c r="B901" s="3">
        <v>25</v>
      </c>
      <c r="C901" t="s">
        <v>43</v>
      </c>
      <c r="D901" t="s">
        <v>49</v>
      </c>
      <c r="E901" t="s">
        <v>61</v>
      </c>
      <c r="F901" t="s">
        <v>42</v>
      </c>
      <c r="G901" s="3">
        <v>1</v>
      </c>
      <c r="I901" t="str">
        <f t="shared" si="42"/>
        <v>25-34</v>
      </c>
      <c r="J901" t="str">
        <f t="shared" si="43"/>
        <v>Promoted in 1-3 years</v>
      </c>
      <c r="K901">
        <f t="shared" si="44"/>
        <v>0</v>
      </c>
    </row>
    <row r="902" spans="1:11" x14ac:dyDescent="0.25">
      <c r="A902" s="5">
        <v>2021</v>
      </c>
      <c r="B902" s="3">
        <v>21</v>
      </c>
      <c r="C902" t="s">
        <v>43</v>
      </c>
      <c r="D902" t="s">
        <v>64</v>
      </c>
      <c r="E902" t="s">
        <v>41</v>
      </c>
      <c r="F902" t="s">
        <v>42</v>
      </c>
      <c r="G902" s="3">
        <v>1</v>
      </c>
      <c r="I902" t="str">
        <f t="shared" si="42"/>
        <v>18-24</v>
      </c>
      <c r="J902" t="str">
        <f t="shared" si="43"/>
        <v>Promoted in 1-3 years</v>
      </c>
      <c r="K902">
        <f t="shared" si="44"/>
        <v>0</v>
      </c>
    </row>
    <row r="903" spans="1:11" x14ac:dyDescent="0.25">
      <c r="A903" s="5">
        <v>1996</v>
      </c>
      <c r="B903" s="3">
        <v>31</v>
      </c>
      <c r="C903" t="s">
        <v>43</v>
      </c>
      <c r="D903" t="s">
        <v>67</v>
      </c>
      <c r="E903" t="s">
        <v>61</v>
      </c>
      <c r="F903" t="s">
        <v>36</v>
      </c>
      <c r="G903" s="3">
        <v>1</v>
      </c>
      <c r="I903" t="str">
        <f t="shared" si="42"/>
        <v>25-34</v>
      </c>
      <c r="J903" t="str">
        <f t="shared" si="43"/>
        <v>Promoted in 1-3 years</v>
      </c>
      <c r="K903">
        <f t="shared" si="44"/>
        <v>0</v>
      </c>
    </row>
    <row r="904" spans="1:11" x14ac:dyDescent="0.25">
      <c r="A904" s="5">
        <v>321</v>
      </c>
      <c r="B904" s="3">
        <v>59</v>
      </c>
      <c r="C904" t="s">
        <v>43</v>
      </c>
      <c r="D904" t="s">
        <v>67</v>
      </c>
      <c r="E904" t="s">
        <v>61</v>
      </c>
      <c r="F904" t="s">
        <v>42</v>
      </c>
      <c r="G904" s="3">
        <v>1</v>
      </c>
      <c r="I904" t="str">
        <f t="shared" si="42"/>
        <v>55-60</v>
      </c>
      <c r="J904" t="str">
        <f t="shared" si="43"/>
        <v>Promoted in 1-3 years</v>
      </c>
      <c r="K904">
        <f t="shared" si="44"/>
        <v>0</v>
      </c>
    </row>
    <row r="905" spans="1:11" x14ac:dyDescent="0.25">
      <c r="A905" s="5">
        <v>38</v>
      </c>
      <c r="B905" s="3">
        <v>46</v>
      </c>
      <c r="C905" t="s">
        <v>43</v>
      </c>
      <c r="D905" t="s">
        <v>35</v>
      </c>
      <c r="E905" t="s">
        <v>41</v>
      </c>
      <c r="F905" t="s">
        <v>42</v>
      </c>
      <c r="G905" s="3">
        <v>1</v>
      </c>
      <c r="I905" t="str">
        <f t="shared" si="42"/>
        <v>45-54</v>
      </c>
      <c r="J905" t="str">
        <f t="shared" si="43"/>
        <v>Promoted in 1-3 years</v>
      </c>
      <c r="K905">
        <f t="shared" si="44"/>
        <v>0</v>
      </c>
    </row>
    <row r="906" spans="1:11" x14ac:dyDescent="0.25">
      <c r="A906" s="5">
        <v>424</v>
      </c>
      <c r="B906" s="3">
        <v>31</v>
      </c>
      <c r="C906" t="s">
        <v>43</v>
      </c>
      <c r="D906" t="s">
        <v>49</v>
      </c>
      <c r="E906" t="s">
        <v>61</v>
      </c>
      <c r="F906" t="s">
        <v>42</v>
      </c>
      <c r="G906" s="3">
        <v>1</v>
      </c>
      <c r="I906" t="str">
        <f t="shared" si="42"/>
        <v>25-34</v>
      </c>
      <c r="J906" t="str">
        <f t="shared" si="43"/>
        <v>Promoted in 1-3 years</v>
      </c>
      <c r="K906">
        <f t="shared" si="44"/>
        <v>0</v>
      </c>
    </row>
    <row r="907" spans="1:11" x14ac:dyDescent="0.25">
      <c r="A907" s="5">
        <v>49</v>
      </c>
      <c r="B907" s="3">
        <v>35</v>
      </c>
      <c r="C907" t="s">
        <v>43</v>
      </c>
      <c r="D907" t="s">
        <v>49</v>
      </c>
      <c r="E907" t="s">
        <v>61</v>
      </c>
      <c r="F907" t="s">
        <v>42</v>
      </c>
      <c r="G907" s="3">
        <v>1</v>
      </c>
      <c r="I907" t="str">
        <f t="shared" si="42"/>
        <v>35-44</v>
      </c>
      <c r="J907" t="str">
        <f t="shared" si="43"/>
        <v>Promoted in 1-3 years</v>
      </c>
      <c r="K907">
        <f t="shared" si="44"/>
        <v>0</v>
      </c>
    </row>
    <row r="908" spans="1:11" x14ac:dyDescent="0.25">
      <c r="A908" s="5">
        <v>732</v>
      </c>
      <c r="B908" s="3">
        <v>60</v>
      </c>
      <c r="C908" t="s">
        <v>43</v>
      </c>
      <c r="D908" t="s">
        <v>35</v>
      </c>
      <c r="E908" t="s">
        <v>41</v>
      </c>
      <c r="F908" t="s">
        <v>42</v>
      </c>
      <c r="G908" s="3">
        <v>1</v>
      </c>
      <c r="I908" t="str">
        <f t="shared" si="42"/>
        <v>55-60</v>
      </c>
      <c r="J908" t="str">
        <f t="shared" si="43"/>
        <v>Promoted in 1-3 years</v>
      </c>
      <c r="K908">
        <f t="shared" si="44"/>
        <v>0</v>
      </c>
    </row>
    <row r="909" spans="1:11" x14ac:dyDescent="0.25">
      <c r="A909" s="5">
        <v>1779</v>
      </c>
      <c r="B909" s="3">
        <v>34</v>
      </c>
      <c r="C909" t="s">
        <v>43</v>
      </c>
      <c r="D909" t="s">
        <v>67</v>
      </c>
      <c r="E909" t="s">
        <v>41</v>
      </c>
      <c r="F909" t="s">
        <v>42</v>
      </c>
      <c r="G909" s="3">
        <v>1</v>
      </c>
      <c r="I909" t="str">
        <f t="shared" si="42"/>
        <v>25-34</v>
      </c>
      <c r="J909" t="str">
        <f t="shared" si="43"/>
        <v>Promoted in 1-3 years</v>
      </c>
      <c r="K909">
        <f t="shared" si="44"/>
        <v>0</v>
      </c>
    </row>
    <row r="910" spans="1:11" x14ac:dyDescent="0.25">
      <c r="A910" s="5">
        <v>106</v>
      </c>
      <c r="B910" s="3">
        <v>55</v>
      </c>
      <c r="C910" t="s">
        <v>43</v>
      </c>
      <c r="D910" t="s">
        <v>67</v>
      </c>
      <c r="E910" t="s">
        <v>61</v>
      </c>
      <c r="F910" t="s">
        <v>36</v>
      </c>
      <c r="G910" s="3">
        <v>1</v>
      </c>
      <c r="I910" t="str">
        <f t="shared" si="42"/>
        <v>55-60</v>
      </c>
      <c r="J910" t="str">
        <f t="shared" si="43"/>
        <v>Promoted in 1-3 years</v>
      </c>
      <c r="K910">
        <f t="shared" si="44"/>
        <v>0</v>
      </c>
    </row>
    <row r="911" spans="1:11" x14ac:dyDescent="0.25">
      <c r="A911" s="5">
        <v>944</v>
      </c>
      <c r="B911" s="3">
        <v>49</v>
      </c>
      <c r="C911" t="s">
        <v>43</v>
      </c>
      <c r="D911" t="s">
        <v>67</v>
      </c>
      <c r="E911" t="s">
        <v>61</v>
      </c>
      <c r="F911" t="s">
        <v>36</v>
      </c>
      <c r="G911" s="3">
        <v>1</v>
      </c>
      <c r="I911" t="str">
        <f t="shared" si="42"/>
        <v>45-54</v>
      </c>
      <c r="J911" t="str">
        <f t="shared" si="43"/>
        <v>Promoted in 1-3 years</v>
      </c>
      <c r="K911">
        <f t="shared" si="44"/>
        <v>0</v>
      </c>
    </row>
    <row r="912" spans="1:11" x14ac:dyDescent="0.25">
      <c r="A912" s="5">
        <v>336</v>
      </c>
      <c r="B912" s="3">
        <v>45</v>
      </c>
      <c r="C912" t="s">
        <v>43</v>
      </c>
      <c r="D912" t="s">
        <v>49</v>
      </c>
      <c r="E912" t="s">
        <v>61</v>
      </c>
      <c r="F912" t="s">
        <v>36</v>
      </c>
      <c r="G912" s="3">
        <v>1</v>
      </c>
      <c r="I912" t="str">
        <f t="shared" si="42"/>
        <v>45-54</v>
      </c>
      <c r="J912" t="str">
        <f t="shared" si="43"/>
        <v>Promoted in 1-3 years</v>
      </c>
      <c r="K912">
        <f t="shared" si="44"/>
        <v>0</v>
      </c>
    </row>
    <row r="913" spans="1:11" x14ac:dyDescent="0.25">
      <c r="A913" s="5">
        <v>1608</v>
      </c>
      <c r="B913" s="3">
        <v>44</v>
      </c>
      <c r="C913" t="s">
        <v>43</v>
      </c>
      <c r="D913" t="s">
        <v>49</v>
      </c>
      <c r="E913" t="s">
        <v>52</v>
      </c>
      <c r="F913" t="s">
        <v>36</v>
      </c>
      <c r="G913" s="3">
        <v>1</v>
      </c>
      <c r="I913" t="str">
        <f t="shared" si="42"/>
        <v>35-44</v>
      </c>
      <c r="J913" t="str">
        <f t="shared" si="43"/>
        <v>Promoted in 1-3 years</v>
      </c>
      <c r="K913">
        <f t="shared" si="44"/>
        <v>0</v>
      </c>
    </row>
    <row r="914" spans="1:11" x14ac:dyDescent="0.25">
      <c r="A914" s="5">
        <v>1088</v>
      </c>
      <c r="B914" s="3">
        <v>38</v>
      </c>
      <c r="C914" t="s">
        <v>43</v>
      </c>
      <c r="D914" t="s">
        <v>64</v>
      </c>
      <c r="E914" t="s">
        <v>61</v>
      </c>
      <c r="F914" t="s">
        <v>36</v>
      </c>
      <c r="G914" s="3">
        <v>1</v>
      </c>
      <c r="I914" t="str">
        <f t="shared" si="42"/>
        <v>35-44</v>
      </c>
      <c r="J914" t="str">
        <f t="shared" si="43"/>
        <v>Promoted in 1-3 years</v>
      </c>
      <c r="K914">
        <f t="shared" si="44"/>
        <v>0</v>
      </c>
    </row>
    <row r="915" spans="1:11" x14ac:dyDescent="0.25">
      <c r="A915" s="5">
        <v>2015</v>
      </c>
      <c r="B915" s="3">
        <v>38</v>
      </c>
      <c r="C915" t="s">
        <v>43</v>
      </c>
      <c r="D915" t="s">
        <v>49</v>
      </c>
      <c r="E915" t="s">
        <v>61</v>
      </c>
      <c r="F915" t="s">
        <v>36</v>
      </c>
      <c r="G915" s="3">
        <v>1</v>
      </c>
      <c r="I915" t="str">
        <f t="shared" si="42"/>
        <v>35-44</v>
      </c>
      <c r="J915" t="str">
        <f t="shared" si="43"/>
        <v>Promoted in 1-3 years</v>
      </c>
      <c r="K915">
        <f t="shared" si="44"/>
        <v>0</v>
      </c>
    </row>
    <row r="916" spans="1:11" x14ac:dyDescent="0.25">
      <c r="A916" s="5">
        <v>1656</v>
      </c>
      <c r="B916" s="3">
        <v>50</v>
      </c>
      <c r="C916" t="s">
        <v>43</v>
      </c>
      <c r="D916" t="s">
        <v>70</v>
      </c>
      <c r="E916" t="s">
        <v>52</v>
      </c>
      <c r="F916" t="s">
        <v>50</v>
      </c>
      <c r="G916" s="3">
        <v>1</v>
      </c>
      <c r="I916" t="str">
        <f t="shared" si="42"/>
        <v>45-54</v>
      </c>
      <c r="J916" t="str">
        <f t="shared" si="43"/>
        <v>Promoted in 1-3 years</v>
      </c>
      <c r="K916">
        <f t="shared" si="44"/>
        <v>0</v>
      </c>
    </row>
    <row r="917" spans="1:11" x14ac:dyDescent="0.25">
      <c r="A917" s="5">
        <v>1005</v>
      </c>
      <c r="B917" s="3">
        <v>50</v>
      </c>
      <c r="C917" t="s">
        <v>43</v>
      </c>
      <c r="D917" t="s">
        <v>49</v>
      </c>
      <c r="E917" t="s">
        <v>61</v>
      </c>
      <c r="F917" t="s">
        <v>36</v>
      </c>
      <c r="G917" s="3">
        <v>1</v>
      </c>
      <c r="I917" t="str">
        <f t="shared" si="42"/>
        <v>45-54</v>
      </c>
      <c r="J917" t="str">
        <f t="shared" si="43"/>
        <v>Promoted in 1-3 years</v>
      </c>
      <c r="K917">
        <f t="shared" si="44"/>
        <v>0</v>
      </c>
    </row>
    <row r="918" spans="1:11" x14ac:dyDescent="0.25">
      <c r="A918" s="5">
        <v>1989</v>
      </c>
      <c r="B918" s="3">
        <v>30</v>
      </c>
      <c r="C918" t="s">
        <v>43</v>
      </c>
      <c r="D918" t="s">
        <v>67</v>
      </c>
      <c r="E918" t="s">
        <v>61</v>
      </c>
      <c r="F918" t="s">
        <v>42</v>
      </c>
      <c r="G918" s="3">
        <v>1</v>
      </c>
      <c r="I918" t="str">
        <f t="shared" si="42"/>
        <v>25-34</v>
      </c>
      <c r="J918" t="str">
        <f t="shared" si="43"/>
        <v>Promoted in 1-3 years</v>
      </c>
      <c r="K918">
        <f t="shared" si="44"/>
        <v>0</v>
      </c>
    </row>
    <row r="919" spans="1:11" x14ac:dyDescent="0.25">
      <c r="A919" s="5">
        <v>1611</v>
      </c>
      <c r="B919" s="3">
        <v>45</v>
      </c>
      <c r="C919" t="s">
        <v>43</v>
      </c>
      <c r="D919" t="s">
        <v>70</v>
      </c>
      <c r="E919" t="s">
        <v>41</v>
      </c>
      <c r="F919" t="s">
        <v>42</v>
      </c>
      <c r="G919" s="3">
        <v>1</v>
      </c>
      <c r="I919" t="str">
        <f t="shared" si="42"/>
        <v>45-54</v>
      </c>
      <c r="J919" t="str">
        <f t="shared" si="43"/>
        <v>Promoted in 1-3 years</v>
      </c>
      <c r="K919">
        <f t="shared" si="44"/>
        <v>0</v>
      </c>
    </row>
    <row r="920" spans="1:11" x14ac:dyDescent="0.25">
      <c r="A920" s="5">
        <v>1586</v>
      </c>
      <c r="B920" s="3">
        <v>29</v>
      </c>
      <c r="C920" t="s">
        <v>43</v>
      </c>
      <c r="D920" t="s">
        <v>64</v>
      </c>
      <c r="E920" t="s">
        <v>41</v>
      </c>
      <c r="F920" t="s">
        <v>42</v>
      </c>
      <c r="G920" s="3">
        <v>1</v>
      </c>
      <c r="I920" t="str">
        <f t="shared" si="42"/>
        <v>25-34</v>
      </c>
      <c r="J920" t="str">
        <f t="shared" si="43"/>
        <v>Promoted in 1-3 years</v>
      </c>
      <c r="K920">
        <f t="shared" si="44"/>
        <v>0</v>
      </c>
    </row>
    <row r="921" spans="1:11" x14ac:dyDescent="0.25">
      <c r="A921" s="5">
        <v>1435</v>
      </c>
      <c r="B921" s="3">
        <v>36</v>
      </c>
      <c r="C921" t="s">
        <v>43</v>
      </c>
      <c r="D921" t="s">
        <v>35</v>
      </c>
      <c r="E921" t="s">
        <v>41</v>
      </c>
      <c r="F921" t="s">
        <v>42</v>
      </c>
      <c r="G921" s="3">
        <v>1</v>
      </c>
      <c r="I921" t="str">
        <f t="shared" si="42"/>
        <v>35-44</v>
      </c>
      <c r="J921" t="str">
        <f t="shared" si="43"/>
        <v>Promoted in 1-3 years</v>
      </c>
      <c r="K921">
        <f t="shared" si="44"/>
        <v>0</v>
      </c>
    </row>
    <row r="922" spans="1:11" x14ac:dyDescent="0.25">
      <c r="A922" s="5">
        <v>536</v>
      </c>
      <c r="B922" s="3">
        <v>28</v>
      </c>
      <c r="C922" t="s">
        <v>43</v>
      </c>
      <c r="D922" t="s">
        <v>67</v>
      </c>
      <c r="E922" t="s">
        <v>52</v>
      </c>
      <c r="F922" t="s">
        <v>36</v>
      </c>
      <c r="G922" s="3">
        <v>1</v>
      </c>
      <c r="I922" t="str">
        <f t="shared" si="42"/>
        <v>25-34</v>
      </c>
      <c r="J922" t="str">
        <f t="shared" si="43"/>
        <v>Promoted in 1-3 years</v>
      </c>
      <c r="K922">
        <f t="shared" si="44"/>
        <v>0</v>
      </c>
    </row>
    <row r="923" spans="1:11" x14ac:dyDescent="0.25">
      <c r="A923" s="5">
        <v>441</v>
      </c>
      <c r="B923" s="3">
        <v>30</v>
      </c>
      <c r="C923" t="s">
        <v>43</v>
      </c>
      <c r="D923" t="s">
        <v>67</v>
      </c>
      <c r="E923" t="s">
        <v>61</v>
      </c>
      <c r="F923" t="s">
        <v>53</v>
      </c>
      <c r="G923" s="3">
        <v>1</v>
      </c>
      <c r="I923" t="str">
        <f t="shared" si="42"/>
        <v>25-34</v>
      </c>
      <c r="J923" t="str">
        <f t="shared" si="43"/>
        <v>Promoted in 1-3 years</v>
      </c>
      <c r="K923">
        <f t="shared" si="44"/>
        <v>0</v>
      </c>
    </row>
    <row r="924" spans="1:11" x14ac:dyDescent="0.25">
      <c r="A924" s="5">
        <v>385</v>
      </c>
      <c r="B924" s="3">
        <v>50</v>
      </c>
      <c r="C924" t="s">
        <v>43</v>
      </c>
      <c r="D924" t="s">
        <v>64</v>
      </c>
      <c r="E924" t="s">
        <v>52</v>
      </c>
      <c r="F924" t="s">
        <v>53</v>
      </c>
      <c r="G924" s="3">
        <v>1</v>
      </c>
      <c r="I924" t="str">
        <f t="shared" si="42"/>
        <v>45-54</v>
      </c>
      <c r="J924" t="str">
        <f t="shared" si="43"/>
        <v>Promoted in 1-3 years</v>
      </c>
      <c r="K924">
        <f t="shared" si="44"/>
        <v>0</v>
      </c>
    </row>
    <row r="925" spans="1:11" x14ac:dyDescent="0.25">
      <c r="A925" s="5">
        <v>762</v>
      </c>
      <c r="B925" s="3">
        <v>56</v>
      </c>
      <c r="C925" t="s">
        <v>43</v>
      </c>
      <c r="D925" t="s">
        <v>49</v>
      </c>
      <c r="E925" t="s">
        <v>61</v>
      </c>
      <c r="F925" t="s">
        <v>42</v>
      </c>
      <c r="G925" s="3">
        <v>1</v>
      </c>
      <c r="I925" t="str">
        <f t="shared" si="42"/>
        <v>55-60</v>
      </c>
      <c r="J925" t="str">
        <f t="shared" si="43"/>
        <v>Promoted in 1-3 years</v>
      </c>
      <c r="K925">
        <f t="shared" si="44"/>
        <v>0</v>
      </c>
    </row>
    <row r="926" spans="1:11" x14ac:dyDescent="0.25">
      <c r="A926" s="5">
        <v>41</v>
      </c>
      <c r="B926" s="3">
        <v>30</v>
      </c>
      <c r="C926" t="s">
        <v>43</v>
      </c>
      <c r="D926" t="s">
        <v>67</v>
      </c>
      <c r="E926" t="s">
        <v>41</v>
      </c>
      <c r="F926" t="s">
        <v>42</v>
      </c>
      <c r="G926" s="3">
        <v>1</v>
      </c>
      <c r="I926" t="str">
        <f t="shared" si="42"/>
        <v>25-34</v>
      </c>
      <c r="J926" t="str">
        <f t="shared" si="43"/>
        <v>Promoted in 1-3 years</v>
      </c>
      <c r="K926">
        <f t="shared" si="44"/>
        <v>0</v>
      </c>
    </row>
    <row r="927" spans="1:11" x14ac:dyDescent="0.25">
      <c r="A927" s="5">
        <v>1150</v>
      </c>
      <c r="B927" s="3">
        <v>29</v>
      </c>
      <c r="C927" t="s">
        <v>43</v>
      </c>
      <c r="D927" t="s">
        <v>64</v>
      </c>
      <c r="E927" t="s">
        <v>61</v>
      </c>
      <c r="F927" t="s">
        <v>36</v>
      </c>
      <c r="G927" s="3">
        <v>1</v>
      </c>
      <c r="I927" t="str">
        <f t="shared" si="42"/>
        <v>25-34</v>
      </c>
      <c r="J927" t="str">
        <f t="shared" si="43"/>
        <v>Promoted in 1-3 years</v>
      </c>
      <c r="K927">
        <f t="shared" si="44"/>
        <v>0</v>
      </c>
    </row>
    <row r="928" spans="1:11" x14ac:dyDescent="0.25">
      <c r="A928" s="5">
        <v>1344</v>
      </c>
      <c r="B928" s="3">
        <v>34</v>
      </c>
      <c r="C928" t="s">
        <v>43</v>
      </c>
      <c r="D928" t="s">
        <v>49</v>
      </c>
      <c r="E928" t="s">
        <v>52</v>
      </c>
      <c r="F928" t="s">
        <v>36</v>
      </c>
      <c r="G928" s="3">
        <v>1</v>
      </c>
      <c r="I928" t="str">
        <f t="shared" si="42"/>
        <v>25-34</v>
      </c>
      <c r="J928" t="str">
        <f t="shared" si="43"/>
        <v>Promoted in 1-3 years</v>
      </c>
      <c r="K928">
        <f t="shared" si="44"/>
        <v>0</v>
      </c>
    </row>
    <row r="929" spans="1:11" x14ac:dyDescent="0.25">
      <c r="A929" s="5">
        <v>1121</v>
      </c>
      <c r="B929" s="3">
        <v>28</v>
      </c>
      <c r="C929" t="s">
        <v>43</v>
      </c>
      <c r="D929" t="s">
        <v>49</v>
      </c>
      <c r="E929" t="s">
        <v>52</v>
      </c>
      <c r="F929" t="s">
        <v>50</v>
      </c>
      <c r="G929" s="3">
        <v>1</v>
      </c>
      <c r="I929" t="str">
        <f t="shared" si="42"/>
        <v>25-34</v>
      </c>
      <c r="J929" t="str">
        <f t="shared" si="43"/>
        <v>Promoted in 1-3 years</v>
      </c>
      <c r="K929">
        <f t="shared" si="44"/>
        <v>0</v>
      </c>
    </row>
    <row r="930" spans="1:11" x14ac:dyDescent="0.25">
      <c r="A930" s="5">
        <v>1617</v>
      </c>
      <c r="B930" s="3">
        <v>49</v>
      </c>
      <c r="C930" t="s">
        <v>43</v>
      </c>
      <c r="D930" t="s">
        <v>35</v>
      </c>
      <c r="E930" t="s">
        <v>61</v>
      </c>
      <c r="F930" t="s">
        <v>36</v>
      </c>
      <c r="G930" s="3">
        <v>1</v>
      </c>
      <c r="I930" t="str">
        <f t="shared" si="42"/>
        <v>45-54</v>
      </c>
      <c r="J930" t="str">
        <f t="shared" si="43"/>
        <v>Promoted in 1-3 years</v>
      </c>
      <c r="K930">
        <f t="shared" si="44"/>
        <v>0</v>
      </c>
    </row>
    <row r="931" spans="1:11" x14ac:dyDescent="0.25">
      <c r="A931" s="5">
        <v>1671</v>
      </c>
      <c r="B931" s="3">
        <v>32</v>
      </c>
      <c r="C931" t="s">
        <v>43</v>
      </c>
      <c r="D931" t="s">
        <v>49</v>
      </c>
      <c r="E931" t="s">
        <v>52</v>
      </c>
      <c r="F931" t="s">
        <v>53</v>
      </c>
      <c r="G931" s="3">
        <v>1</v>
      </c>
      <c r="I931" t="str">
        <f t="shared" si="42"/>
        <v>25-34</v>
      </c>
      <c r="J931" t="str">
        <f t="shared" si="43"/>
        <v>Promoted in 1-3 years</v>
      </c>
      <c r="K931">
        <f t="shared" si="44"/>
        <v>0</v>
      </c>
    </row>
    <row r="932" spans="1:11" x14ac:dyDescent="0.25">
      <c r="A932" s="5">
        <v>1172</v>
      </c>
      <c r="B932" s="3">
        <v>35</v>
      </c>
      <c r="C932" t="s">
        <v>43</v>
      </c>
      <c r="D932" t="s">
        <v>35</v>
      </c>
      <c r="E932" t="s">
        <v>61</v>
      </c>
      <c r="F932" t="s">
        <v>36</v>
      </c>
      <c r="G932" s="3">
        <v>1</v>
      </c>
      <c r="I932" t="str">
        <f t="shared" si="42"/>
        <v>35-44</v>
      </c>
      <c r="J932" t="str">
        <f t="shared" si="43"/>
        <v>Promoted in 1-3 years</v>
      </c>
      <c r="K932">
        <f t="shared" si="44"/>
        <v>0</v>
      </c>
    </row>
    <row r="933" spans="1:11" x14ac:dyDescent="0.25">
      <c r="A933" s="5">
        <v>1015</v>
      </c>
      <c r="B933" s="3">
        <v>30</v>
      </c>
      <c r="C933" t="s">
        <v>43</v>
      </c>
      <c r="D933" t="s">
        <v>67</v>
      </c>
      <c r="E933" t="s">
        <v>61</v>
      </c>
      <c r="F933" t="s">
        <v>50</v>
      </c>
      <c r="G933" s="3">
        <v>1</v>
      </c>
      <c r="I933" t="str">
        <f t="shared" si="42"/>
        <v>25-34</v>
      </c>
      <c r="J933" t="str">
        <f t="shared" si="43"/>
        <v>Promoted in 1-3 years</v>
      </c>
      <c r="K933">
        <f t="shared" si="44"/>
        <v>0</v>
      </c>
    </row>
    <row r="934" spans="1:11" x14ac:dyDescent="0.25">
      <c r="A934" s="5">
        <v>1514</v>
      </c>
      <c r="B934" s="3">
        <v>28</v>
      </c>
      <c r="C934" t="s">
        <v>43</v>
      </c>
      <c r="D934" t="s">
        <v>64</v>
      </c>
      <c r="E934" t="s">
        <v>61</v>
      </c>
      <c r="F934" t="s">
        <v>53</v>
      </c>
      <c r="G934" s="3">
        <v>1</v>
      </c>
      <c r="I934" t="str">
        <f t="shared" si="42"/>
        <v>25-34</v>
      </c>
      <c r="J934" t="str">
        <f t="shared" si="43"/>
        <v>Promoted in 1-3 years</v>
      </c>
      <c r="K934">
        <f t="shared" si="44"/>
        <v>0</v>
      </c>
    </row>
    <row r="935" spans="1:11" x14ac:dyDescent="0.25">
      <c r="A935" s="5">
        <v>1018</v>
      </c>
      <c r="B935" s="3">
        <v>26</v>
      </c>
      <c r="C935" t="s">
        <v>43</v>
      </c>
      <c r="D935" t="s">
        <v>67</v>
      </c>
      <c r="E935" t="s">
        <v>61</v>
      </c>
      <c r="F935" t="s">
        <v>42</v>
      </c>
      <c r="G935" s="3">
        <v>1</v>
      </c>
      <c r="I935" t="str">
        <f t="shared" si="42"/>
        <v>25-34</v>
      </c>
      <c r="J935" t="str">
        <f t="shared" si="43"/>
        <v>Promoted in 1-3 years</v>
      </c>
      <c r="K935">
        <f t="shared" si="44"/>
        <v>0</v>
      </c>
    </row>
    <row r="936" spans="1:11" x14ac:dyDescent="0.25">
      <c r="A936" s="5">
        <v>793</v>
      </c>
      <c r="B936" s="3">
        <v>29</v>
      </c>
      <c r="C936" t="s">
        <v>43</v>
      </c>
      <c r="D936" t="s">
        <v>49</v>
      </c>
      <c r="E936" t="s">
        <v>61</v>
      </c>
      <c r="F936" t="s">
        <v>36</v>
      </c>
      <c r="G936" s="3">
        <v>1</v>
      </c>
      <c r="I936" t="str">
        <f t="shared" si="42"/>
        <v>25-34</v>
      </c>
      <c r="J936" t="str">
        <f t="shared" si="43"/>
        <v>Promoted in 1-3 years</v>
      </c>
      <c r="K936">
        <f t="shared" si="44"/>
        <v>0</v>
      </c>
    </row>
    <row r="937" spans="1:11" x14ac:dyDescent="0.25">
      <c r="A937" s="5">
        <v>267</v>
      </c>
      <c r="B937" s="3">
        <v>37</v>
      </c>
      <c r="C937" t="s">
        <v>43</v>
      </c>
      <c r="D937" t="s">
        <v>49</v>
      </c>
      <c r="E937" t="s">
        <v>61</v>
      </c>
      <c r="F937" t="s">
        <v>36</v>
      </c>
      <c r="G937" s="3">
        <v>1</v>
      </c>
      <c r="I937" t="str">
        <f t="shared" si="42"/>
        <v>35-44</v>
      </c>
      <c r="J937" t="str">
        <f t="shared" si="43"/>
        <v>Promoted in 1-3 years</v>
      </c>
      <c r="K937">
        <f t="shared" si="44"/>
        <v>0</v>
      </c>
    </row>
    <row r="938" spans="1:11" x14ac:dyDescent="0.25">
      <c r="A938" s="5">
        <v>1322</v>
      </c>
      <c r="B938" s="3">
        <v>39</v>
      </c>
      <c r="C938" t="s">
        <v>43</v>
      </c>
      <c r="D938" t="s">
        <v>67</v>
      </c>
      <c r="E938" t="s">
        <v>41</v>
      </c>
      <c r="F938" t="s">
        <v>42</v>
      </c>
      <c r="G938" s="3">
        <v>1</v>
      </c>
      <c r="I938" t="str">
        <f t="shared" si="42"/>
        <v>35-44</v>
      </c>
      <c r="J938" t="str">
        <f t="shared" si="43"/>
        <v>Promoted in 1-3 years</v>
      </c>
      <c r="K938">
        <f t="shared" si="44"/>
        <v>0</v>
      </c>
    </row>
    <row r="939" spans="1:11" x14ac:dyDescent="0.25">
      <c r="A939" s="5">
        <v>1097</v>
      </c>
      <c r="B939" s="3">
        <v>28</v>
      </c>
      <c r="C939" t="s">
        <v>43</v>
      </c>
      <c r="D939" t="s">
        <v>49</v>
      </c>
      <c r="E939" t="s">
        <v>41</v>
      </c>
      <c r="F939" t="s">
        <v>42</v>
      </c>
      <c r="G939" s="3">
        <v>1</v>
      </c>
      <c r="I939" t="str">
        <f t="shared" si="42"/>
        <v>25-34</v>
      </c>
      <c r="J939" t="str">
        <f t="shared" si="43"/>
        <v>Promoted in 1-3 years</v>
      </c>
      <c r="K939">
        <f t="shared" si="44"/>
        <v>0</v>
      </c>
    </row>
    <row r="940" spans="1:11" x14ac:dyDescent="0.25">
      <c r="A940" s="5">
        <v>483</v>
      </c>
      <c r="B940" s="3">
        <v>40</v>
      </c>
      <c r="C940" t="s">
        <v>43</v>
      </c>
      <c r="D940" t="s">
        <v>35</v>
      </c>
      <c r="E940" t="s">
        <v>61</v>
      </c>
      <c r="F940" t="s">
        <v>36</v>
      </c>
      <c r="G940" s="3">
        <v>1</v>
      </c>
      <c r="I940" t="str">
        <f t="shared" si="42"/>
        <v>35-44</v>
      </c>
      <c r="J940" t="str">
        <f t="shared" si="43"/>
        <v>Promoted in 1-3 years</v>
      </c>
      <c r="K940">
        <f t="shared" si="44"/>
        <v>0</v>
      </c>
    </row>
    <row r="941" spans="1:11" x14ac:dyDescent="0.25">
      <c r="A941" s="5">
        <v>2014</v>
      </c>
      <c r="B941" s="3">
        <v>39</v>
      </c>
      <c r="C941" t="s">
        <v>43</v>
      </c>
      <c r="D941" t="s">
        <v>64</v>
      </c>
      <c r="E941" t="s">
        <v>41</v>
      </c>
      <c r="F941" t="s">
        <v>42</v>
      </c>
      <c r="G941" s="3">
        <v>1</v>
      </c>
      <c r="I941" t="str">
        <f t="shared" si="42"/>
        <v>35-44</v>
      </c>
      <c r="J941" t="str">
        <f t="shared" si="43"/>
        <v>Promoted in 1-3 years</v>
      </c>
      <c r="K941">
        <f t="shared" si="44"/>
        <v>0</v>
      </c>
    </row>
    <row r="942" spans="1:11" x14ac:dyDescent="0.25">
      <c r="A942" s="5">
        <v>258</v>
      </c>
      <c r="B942" s="3">
        <v>51</v>
      </c>
      <c r="C942" t="s">
        <v>43</v>
      </c>
      <c r="D942" t="s">
        <v>49</v>
      </c>
      <c r="E942" t="s">
        <v>41</v>
      </c>
      <c r="F942" t="s">
        <v>42</v>
      </c>
      <c r="G942" s="3">
        <v>1</v>
      </c>
      <c r="I942" t="str">
        <f t="shared" si="42"/>
        <v>45-54</v>
      </c>
      <c r="J942" t="str">
        <f t="shared" si="43"/>
        <v>Promoted in 1-3 years</v>
      </c>
      <c r="K942">
        <f t="shared" si="44"/>
        <v>0</v>
      </c>
    </row>
    <row r="943" spans="1:11" x14ac:dyDescent="0.25">
      <c r="A943" s="5">
        <v>1763</v>
      </c>
      <c r="B943" s="3">
        <v>30</v>
      </c>
      <c r="C943" t="s">
        <v>43</v>
      </c>
      <c r="D943" t="s">
        <v>49</v>
      </c>
      <c r="E943" t="s">
        <v>61</v>
      </c>
      <c r="F943" t="s">
        <v>36</v>
      </c>
      <c r="G943" s="3">
        <v>1</v>
      </c>
      <c r="I943" t="str">
        <f t="shared" si="42"/>
        <v>25-34</v>
      </c>
      <c r="J943" t="str">
        <f t="shared" si="43"/>
        <v>Promoted in 1-3 years</v>
      </c>
      <c r="K943">
        <f t="shared" si="44"/>
        <v>0</v>
      </c>
    </row>
    <row r="944" spans="1:11" x14ac:dyDescent="0.25">
      <c r="A944" s="5">
        <v>2062</v>
      </c>
      <c r="B944" s="3">
        <v>39</v>
      </c>
      <c r="C944" t="s">
        <v>43</v>
      </c>
      <c r="D944" t="s">
        <v>64</v>
      </c>
      <c r="E944" t="s">
        <v>61</v>
      </c>
      <c r="F944" t="s">
        <v>36</v>
      </c>
      <c r="G944" s="3">
        <v>1</v>
      </c>
      <c r="I944" t="str">
        <f t="shared" si="42"/>
        <v>35-44</v>
      </c>
      <c r="J944" t="str">
        <f t="shared" si="43"/>
        <v>Promoted in 1-3 years</v>
      </c>
      <c r="K944">
        <f t="shared" si="44"/>
        <v>0</v>
      </c>
    </row>
    <row r="945" spans="1:11" x14ac:dyDescent="0.25">
      <c r="A945" s="5">
        <v>273</v>
      </c>
      <c r="B945" s="3">
        <v>38</v>
      </c>
      <c r="C945" t="s">
        <v>43</v>
      </c>
      <c r="D945" t="s">
        <v>49</v>
      </c>
      <c r="E945" t="s">
        <v>61</v>
      </c>
      <c r="F945" t="s">
        <v>36</v>
      </c>
      <c r="G945" s="3">
        <v>1</v>
      </c>
      <c r="I945" t="str">
        <f t="shared" si="42"/>
        <v>35-44</v>
      </c>
      <c r="J945" t="str">
        <f t="shared" si="43"/>
        <v>Promoted in 1-3 years</v>
      </c>
      <c r="K945">
        <f t="shared" si="44"/>
        <v>0</v>
      </c>
    </row>
    <row r="946" spans="1:11" x14ac:dyDescent="0.25">
      <c r="A946" s="5">
        <v>1264</v>
      </c>
      <c r="B946" s="3">
        <v>29</v>
      </c>
      <c r="C946" t="s">
        <v>43</v>
      </c>
      <c r="D946" t="s">
        <v>49</v>
      </c>
      <c r="E946" t="s">
        <v>52</v>
      </c>
      <c r="F946" t="s">
        <v>53</v>
      </c>
      <c r="G946" s="3">
        <v>1</v>
      </c>
      <c r="I946" t="str">
        <f t="shared" si="42"/>
        <v>25-34</v>
      </c>
      <c r="J946" t="str">
        <f t="shared" si="43"/>
        <v>Promoted in 1-3 years</v>
      </c>
      <c r="K946">
        <f t="shared" si="44"/>
        <v>0</v>
      </c>
    </row>
    <row r="947" spans="1:11" x14ac:dyDescent="0.25">
      <c r="A947" s="5">
        <v>1312</v>
      </c>
      <c r="B947" s="3">
        <v>36</v>
      </c>
      <c r="C947" t="s">
        <v>43</v>
      </c>
      <c r="D947" t="s">
        <v>35</v>
      </c>
      <c r="E947" t="s">
        <v>61</v>
      </c>
      <c r="F947" t="s">
        <v>42</v>
      </c>
      <c r="G947" s="3">
        <v>1</v>
      </c>
      <c r="I947" t="str">
        <f t="shared" si="42"/>
        <v>35-44</v>
      </c>
      <c r="J947" t="str">
        <f t="shared" si="43"/>
        <v>Promoted in 1-3 years</v>
      </c>
      <c r="K947">
        <f t="shared" si="44"/>
        <v>0</v>
      </c>
    </row>
    <row r="948" spans="1:11" x14ac:dyDescent="0.25">
      <c r="A948" s="5">
        <v>1830</v>
      </c>
      <c r="B948" s="3">
        <v>54</v>
      </c>
      <c r="C948" t="s">
        <v>43</v>
      </c>
      <c r="D948" t="s">
        <v>35</v>
      </c>
      <c r="E948" t="s">
        <v>61</v>
      </c>
      <c r="F948" t="s">
        <v>36</v>
      </c>
      <c r="G948" s="3">
        <v>1</v>
      </c>
      <c r="I948" t="str">
        <f t="shared" si="42"/>
        <v>45-54</v>
      </c>
      <c r="J948" t="str">
        <f t="shared" si="43"/>
        <v>Promoted in 1-3 years</v>
      </c>
      <c r="K948">
        <f t="shared" si="44"/>
        <v>0</v>
      </c>
    </row>
    <row r="949" spans="1:11" x14ac:dyDescent="0.25">
      <c r="A949" s="5">
        <v>1859</v>
      </c>
      <c r="B949" s="3">
        <v>29</v>
      </c>
      <c r="C949" t="s">
        <v>43</v>
      </c>
      <c r="D949" t="s">
        <v>64</v>
      </c>
      <c r="E949" t="s">
        <v>52</v>
      </c>
      <c r="F949" t="s">
        <v>53</v>
      </c>
      <c r="G949" s="3">
        <v>1</v>
      </c>
      <c r="I949" t="str">
        <f t="shared" si="42"/>
        <v>25-34</v>
      </c>
      <c r="J949" t="str">
        <f t="shared" si="43"/>
        <v>Promoted in 1-3 years</v>
      </c>
      <c r="K949">
        <f t="shared" si="44"/>
        <v>0</v>
      </c>
    </row>
    <row r="950" spans="1:11" x14ac:dyDescent="0.25">
      <c r="A950" s="5">
        <v>1221</v>
      </c>
      <c r="B950" s="3">
        <v>36</v>
      </c>
      <c r="C950" t="s">
        <v>43</v>
      </c>
      <c r="D950" t="s">
        <v>35</v>
      </c>
      <c r="E950" t="s">
        <v>52</v>
      </c>
      <c r="F950" t="s">
        <v>36</v>
      </c>
      <c r="G950" s="3">
        <v>1</v>
      </c>
      <c r="I950" t="str">
        <f t="shared" si="42"/>
        <v>35-44</v>
      </c>
      <c r="J950" t="str">
        <f t="shared" si="43"/>
        <v>Promoted in 1-3 years</v>
      </c>
      <c r="K950">
        <f t="shared" si="44"/>
        <v>0</v>
      </c>
    </row>
    <row r="951" spans="1:11" x14ac:dyDescent="0.25">
      <c r="A951" s="5">
        <v>623</v>
      </c>
      <c r="B951" s="3">
        <v>37</v>
      </c>
      <c r="C951" t="s">
        <v>43</v>
      </c>
      <c r="D951" t="s">
        <v>49</v>
      </c>
      <c r="E951" t="s">
        <v>41</v>
      </c>
      <c r="F951" t="s">
        <v>42</v>
      </c>
      <c r="G951" s="3">
        <v>1</v>
      </c>
      <c r="I951" t="str">
        <f t="shared" si="42"/>
        <v>35-44</v>
      </c>
      <c r="J951" t="str">
        <f t="shared" si="43"/>
        <v>Promoted in 1-3 years</v>
      </c>
      <c r="K951">
        <f t="shared" si="44"/>
        <v>0</v>
      </c>
    </row>
    <row r="952" spans="1:11" x14ac:dyDescent="0.25">
      <c r="A952" s="5">
        <v>1751</v>
      </c>
      <c r="B952" s="3">
        <v>27</v>
      </c>
      <c r="C952" t="s">
        <v>43</v>
      </c>
      <c r="D952" t="s">
        <v>49</v>
      </c>
      <c r="E952" t="s">
        <v>41</v>
      </c>
      <c r="F952" t="s">
        <v>42</v>
      </c>
      <c r="G952" s="3">
        <v>1</v>
      </c>
      <c r="I952" t="str">
        <f t="shared" si="42"/>
        <v>25-34</v>
      </c>
      <c r="J952" t="str">
        <f t="shared" si="43"/>
        <v>Promoted in 1-3 years</v>
      </c>
      <c r="K952">
        <f t="shared" si="44"/>
        <v>0</v>
      </c>
    </row>
    <row r="953" spans="1:11" x14ac:dyDescent="0.25">
      <c r="A953" s="5">
        <v>1609</v>
      </c>
      <c r="B953" s="3">
        <v>30</v>
      </c>
      <c r="C953" t="s">
        <v>43</v>
      </c>
      <c r="D953" t="s">
        <v>49</v>
      </c>
      <c r="E953" t="s">
        <v>61</v>
      </c>
      <c r="F953" t="s">
        <v>36</v>
      </c>
      <c r="G953" s="3">
        <v>1</v>
      </c>
      <c r="I953" t="str">
        <f t="shared" si="42"/>
        <v>25-34</v>
      </c>
      <c r="J953" t="str">
        <f t="shared" si="43"/>
        <v>Promoted in 1-3 years</v>
      </c>
      <c r="K953">
        <f t="shared" si="44"/>
        <v>0</v>
      </c>
    </row>
    <row r="954" spans="1:11" x14ac:dyDescent="0.25">
      <c r="A954" s="5">
        <v>639</v>
      </c>
      <c r="B954" s="3">
        <v>24</v>
      </c>
      <c r="C954" t="s">
        <v>43</v>
      </c>
      <c r="D954" t="s">
        <v>49</v>
      </c>
      <c r="E954" t="s">
        <v>61</v>
      </c>
      <c r="F954" t="s">
        <v>53</v>
      </c>
      <c r="G954" s="3">
        <v>1</v>
      </c>
      <c r="I954" t="str">
        <f t="shared" si="42"/>
        <v>18-24</v>
      </c>
      <c r="J954" t="str">
        <f t="shared" si="43"/>
        <v>Promoted in 1-3 years</v>
      </c>
      <c r="K954">
        <f t="shared" si="44"/>
        <v>0</v>
      </c>
    </row>
    <row r="955" spans="1:11" x14ac:dyDescent="0.25">
      <c r="A955" s="5">
        <v>856</v>
      </c>
      <c r="B955" s="3">
        <v>35</v>
      </c>
      <c r="C955" t="s">
        <v>43</v>
      </c>
      <c r="D955" t="s">
        <v>64</v>
      </c>
      <c r="E955" t="s">
        <v>41</v>
      </c>
      <c r="F955" t="s">
        <v>42</v>
      </c>
      <c r="G955" s="3">
        <v>1</v>
      </c>
      <c r="I955" t="str">
        <f t="shared" si="42"/>
        <v>35-44</v>
      </c>
      <c r="J955" t="str">
        <f t="shared" si="43"/>
        <v>Promoted in 1-3 years</v>
      </c>
      <c r="K955">
        <f t="shared" si="44"/>
        <v>0</v>
      </c>
    </row>
    <row r="956" spans="1:11" x14ac:dyDescent="0.25">
      <c r="A956" s="5">
        <v>649</v>
      </c>
      <c r="B956" s="3">
        <v>34</v>
      </c>
      <c r="C956" t="s">
        <v>43</v>
      </c>
      <c r="D956" t="s">
        <v>67</v>
      </c>
      <c r="E956" t="s">
        <v>61</v>
      </c>
      <c r="F956" t="s">
        <v>36</v>
      </c>
      <c r="G956" s="3">
        <v>1</v>
      </c>
      <c r="I956" t="str">
        <f t="shared" si="42"/>
        <v>25-34</v>
      </c>
      <c r="J956" t="str">
        <f t="shared" si="43"/>
        <v>Promoted in 1-3 years</v>
      </c>
      <c r="K956">
        <f t="shared" si="44"/>
        <v>0</v>
      </c>
    </row>
    <row r="957" spans="1:11" x14ac:dyDescent="0.25">
      <c r="A957" s="5">
        <v>1161</v>
      </c>
      <c r="B957" s="3">
        <v>37</v>
      </c>
      <c r="C957" t="s">
        <v>43</v>
      </c>
      <c r="D957" t="s">
        <v>67</v>
      </c>
      <c r="E957" t="s">
        <v>52</v>
      </c>
      <c r="F957" t="s">
        <v>53</v>
      </c>
      <c r="G957" s="3">
        <v>1</v>
      </c>
      <c r="I957" t="str">
        <f t="shared" si="42"/>
        <v>35-44</v>
      </c>
      <c r="J957" t="str">
        <f t="shared" si="43"/>
        <v>Promoted in 1-3 years</v>
      </c>
      <c r="K957">
        <f t="shared" si="44"/>
        <v>0</v>
      </c>
    </row>
    <row r="958" spans="1:11" x14ac:dyDescent="0.25">
      <c r="A958" s="5">
        <v>1438</v>
      </c>
      <c r="B958" s="3">
        <v>47</v>
      </c>
      <c r="C958" t="s">
        <v>43</v>
      </c>
      <c r="D958" t="s">
        <v>49</v>
      </c>
      <c r="E958" t="s">
        <v>61</v>
      </c>
      <c r="F958" t="s">
        <v>36</v>
      </c>
      <c r="G958" s="3">
        <v>1</v>
      </c>
      <c r="I958" t="str">
        <f t="shared" si="42"/>
        <v>45-54</v>
      </c>
      <c r="J958" t="str">
        <f t="shared" si="43"/>
        <v>Promoted in 1-3 years</v>
      </c>
      <c r="K958">
        <f t="shared" si="44"/>
        <v>0</v>
      </c>
    </row>
    <row r="959" spans="1:11" x14ac:dyDescent="0.25">
      <c r="A959" s="5">
        <v>346</v>
      </c>
      <c r="B959" s="3">
        <v>29</v>
      </c>
      <c r="C959" t="s">
        <v>43</v>
      </c>
      <c r="D959" t="s">
        <v>49</v>
      </c>
      <c r="E959" t="s">
        <v>41</v>
      </c>
      <c r="F959" t="s">
        <v>42</v>
      </c>
      <c r="G959" s="3">
        <v>1</v>
      </c>
      <c r="I959" t="str">
        <f t="shared" si="42"/>
        <v>25-34</v>
      </c>
      <c r="J959" t="str">
        <f t="shared" si="43"/>
        <v>Promoted in 1-3 years</v>
      </c>
      <c r="K959">
        <f t="shared" si="44"/>
        <v>0</v>
      </c>
    </row>
    <row r="960" spans="1:11" x14ac:dyDescent="0.25">
      <c r="A960" s="5">
        <v>1725</v>
      </c>
      <c r="B960" s="3">
        <v>24</v>
      </c>
      <c r="C960" t="s">
        <v>43</v>
      </c>
      <c r="D960" t="s">
        <v>64</v>
      </c>
      <c r="E960" t="s">
        <v>52</v>
      </c>
      <c r="F960" t="s">
        <v>50</v>
      </c>
      <c r="G960" s="3">
        <v>1</v>
      </c>
      <c r="I960" t="str">
        <f t="shared" si="42"/>
        <v>18-24</v>
      </c>
      <c r="J960" t="str">
        <f t="shared" si="43"/>
        <v>Promoted in 1-3 years</v>
      </c>
      <c r="K960">
        <f t="shared" si="44"/>
        <v>0</v>
      </c>
    </row>
    <row r="961" spans="1:11" x14ac:dyDescent="0.25">
      <c r="A961" s="5">
        <v>1260</v>
      </c>
      <c r="B961" s="3">
        <v>29</v>
      </c>
      <c r="C961" t="s">
        <v>43</v>
      </c>
      <c r="D961" t="s">
        <v>49</v>
      </c>
      <c r="E961" t="s">
        <v>52</v>
      </c>
      <c r="F961" t="s">
        <v>53</v>
      </c>
      <c r="G961" s="3">
        <v>1</v>
      </c>
      <c r="I961" t="str">
        <f t="shared" si="42"/>
        <v>25-34</v>
      </c>
      <c r="J961" t="str">
        <f t="shared" si="43"/>
        <v>Promoted in 1-3 years</v>
      </c>
      <c r="K961">
        <f t="shared" si="44"/>
        <v>0</v>
      </c>
    </row>
    <row r="962" spans="1:11" x14ac:dyDescent="0.25">
      <c r="A962" s="5">
        <v>1434</v>
      </c>
      <c r="B962" s="3">
        <v>27</v>
      </c>
      <c r="C962" t="s">
        <v>43</v>
      </c>
      <c r="D962" t="s">
        <v>64</v>
      </c>
      <c r="E962" t="s">
        <v>61</v>
      </c>
      <c r="F962" t="s">
        <v>42</v>
      </c>
      <c r="G962" s="3">
        <v>1</v>
      </c>
      <c r="I962" t="str">
        <f t="shared" si="42"/>
        <v>25-34</v>
      </c>
      <c r="J962" t="str">
        <f t="shared" si="43"/>
        <v>Promoted in 1-3 years</v>
      </c>
      <c r="K962">
        <f t="shared" si="44"/>
        <v>0</v>
      </c>
    </row>
    <row r="963" spans="1:11" x14ac:dyDescent="0.25">
      <c r="A963" s="5">
        <v>546</v>
      </c>
      <c r="B963" s="3">
        <v>52</v>
      </c>
      <c r="C963" t="s">
        <v>43</v>
      </c>
      <c r="D963" t="s">
        <v>67</v>
      </c>
      <c r="E963" t="s">
        <v>61</v>
      </c>
      <c r="F963" t="s">
        <v>42</v>
      </c>
      <c r="G963" s="3">
        <v>1</v>
      </c>
      <c r="I963" t="str">
        <f t="shared" ref="I963:I1026" si="45">IF(B963&lt;=24, "18-24", IF(B963&lt;=34,"25-34", IF(B963&lt;=44,"35-44", IF(B963&lt;=54,"45-54", IF(B963&lt;=60, "55-60")))))</f>
        <v>45-54</v>
      </c>
      <c r="J963" t="str">
        <f t="shared" ref="J963:J1026" si="46">IF(G963&lt;=0,"Recently promoted",IF(G963&lt;=3,"Promoted in 1-3 years","Long Promotion gap"))</f>
        <v>Promoted in 1-3 years</v>
      </c>
      <c r="K963">
        <f t="shared" ref="K963:K1026" si="47">IF(C963="Yes", 1, 0)</f>
        <v>0</v>
      </c>
    </row>
    <row r="964" spans="1:11" x14ac:dyDescent="0.25">
      <c r="A964" s="5">
        <v>1709</v>
      </c>
      <c r="B964" s="3">
        <v>29</v>
      </c>
      <c r="C964" t="s">
        <v>43</v>
      </c>
      <c r="D964" t="s">
        <v>35</v>
      </c>
      <c r="E964" t="s">
        <v>61</v>
      </c>
      <c r="F964" t="s">
        <v>36</v>
      </c>
      <c r="G964" s="3">
        <v>1</v>
      </c>
      <c r="I964" t="str">
        <f t="shared" si="45"/>
        <v>25-34</v>
      </c>
      <c r="J964" t="str">
        <f t="shared" si="46"/>
        <v>Promoted in 1-3 years</v>
      </c>
      <c r="K964">
        <f t="shared" si="47"/>
        <v>0</v>
      </c>
    </row>
    <row r="965" spans="1:11" x14ac:dyDescent="0.25">
      <c r="A965" s="5">
        <v>730</v>
      </c>
      <c r="B965" s="3">
        <v>53</v>
      </c>
      <c r="C965" t="s">
        <v>43</v>
      </c>
      <c r="D965" t="s">
        <v>49</v>
      </c>
      <c r="E965" t="s">
        <v>61</v>
      </c>
      <c r="F965" t="s">
        <v>42</v>
      </c>
      <c r="G965" s="3">
        <v>1</v>
      </c>
      <c r="I965" t="str">
        <f t="shared" si="45"/>
        <v>45-54</v>
      </c>
      <c r="J965" t="str">
        <f t="shared" si="46"/>
        <v>Promoted in 1-3 years</v>
      </c>
      <c r="K965">
        <f t="shared" si="47"/>
        <v>0</v>
      </c>
    </row>
    <row r="966" spans="1:11" x14ac:dyDescent="0.25">
      <c r="A966" s="5">
        <v>865</v>
      </c>
      <c r="B966" s="3">
        <v>32</v>
      </c>
      <c r="C966" t="s">
        <v>43</v>
      </c>
      <c r="D966" t="s">
        <v>67</v>
      </c>
      <c r="E966" t="s">
        <v>61</v>
      </c>
      <c r="F966" t="s">
        <v>36</v>
      </c>
      <c r="G966" s="3">
        <v>1</v>
      </c>
      <c r="I966" t="str">
        <f t="shared" si="45"/>
        <v>25-34</v>
      </c>
      <c r="J966" t="str">
        <f t="shared" si="46"/>
        <v>Promoted in 1-3 years</v>
      </c>
      <c r="K966">
        <f t="shared" si="47"/>
        <v>0</v>
      </c>
    </row>
    <row r="967" spans="1:11" x14ac:dyDescent="0.25">
      <c r="A967" s="5">
        <v>1980</v>
      </c>
      <c r="B967" s="3">
        <v>54</v>
      </c>
      <c r="C967" t="s">
        <v>43</v>
      </c>
      <c r="D967" t="s">
        <v>49</v>
      </c>
      <c r="E967" t="s">
        <v>41</v>
      </c>
      <c r="F967" t="s">
        <v>42</v>
      </c>
      <c r="G967" s="3">
        <v>1</v>
      </c>
      <c r="I967" t="str">
        <f t="shared" si="45"/>
        <v>45-54</v>
      </c>
      <c r="J967" t="str">
        <f t="shared" si="46"/>
        <v>Promoted in 1-3 years</v>
      </c>
      <c r="K967">
        <f t="shared" si="47"/>
        <v>0</v>
      </c>
    </row>
    <row r="968" spans="1:11" x14ac:dyDescent="0.25">
      <c r="A968" s="5">
        <v>1755</v>
      </c>
      <c r="B968" s="3">
        <v>34</v>
      </c>
      <c r="C968" t="s">
        <v>43</v>
      </c>
      <c r="D968" t="s">
        <v>35</v>
      </c>
      <c r="E968" t="s">
        <v>61</v>
      </c>
      <c r="F968" t="s">
        <v>50</v>
      </c>
      <c r="G968" s="3">
        <v>1</v>
      </c>
      <c r="I968" t="str">
        <f t="shared" si="45"/>
        <v>25-34</v>
      </c>
      <c r="J968" t="str">
        <f t="shared" si="46"/>
        <v>Promoted in 1-3 years</v>
      </c>
      <c r="K968">
        <f t="shared" si="47"/>
        <v>0</v>
      </c>
    </row>
    <row r="969" spans="1:11" x14ac:dyDescent="0.25">
      <c r="A969" s="5">
        <v>799</v>
      </c>
      <c r="B969" s="3">
        <v>54</v>
      </c>
      <c r="C969" t="s">
        <v>43</v>
      </c>
      <c r="D969" t="s">
        <v>35</v>
      </c>
      <c r="E969" t="s">
        <v>52</v>
      </c>
      <c r="F969" t="s">
        <v>53</v>
      </c>
      <c r="G969" s="3">
        <v>1</v>
      </c>
      <c r="I969" t="str">
        <f t="shared" si="45"/>
        <v>45-54</v>
      </c>
      <c r="J969" t="str">
        <f t="shared" si="46"/>
        <v>Promoted in 1-3 years</v>
      </c>
      <c r="K969">
        <f t="shared" si="47"/>
        <v>0</v>
      </c>
    </row>
    <row r="970" spans="1:11" x14ac:dyDescent="0.25">
      <c r="A970" s="5">
        <v>386</v>
      </c>
      <c r="B970" s="3">
        <v>53</v>
      </c>
      <c r="C970" t="s">
        <v>43</v>
      </c>
      <c r="D970" t="s">
        <v>35</v>
      </c>
      <c r="E970" t="s">
        <v>61</v>
      </c>
      <c r="F970" t="s">
        <v>50</v>
      </c>
      <c r="G970" s="3">
        <v>1</v>
      </c>
      <c r="I970" t="str">
        <f t="shared" si="45"/>
        <v>45-54</v>
      </c>
      <c r="J970" t="str">
        <f t="shared" si="46"/>
        <v>Promoted in 1-3 years</v>
      </c>
      <c r="K970">
        <f t="shared" si="47"/>
        <v>0</v>
      </c>
    </row>
    <row r="971" spans="1:11" x14ac:dyDescent="0.25">
      <c r="A971" s="5">
        <v>223</v>
      </c>
      <c r="B971" s="3">
        <v>57</v>
      </c>
      <c r="C971" t="s">
        <v>43</v>
      </c>
      <c r="D971" t="s">
        <v>67</v>
      </c>
      <c r="E971" t="s">
        <v>52</v>
      </c>
      <c r="F971" t="s">
        <v>36</v>
      </c>
      <c r="G971" s="3">
        <v>1</v>
      </c>
      <c r="I971" t="str">
        <f t="shared" si="45"/>
        <v>55-60</v>
      </c>
      <c r="J971" t="str">
        <f t="shared" si="46"/>
        <v>Promoted in 1-3 years</v>
      </c>
      <c r="K971">
        <f t="shared" si="47"/>
        <v>0</v>
      </c>
    </row>
    <row r="972" spans="1:11" x14ac:dyDescent="0.25">
      <c r="A972" s="5">
        <v>1475</v>
      </c>
      <c r="B972" s="3">
        <v>44</v>
      </c>
      <c r="C972" t="s">
        <v>43</v>
      </c>
      <c r="D972" t="s">
        <v>49</v>
      </c>
      <c r="E972" t="s">
        <v>41</v>
      </c>
      <c r="F972" t="s">
        <v>42</v>
      </c>
      <c r="G972" s="3">
        <v>1</v>
      </c>
      <c r="I972" t="str">
        <f t="shared" si="45"/>
        <v>35-44</v>
      </c>
      <c r="J972" t="str">
        <f t="shared" si="46"/>
        <v>Promoted in 1-3 years</v>
      </c>
      <c r="K972">
        <f t="shared" si="47"/>
        <v>0</v>
      </c>
    </row>
    <row r="973" spans="1:11" x14ac:dyDescent="0.25">
      <c r="A973" s="5">
        <v>46</v>
      </c>
      <c r="B973" s="3">
        <v>43</v>
      </c>
      <c r="C973" t="s">
        <v>43</v>
      </c>
      <c r="D973" t="s">
        <v>67</v>
      </c>
      <c r="E973" t="s">
        <v>52</v>
      </c>
      <c r="F973" t="s">
        <v>53</v>
      </c>
      <c r="G973" s="3">
        <v>1</v>
      </c>
      <c r="I973" t="str">
        <f t="shared" si="45"/>
        <v>35-44</v>
      </c>
      <c r="J973" t="str">
        <f t="shared" si="46"/>
        <v>Promoted in 1-3 years</v>
      </c>
      <c r="K973">
        <f t="shared" si="47"/>
        <v>0</v>
      </c>
    </row>
    <row r="974" spans="1:11" x14ac:dyDescent="0.25">
      <c r="A974" s="5">
        <v>233</v>
      </c>
      <c r="B974" s="3">
        <v>27</v>
      </c>
      <c r="C974" t="s">
        <v>43</v>
      </c>
      <c r="D974" t="s">
        <v>49</v>
      </c>
      <c r="E974" t="s">
        <v>61</v>
      </c>
      <c r="F974" t="s">
        <v>36</v>
      </c>
      <c r="G974" s="3">
        <v>1</v>
      </c>
      <c r="I974" t="str">
        <f t="shared" si="45"/>
        <v>25-34</v>
      </c>
      <c r="J974" t="str">
        <f t="shared" si="46"/>
        <v>Promoted in 1-3 years</v>
      </c>
      <c r="K974">
        <f t="shared" si="47"/>
        <v>0</v>
      </c>
    </row>
    <row r="975" spans="1:11" x14ac:dyDescent="0.25">
      <c r="A975" s="5">
        <v>1982</v>
      </c>
      <c r="B975" s="3">
        <v>23</v>
      </c>
      <c r="C975" t="s">
        <v>43</v>
      </c>
      <c r="D975" t="s">
        <v>67</v>
      </c>
      <c r="E975" t="s">
        <v>41</v>
      </c>
      <c r="F975" t="s">
        <v>42</v>
      </c>
      <c r="G975" s="3">
        <v>1</v>
      </c>
      <c r="I975" t="str">
        <f t="shared" si="45"/>
        <v>18-24</v>
      </c>
      <c r="J975" t="str">
        <f t="shared" si="46"/>
        <v>Promoted in 1-3 years</v>
      </c>
      <c r="K975">
        <f t="shared" si="47"/>
        <v>0</v>
      </c>
    </row>
    <row r="976" spans="1:11" x14ac:dyDescent="0.25">
      <c r="A976" s="5">
        <v>198</v>
      </c>
      <c r="B976" s="3">
        <v>30</v>
      </c>
      <c r="C976" t="s">
        <v>43</v>
      </c>
      <c r="D976" t="s">
        <v>64</v>
      </c>
      <c r="E976" t="s">
        <v>41</v>
      </c>
      <c r="F976" t="s">
        <v>42</v>
      </c>
      <c r="G976" s="3">
        <v>1</v>
      </c>
      <c r="I976" t="str">
        <f t="shared" si="45"/>
        <v>25-34</v>
      </c>
      <c r="J976" t="str">
        <f t="shared" si="46"/>
        <v>Promoted in 1-3 years</v>
      </c>
      <c r="K976">
        <f t="shared" si="47"/>
        <v>0</v>
      </c>
    </row>
    <row r="977" spans="1:11" x14ac:dyDescent="0.25">
      <c r="A977" s="5">
        <v>517</v>
      </c>
      <c r="B977" s="3">
        <v>42</v>
      </c>
      <c r="C977" t="s">
        <v>43</v>
      </c>
      <c r="D977" t="s">
        <v>35</v>
      </c>
      <c r="E977" t="s">
        <v>52</v>
      </c>
      <c r="F977" t="s">
        <v>36</v>
      </c>
      <c r="G977" s="3">
        <v>1</v>
      </c>
      <c r="I977" t="str">
        <f t="shared" si="45"/>
        <v>35-44</v>
      </c>
      <c r="J977" t="str">
        <f t="shared" si="46"/>
        <v>Promoted in 1-3 years</v>
      </c>
      <c r="K977">
        <f t="shared" si="47"/>
        <v>0</v>
      </c>
    </row>
    <row r="978" spans="1:11" x14ac:dyDescent="0.25">
      <c r="A978" s="5">
        <v>1083</v>
      </c>
      <c r="B978" s="3">
        <v>26</v>
      </c>
      <c r="C978" t="s">
        <v>43</v>
      </c>
      <c r="D978" t="s">
        <v>67</v>
      </c>
      <c r="E978" t="s">
        <v>61</v>
      </c>
      <c r="F978" t="s">
        <v>53</v>
      </c>
      <c r="G978" s="3">
        <v>1</v>
      </c>
      <c r="I978" t="str">
        <f t="shared" si="45"/>
        <v>25-34</v>
      </c>
      <c r="J978" t="str">
        <f t="shared" si="46"/>
        <v>Promoted in 1-3 years</v>
      </c>
      <c r="K978">
        <f t="shared" si="47"/>
        <v>0</v>
      </c>
    </row>
    <row r="979" spans="1:11" x14ac:dyDescent="0.25">
      <c r="A979" s="5">
        <v>1202</v>
      </c>
      <c r="B979" s="3">
        <v>29</v>
      </c>
      <c r="C979" t="s">
        <v>43</v>
      </c>
      <c r="D979" t="s">
        <v>64</v>
      </c>
      <c r="E979" t="s">
        <v>61</v>
      </c>
      <c r="F979" t="s">
        <v>36</v>
      </c>
      <c r="G979" s="3">
        <v>1</v>
      </c>
      <c r="I979" t="str">
        <f t="shared" si="45"/>
        <v>25-34</v>
      </c>
      <c r="J979" t="str">
        <f t="shared" si="46"/>
        <v>Promoted in 1-3 years</v>
      </c>
      <c r="K979">
        <f t="shared" si="47"/>
        <v>0</v>
      </c>
    </row>
    <row r="980" spans="1:11" x14ac:dyDescent="0.25">
      <c r="A980" s="5">
        <v>505</v>
      </c>
      <c r="B980" s="3">
        <v>55</v>
      </c>
      <c r="C980" t="s">
        <v>43</v>
      </c>
      <c r="D980" t="s">
        <v>49</v>
      </c>
      <c r="E980" t="s">
        <v>41</v>
      </c>
      <c r="F980" t="s">
        <v>42</v>
      </c>
      <c r="G980" s="3">
        <v>1</v>
      </c>
      <c r="I980" t="str">
        <f t="shared" si="45"/>
        <v>55-60</v>
      </c>
      <c r="J980" t="str">
        <f t="shared" si="46"/>
        <v>Promoted in 1-3 years</v>
      </c>
      <c r="K980">
        <f t="shared" si="47"/>
        <v>0</v>
      </c>
    </row>
    <row r="981" spans="1:11" x14ac:dyDescent="0.25">
      <c r="A981" s="5">
        <v>466</v>
      </c>
      <c r="B981" s="3">
        <v>41</v>
      </c>
      <c r="C981" t="s">
        <v>43</v>
      </c>
      <c r="D981" t="s">
        <v>49</v>
      </c>
      <c r="E981" t="s">
        <v>41</v>
      </c>
      <c r="F981" t="s">
        <v>42</v>
      </c>
      <c r="G981" s="3">
        <v>1</v>
      </c>
      <c r="I981" t="str">
        <f t="shared" si="45"/>
        <v>35-44</v>
      </c>
      <c r="J981" t="str">
        <f t="shared" si="46"/>
        <v>Promoted in 1-3 years</v>
      </c>
      <c r="K981">
        <f t="shared" si="47"/>
        <v>0</v>
      </c>
    </row>
    <row r="982" spans="1:11" x14ac:dyDescent="0.25">
      <c r="A982" s="5">
        <v>110</v>
      </c>
      <c r="B982" s="3">
        <v>34</v>
      </c>
      <c r="C982" t="s">
        <v>43</v>
      </c>
      <c r="D982" t="s">
        <v>67</v>
      </c>
      <c r="E982" t="s">
        <v>61</v>
      </c>
      <c r="F982" t="s">
        <v>42</v>
      </c>
      <c r="G982" s="3">
        <v>1</v>
      </c>
      <c r="I982" t="str">
        <f t="shared" si="45"/>
        <v>25-34</v>
      </c>
      <c r="J982" t="str">
        <f t="shared" si="46"/>
        <v>Promoted in 1-3 years</v>
      </c>
      <c r="K982">
        <f t="shared" si="47"/>
        <v>0</v>
      </c>
    </row>
    <row r="983" spans="1:11" x14ac:dyDescent="0.25">
      <c r="A983" s="5">
        <v>969</v>
      </c>
      <c r="B983" s="3">
        <v>33</v>
      </c>
      <c r="C983" t="s">
        <v>43</v>
      </c>
      <c r="D983" t="s">
        <v>49</v>
      </c>
      <c r="E983" t="s">
        <v>41</v>
      </c>
      <c r="F983" t="s">
        <v>42</v>
      </c>
      <c r="G983" s="3">
        <v>1</v>
      </c>
      <c r="I983" t="str">
        <f t="shared" si="45"/>
        <v>25-34</v>
      </c>
      <c r="J983" t="str">
        <f t="shared" si="46"/>
        <v>Promoted in 1-3 years</v>
      </c>
      <c r="K983">
        <f t="shared" si="47"/>
        <v>0</v>
      </c>
    </row>
    <row r="984" spans="1:11" x14ac:dyDescent="0.25">
      <c r="A984" s="5">
        <v>1931</v>
      </c>
      <c r="B984" s="3">
        <v>27</v>
      </c>
      <c r="C984" t="s">
        <v>43</v>
      </c>
      <c r="D984" t="s">
        <v>35</v>
      </c>
      <c r="E984" t="s">
        <v>61</v>
      </c>
      <c r="F984" t="s">
        <v>36</v>
      </c>
      <c r="G984" s="3">
        <v>1</v>
      </c>
      <c r="I984" t="str">
        <f t="shared" si="45"/>
        <v>25-34</v>
      </c>
      <c r="J984" t="str">
        <f t="shared" si="46"/>
        <v>Promoted in 1-3 years</v>
      </c>
      <c r="K984">
        <f t="shared" si="47"/>
        <v>0</v>
      </c>
    </row>
    <row r="985" spans="1:11" x14ac:dyDescent="0.25">
      <c r="A985" s="5">
        <v>1689</v>
      </c>
      <c r="B985" s="3">
        <v>53</v>
      </c>
      <c r="C985" t="s">
        <v>43</v>
      </c>
      <c r="D985" t="s">
        <v>35</v>
      </c>
      <c r="E985" t="s">
        <v>61</v>
      </c>
      <c r="F985" t="s">
        <v>42</v>
      </c>
      <c r="G985" s="3">
        <v>1</v>
      </c>
      <c r="I985" t="str">
        <f t="shared" si="45"/>
        <v>45-54</v>
      </c>
      <c r="J985" t="str">
        <f t="shared" si="46"/>
        <v>Promoted in 1-3 years</v>
      </c>
      <c r="K985">
        <f t="shared" si="47"/>
        <v>0</v>
      </c>
    </row>
    <row r="986" spans="1:11" x14ac:dyDescent="0.25">
      <c r="A986" s="5">
        <v>491</v>
      </c>
      <c r="B986" s="3">
        <v>50</v>
      </c>
      <c r="C986" t="s">
        <v>43</v>
      </c>
      <c r="D986" t="s">
        <v>49</v>
      </c>
      <c r="E986" t="s">
        <v>41</v>
      </c>
      <c r="F986" t="s">
        <v>42</v>
      </c>
      <c r="G986" s="3">
        <v>1</v>
      </c>
      <c r="I986" t="str">
        <f t="shared" si="45"/>
        <v>45-54</v>
      </c>
      <c r="J986" t="str">
        <f t="shared" si="46"/>
        <v>Promoted in 1-3 years</v>
      </c>
      <c r="K986">
        <f t="shared" si="47"/>
        <v>0</v>
      </c>
    </row>
    <row r="987" spans="1:11" x14ac:dyDescent="0.25">
      <c r="A987" s="5">
        <v>2038</v>
      </c>
      <c r="B987" s="3">
        <v>32</v>
      </c>
      <c r="C987" t="s">
        <v>43</v>
      </c>
      <c r="D987" t="s">
        <v>49</v>
      </c>
      <c r="E987" t="s">
        <v>41</v>
      </c>
      <c r="F987" t="s">
        <v>42</v>
      </c>
      <c r="G987" s="3">
        <v>1</v>
      </c>
      <c r="I987" t="str">
        <f t="shared" si="45"/>
        <v>25-34</v>
      </c>
      <c r="J987" t="str">
        <f t="shared" si="46"/>
        <v>Promoted in 1-3 years</v>
      </c>
      <c r="K987">
        <f t="shared" si="47"/>
        <v>0</v>
      </c>
    </row>
    <row r="988" spans="1:11" x14ac:dyDescent="0.25">
      <c r="A988" s="5">
        <v>1019</v>
      </c>
      <c r="B988" s="3">
        <v>22</v>
      </c>
      <c r="C988" t="s">
        <v>43</v>
      </c>
      <c r="D988" t="s">
        <v>64</v>
      </c>
      <c r="E988" t="s">
        <v>61</v>
      </c>
      <c r="F988" t="s">
        <v>36</v>
      </c>
      <c r="G988" s="3">
        <v>1</v>
      </c>
      <c r="I988" t="str">
        <f t="shared" si="45"/>
        <v>18-24</v>
      </c>
      <c r="J988" t="str">
        <f t="shared" si="46"/>
        <v>Promoted in 1-3 years</v>
      </c>
      <c r="K988">
        <f t="shared" si="47"/>
        <v>0</v>
      </c>
    </row>
    <row r="989" spans="1:11" x14ac:dyDescent="0.25">
      <c r="A989" s="5">
        <v>1407</v>
      </c>
      <c r="B989" s="3">
        <v>26</v>
      </c>
      <c r="C989" t="s">
        <v>43</v>
      </c>
      <c r="D989" t="s">
        <v>64</v>
      </c>
      <c r="E989" t="s">
        <v>41</v>
      </c>
      <c r="F989" t="s">
        <v>42</v>
      </c>
      <c r="G989" s="3">
        <v>1</v>
      </c>
      <c r="I989" t="str">
        <f t="shared" si="45"/>
        <v>25-34</v>
      </c>
      <c r="J989" t="str">
        <f t="shared" si="46"/>
        <v>Promoted in 1-3 years</v>
      </c>
      <c r="K989">
        <f t="shared" si="47"/>
        <v>0</v>
      </c>
    </row>
    <row r="990" spans="1:11" x14ac:dyDescent="0.25">
      <c r="A990" s="5">
        <v>250</v>
      </c>
      <c r="B990" s="3">
        <v>53</v>
      </c>
      <c r="C990" t="s">
        <v>43</v>
      </c>
      <c r="D990" t="s">
        <v>67</v>
      </c>
      <c r="E990" t="s">
        <v>52</v>
      </c>
      <c r="F990" t="s">
        <v>53</v>
      </c>
      <c r="G990" s="3">
        <v>1</v>
      </c>
      <c r="I990" t="str">
        <f t="shared" si="45"/>
        <v>45-54</v>
      </c>
      <c r="J990" t="str">
        <f t="shared" si="46"/>
        <v>Promoted in 1-3 years</v>
      </c>
      <c r="K990">
        <f t="shared" si="47"/>
        <v>0</v>
      </c>
    </row>
    <row r="991" spans="1:11" x14ac:dyDescent="0.25">
      <c r="A991" s="5">
        <v>797</v>
      </c>
      <c r="B991" s="3">
        <v>34</v>
      </c>
      <c r="C991" t="s">
        <v>43</v>
      </c>
      <c r="D991" t="s">
        <v>35</v>
      </c>
      <c r="E991" t="s">
        <v>41</v>
      </c>
      <c r="F991" t="s">
        <v>42</v>
      </c>
      <c r="G991" s="3">
        <v>1</v>
      </c>
      <c r="I991" t="str">
        <f t="shared" si="45"/>
        <v>25-34</v>
      </c>
      <c r="J991" t="str">
        <f t="shared" si="46"/>
        <v>Promoted in 1-3 years</v>
      </c>
      <c r="K991">
        <f t="shared" si="47"/>
        <v>0</v>
      </c>
    </row>
    <row r="992" spans="1:11" x14ac:dyDescent="0.25">
      <c r="A992" s="5">
        <v>2068</v>
      </c>
      <c r="B992" s="3">
        <v>34</v>
      </c>
      <c r="C992" t="s">
        <v>43</v>
      </c>
      <c r="D992" t="s">
        <v>49</v>
      </c>
      <c r="E992" t="s">
        <v>61</v>
      </c>
      <c r="F992" t="s">
        <v>42</v>
      </c>
      <c r="G992" s="3">
        <v>1</v>
      </c>
      <c r="I992" t="str">
        <f t="shared" si="45"/>
        <v>25-34</v>
      </c>
      <c r="J992" t="str">
        <f t="shared" si="46"/>
        <v>Promoted in 1-3 years</v>
      </c>
      <c r="K992">
        <f t="shared" si="47"/>
        <v>0</v>
      </c>
    </row>
    <row r="993" spans="1:11" x14ac:dyDescent="0.25">
      <c r="A993" s="5">
        <v>350</v>
      </c>
      <c r="B993" s="3">
        <v>25</v>
      </c>
      <c r="C993" t="s">
        <v>43</v>
      </c>
      <c r="D993" t="s">
        <v>49</v>
      </c>
      <c r="E993" t="s">
        <v>61</v>
      </c>
      <c r="F993" t="s">
        <v>53</v>
      </c>
      <c r="G993" s="3">
        <v>1</v>
      </c>
      <c r="I993" t="str">
        <f t="shared" si="45"/>
        <v>25-34</v>
      </c>
      <c r="J993" t="str">
        <f t="shared" si="46"/>
        <v>Promoted in 1-3 years</v>
      </c>
      <c r="K993">
        <f t="shared" si="47"/>
        <v>0</v>
      </c>
    </row>
    <row r="994" spans="1:11" x14ac:dyDescent="0.25">
      <c r="A994" s="5">
        <v>40</v>
      </c>
      <c r="B994" s="3">
        <v>44</v>
      </c>
      <c r="C994" t="s">
        <v>43</v>
      </c>
      <c r="D994" t="s">
        <v>35</v>
      </c>
      <c r="E994" t="s">
        <v>61</v>
      </c>
      <c r="F994" t="s">
        <v>42</v>
      </c>
      <c r="G994" s="3">
        <v>1</v>
      </c>
      <c r="I994" t="str">
        <f t="shared" si="45"/>
        <v>35-44</v>
      </c>
      <c r="J994" t="str">
        <f t="shared" si="46"/>
        <v>Promoted in 1-3 years</v>
      </c>
      <c r="K994">
        <f t="shared" si="47"/>
        <v>0</v>
      </c>
    </row>
    <row r="995" spans="1:11" x14ac:dyDescent="0.25">
      <c r="A995" s="5">
        <v>1998</v>
      </c>
      <c r="B995" s="3">
        <v>42</v>
      </c>
      <c r="C995" t="s">
        <v>43</v>
      </c>
      <c r="D995" t="s">
        <v>35</v>
      </c>
      <c r="E995" t="s">
        <v>52</v>
      </c>
      <c r="F995" t="s">
        <v>36</v>
      </c>
      <c r="G995" s="3">
        <v>1</v>
      </c>
      <c r="I995" t="str">
        <f t="shared" si="45"/>
        <v>35-44</v>
      </c>
      <c r="J995" t="str">
        <f t="shared" si="46"/>
        <v>Promoted in 1-3 years</v>
      </c>
      <c r="K995">
        <f t="shared" si="47"/>
        <v>0</v>
      </c>
    </row>
    <row r="996" spans="1:11" x14ac:dyDescent="0.25">
      <c r="A996" s="5">
        <v>408</v>
      </c>
      <c r="B996" s="3">
        <v>51</v>
      </c>
      <c r="C996" t="s">
        <v>43</v>
      </c>
      <c r="D996" t="s">
        <v>49</v>
      </c>
      <c r="E996" t="s">
        <v>52</v>
      </c>
      <c r="F996" t="s">
        <v>36</v>
      </c>
      <c r="G996" s="3">
        <v>1</v>
      </c>
      <c r="I996" t="str">
        <f t="shared" si="45"/>
        <v>45-54</v>
      </c>
      <c r="J996" t="str">
        <f t="shared" si="46"/>
        <v>Promoted in 1-3 years</v>
      </c>
      <c r="K996">
        <f t="shared" si="47"/>
        <v>0</v>
      </c>
    </row>
    <row r="997" spans="1:11" x14ac:dyDescent="0.25">
      <c r="A997" s="5">
        <v>522</v>
      </c>
      <c r="B997" s="3">
        <v>54</v>
      </c>
      <c r="C997" t="s">
        <v>43</v>
      </c>
      <c r="D997" t="s">
        <v>67</v>
      </c>
      <c r="E997" t="s">
        <v>61</v>
      </c>
      <c r="F997" t="s">
        <v>36</v>
      </c>
      <c r="G997" s="3">
        <v>1</v>
      </c>
      <c r="I997" t="str">
        <f t="shared" si="45"/>
        <v>45-54</v>
      </c>
      <c r="J997" t="str">
        <f t="shared" si="46"/>
        <v>Promoted in 1-3 years</v>
      </c>
      <c r="K997">
        <f t="shared" si="47"/>
        <v>0</v>
      </c>
    </row>
    <row r="998" spans="1:11" x14ac:dyDescent="0.25">
      <c r="A998" s="5">
        <v>1655</v>
      </c>
      <c r="B998" s="3">
        <v>49</v>
      </c>
      <c r="C998" t="s">
        <v>43</v>
      </c>
      <c r="D998" t="s">
        <v>35</v>
      </c>
      <c r="E998" t="s">
        <v>61</v>
      </c>
      <c r="F998" t="s">
        <v>53</v>
      </c>
      <c r="G998" s="3">
        <v>1</v>
      </c>
      <c r="I998" t="str">
        <f t="shared" si="45"/>
        <v>45-54</v>
      </c>
      <c r="J998" t="str">
        <f t="shared" si="46"/>
        <v>Promoted in 1-3 years</v>
      </c>
      <c r="K998">
        <f t="shared" si="47"/>
        <v>0</v>
      </c>
    </row>
    <row r="999" spans="1:11" x14ac:dyDescent="0.25">
      <c r="A999" s="5">
        <v>1533</v>
      </c>
      <c r="B999" s="3">
        <v>23</v>
      </c>
      <c r="C999" t="s">
        <v>43</v>
      </c>
      <c r="D999" t="s">
        <v>64</v>
      </c>
      <c r="E999" t="s">
        <v>41</v>
      </c>
      <c r="F999" t="s">
        <v>42</v>
      </c>
      <c r="G999" s="3">
        <v>1</v>
      </c>
      <c r="I999" t="str">
        <f t="shared" si="45"/>
        <v>18-24</v>
      </c>
      <c r="J999" t="str">
        <f t="shared" si="46"/>
        <v>Promoted in 1-3 years</v>
      </c>
      <c r="K999">
        <f t="shared" si="47"/>
        <v>0</v>
      </c>
    </row>
    <row r="1000" spans="1:11" x14ac:dyDescent="0.25">
      <c r="A1000" s="5">
        <v>1981</v>
      </c>
      <c r="B1000" s="3">
        <v>24</v>
      </c>
      <c r="C1000" t="s">
        <v>43</v>
      </c>
      <c r="D1000" t="s">
        <v>67</v>
      </c>
      <c r="E1000" t="s">
        <v>41</v>
      </c>
      <c r="F1000" t="s">
        <v>42</v>
      </c>
      <c r="G1000" s="3">
        <v>1</v>
      </c>
      <c r="I1000" t="str">
        <f t="shared" si="45"/>
        <v>18-24</v>
      </c>
      <c r="J1000" t="str">
        <f t="shared" si="46"/>
        <v>Promoted in 1-3 years</v>
      </c>
      <c r="K1000">
        <f t="shared" si="47"/>
        <v>0</v>
      </c>
    </row>
    <row r="1001" spans="1:11" x14ac:dyDescent="0.25">
      <c r="A1001" s="5">
        <v>700</v>
      </c>
      <c r="B1001" s="3">
        <v>27</v>
      </c>
      <c r="C1001" t="s">
        <v>43</v>
      </c>
      <c r="D1001" t="s">
        <v>35</v>
      </c>
      <c r="E1001" t="s">
        <v>41</v>
      </c>
      <c r="F1001" t="s">
        <v>42</v>
      </c>
      <c r="G1001" s="3">
        <v>1</v>
      </c>
      <c r="I1001" t="str">
        <f t="shared" si="45"/>
        <v>25-34</v>
      </c>
      <c r="J1001" t="str">
        <f t="shared" si="46"/>
        <v>Promoted in 1-3 years</v>
      </c>
      <c r="K1001">
        <f t="shared" si="47"/>
        <v>0</v>
      </c>
    </row>
    <row r="1002" spans="1:11" x14ac:dyDescent="0.25">
      <c r="A1002" s="5">
        <v>1694</v>
      </c>
      <c r="B1002" s="3">
        <v>55</v>
      </c>
      <c r="C1002" t="s">
        <v>43</v>
      </c>
      <c r="D1002" t="s">
        <v>49</v>
      </c>
      <c r="E1002" t="s">
        <v>52</v>
      </c>
      <c r="F1002" t="s">
        <v>36</v>
      </c>
      <c r="G1002" s="3">
        <v>1</v>
      </c>
      <c r="I1002" t="str">
        <f t="shared" si="45"/>
        <v>55-60</v>
      </c>
      <c r="J1002" t="str">
        <f t="shared" si="46"/>
        <v>Promoted in 1-3 years</v>
      </c>
      <c r="K1002">
        <f t="shared" si="47"/>
        <v>0</v>
      </c>
    </row>
    <row r="1003" spans="1:11" x14ac:dyDescent="0.25">
      <c r="A1003" s="5">
        <v>2020</v>
      </c>
      <c r="B1003" s="3">
        <v>44</v>
      </c>
      <c r="C1003" t="s">
        <v>43</v>
      </c>
      <c r="D1003" t="s">
        <v>49</v>
      </c>
      <c r="E1003" t="s">
        <v>41</v>
      </c>
      <c r="F1003" t="s">
        <v>42</v>
      </c>
      <c r="G1003" s="3">
        <v>1</v>
      </c>
      <c r="I1003" t="str">
        <f t="shared" si="45"/>
        <v>35-44</v>
      </c>
      <c r="J1003" t="str">
        <f t="shared" si="46"/>
        <v>Promoted in 1-3 years</v>
      </c>
      <c r="K1003">
        <f t="shared" si="47"/>
        <v>0</v>
      </c>
    </row>
    <row r="1004" spans="1:11" x14ac:dyDescent="0.25">
      <c r="A1004" s="5">
        <v>434</v>
      </c>
      <c r="B1004" s="3">
        <v>27</v>
      </c>
      <c r="C1004" t="s">
        <v>43</v>
      </c>
      <c r="D1004" t="s">
        <v>49</v>
      </c>
      <c r="E1004" t="s">
        <v>41</v>
      </c>
      <c r="F1004" t="s">
        <v>42</v>
      </c>
      <c r="G1004" s="3">
        <v>1</v>
      </c>
      <c r="I1004" t="str">
        <f t="shared" si="45"/>
        <v>25-34</v>
      </c>
      <c r="J1004" t="str">
        <f t="shared" si="46"/>
        <v>Promoted in 1-3 years</v>
      </c>
      <c r="K1004">
        <f t="shared" si="47"/>
        <v>0</v>
      </c>
    </row>
    <row r="1005" spans="1:11" x14ac:dyDescent="0.25">
      <c r="A1005" s="5">
        <v>2052</v>
      </c>
      <c r="B1005" s="3">
        <v>35</v>
      </c>
      <c r="C1005" t="s">
        <v>43</v>
      </c>
      <c r="D1005" t="s">
        <v>35</v>
      </c>
      <c r="E1005" t="s">
        <v>61</v>
      </c>
      <c r="F1005" t="s">
        <v>36</v>
      </c>
      <c r="G1005" s="3">
        <v>1</v>
      </c>
      <c r="I1005" t="str">
        <f t="shared" si="45"/>
        <v>35-44</v>
      </c>
      <c r="J1005" t="str">
        <f t="shared" si="46"/>
        <v>Promoted in 1-3 years</v>
      </c>
      <c r="K1005">
        <f t="shared" si="47"/>
        <v>0</v>
      </c>
    </row>
    <row r="1006" spans="1:11" x14ac:dyDescent="0.25">
      <c r="A1006" s="5">
        <v>1358</v>
      </c>
      <c r="B1006" s="3">
        <v>25</v>
      </c>
      <c r="C1006" t="s">
        <v>43</v>
      </c>
      <c r="D1006" t="s">
        <v>64</v>
      </c>
      <c r="E1006" t="s">
        <v>61</v>
      </c>
      <c r="F1006" t="s">
        <v>50</v>
      </c>
      <c r="G1006" s="3">
        <v>1</v>
      </c>
      <c r="I1006" t="str">
        <f t="shared" si="45"/>
        <v>25-34</v>
      </c>
      <c r="J1006" t="str">
        <f t="shared" si="46"/>
        <v>Promoted in 1-3 years</v>
      </c>
      <c r="K1006">
        <f t="shared" si="47"/>
        <v>0</v>
      </c>
    </row>
    <row r="1007" spans="1:11" x14ac:dyDescent="0.25">
      <c r="A1007" s="5">
        <v>1735</v>
      </c>
      <c r="B1007" s="3">
        <v>23</v>
      </c>
      <c r="C1007" t="s">
        <v>43</v>
      </c>
      <c r="D1007" t="s">
        <v>64</v>
      </c>
      <c r="E1007" t="s">
        <v>41</v>
      </c>
      <c r="F1007" t="s">
        <v>42</v>
      </c>
      <c r="G1007" s="3">
        <v>1</v>
      </c>
      <c r="I1007" t="str">
        <f t="shared" si="45"/>
        <v>18-24</v>
      </c>
      <c r="J1007" t="str">
        <f t="shared" si="46"/>
        <v>Promoted in 1-3 years</v>
      </c>
      <c r="K1007">
        <f t="shared" si="47"/>
        <v>0</v>
      </c>
    </row>
    <row r="1008" spans="1:11" x14ac:dyDescent="0.25">
      <c r="A1008" s="5">
        <v>379</v>
      </c>
      <c r="B1008" s="3">
        <v>21</v>
      </c>
      <c r="C1008" t="s">
        <v>43</v>
      </c>
      <c r="D1008" t="s">
        <v>67</v>
      </c>
      <c r="E1008" t="s">
        <v>41</v>
      </c>
      <c r="F1008" t="s">
        <v>42</v>
      </c>
      <c r="G1008" s="3">
        <v>1</v>
      </c>
      <c r="I1008" t="str">
        <f t="shared" si="45"/>
        <v>18-24</v>
      </c>
      <c r="J1008" t="str">
        <f t="shared" si="46"/>
        <v>Promoted in 1-3 years</v>
      </c>
      <c r="K1008">
        <f t="shared" si="47"/>
        <v>0</v>
      </c>
    </row>
    <row r="1009" spans="1:11" x14ac:dyDescent="0.25">
      <c r="A1009" s="5">
        <v>332</v>
      </c>
      <c r="B1009" s="3">
        <v>39</v>
      </c>
      <c r="C1009" t="s">
        <v>43</v>
      </c>
      <c r="D1009" t="s">
        <v>35</v>
      </c>
      <c r="E1009" t="s">
        <v>52</v>
      </c>
      <c r="F1009" t="s">
        <v>50</v>
      </c>
      <c r="G1009" s="3">
        <v>1</v>
      </c>
      <c r="I1009" t="str">
        <f t="shared" si="45"/>
        <v>35-44</v>
      </c>
      <c r="J1009" t="str">
        <f t="shared" si="46"/>
        <v>Promoted in 1-3 years</v>
      </c>
      <c r="K1009">
        <f t="shared" si="47"/>
        <v>0</v>
      </c>
    </row>
    <row r="1010" spans="1:11" x14ac:dyDescent="0.25">
      <c r="A1010" s="5">
        <v>1474</v>
      </c>
      <c r="B1010" s="3">
        <v>40</v>
      </c>
      <c r="C1010" t="s">
        <v>43</v>
      </c>
      <c r="D1010" t="s">
        <v>49</v>
      </c>
      <c r="E1010" t="s">
        <v>52</v>
      </c>
      <c r="F1010" t="s">
        <v>36</v>
      </c>
      <c r="G1010" s="3">
        <v>1</v>
      </c>
      <c r="I1010" t="str">
        <f t="shared" si="45"/>
        <v>35-44</v>
      </c>
      <c r="J1010" t="str">
        <f t="shared" si="46"/>
        <v>Promoted in 1-3 years</v>
      </c>
      <c r="K1010">
        <f t="shared" si="47"/>
        <v>0</v>
      </c>
    </row>
    <row r="1011" spans="1:11" x14ac:dyDescent="0.25">
      <c r="A1011" s="5">
        <v>482</v>
      </c>
      <c r="B1011" s="3">
        <v>57</v>
      </c>
      <c r="C1011" t="s">
        <v>43</v>
      </c>
      <c r="D1011" t="s">
        <v>35</v>
      </c>
      <c r="E1011" t="s">
        <v>61</v>
      </c>
      <c r="F1011" t="s">
        <v>42</v>
      </c>
      <c r="G1011" s="3">
        <v>1</v>
      </c>
      <c r="I1011" t="str">
        <f t="shared" si="45"/>
        <v>55-60</v>
      </c>
      <c r="J1011" t="str">
        <f t="shared" si="46"/>
        <v>Promoted in 1-3 years</v>
      </c>
      <c r="K1011">
        <f t="shared" si="47"/>
        <v>0</v>
      </c>
    </row>
    <row r="1012" spans="1:11" x14ac:dyDescent="0.25">
      <c r="A1012" s="5">
        <v>1430</v>
      </c>
      <c r="B1012" s="3">
        <v>31</v>
      </c>
      <c r="C1012" t="s">
        <v>43</v>
      </c>
      <c r="D1012" t="s">
        <v>70</v>
      </c>
      <c r="E1012" t="s">
        <v>41</v>
      </c>
      <c r="F1012" t="s">
        <v>42</v>
      </c>
      <c r="G1012" s="3">
        <v>1</v>
      </c>
      <c r="I1012" t="str">
        <f t="shared" si="45"/>
        <v>25-34</v>
      </c>
      <c r="J1012" t="str">
        <f t="shared" si="46"/>
        <v>Promoted in 1-3 years</v>
      </c>
      <c r="K1012">
        <f t="shared" si="47"/>
        <v>0</v>
      </c>
    </row>
    <row r="1013" spans="1:11" x14ac:dyDescent="0.25">
      <c r="A1013" s="5">
        <v>1614</v>
      </c>
      <c r="B1013" s="3">
        <v>36</v>
      </c>
      <c r="C1013" t="s">
        <v>43</v>
      </c>
      <c r="D1013" t="s">
        <v>35</v>
      </c>
      <c r="E1013" t="s">
        <v>61</v>
      </c>
      <c r="F1013" t="s">
        <v>53</v>
      </c>
      <c r="G1013" s="3">
        <v>1</v>
      </c>
      <c r="I1013" t="str">
        <f t="shared" si="45"/>
        <v>35-44</v>
      </c>
      <c r="J1013" t="str">
        <f t="shared" si="46"/>
        <v>Promoted in 1-3 years</v>
      </c>
      <c r="K1013">
        <f t="shared" si="47"/>
        <v>0</v>
      </c>
    </row>
    <row r="1014" spans="1:11" x14ac:dyDescent="0.25">
      <c r="A1014" s="5">
        <v>1465</v>
      </c>
      <c r="B1014" s="3">
        <v>45</v>
      </c>
      <c r="C1014" t="s">
        <v>43</v>
      </c>
      <c r="D1014" t="s">
        <v>49</v>
      </c>
      <c r="E1014" t="s">
        <v>61</v>
      </c>
      <c r="F1014" t="s">
        <v>53</v>
      </c>
      <c r="G1014" s="3">
        <v>1</v>
      </c>
      <c r="I1014" t="str">
        <f t="shared" si="45"/>
        <v>45-54</v>
      </c>
      <c r="J1014" t="str">
        <f t="shared" si="46"/>
        <v>Promoted in 1-3 years</v>
      </c>
      <c r="K1014">
        <f t="shared" si="47"/>
        <v>0</v>
      </c>
    </row>
    <row r="1015" spans="1:11" x14ac:dyDescent="0.25">
      <c r="A1015" s="5">
        <v>1099</v>
      </c>
      <c r="B1015" s="3">
        <v>33</v>
      </c>
      <c r="C1015" t="s">
        <v>43</v>
      </c>
      <c r="D1015" t="s">
        <v>49</v>
      </c>
      <c r="E1015" t="s">
        <v>52</v>
      </c>
      <c r="F1015" t="s">
        <v>36</v>
      </c>
      <c r="G1015" s="3">
        <v>1</v>
      </c>
      <c r="I1015" t="str">
        <f t="shared" si="45"/>
        <v>25-34</v>
      </c>
      <c r="J1015" t="str">
        <f t="shared" si="46"/>
        <v>Promoted in 1-3 years</v>
      </c>
      <c r="K1015">
        <f t="shared" si="47"/>
        <v>0</v>
      </c>
    </row>
    <row r="1016" spans="1:11" x14ac:dyDescent="0.25">
      <c r="A1016" s="5">
        <v>447</v>
      </c>
      <c r="B1016" s="3">
        <v>47</v>
      </c>
      <c r="C1016" t="s">
        <v>43</v>
      </c>
      <c r="D1016" t="s">
        <v>70</v>
      </c>
      <c r="E1016" t="s">
        <v>61</v>
      </c>
      <c r="F1016" t="s">
        <v>36</v>
      </c>
      <c r="G1016" s="3">
        <v>1</v>
      </c>
      <c r="I1016" t="str">
        <f t="shared" si="45"/>
        <v>45-54</v>
      </c>
      <c r="J1016" t="str">
        <f t="shared" si="46"/>
        <v>Promoted in 1-3 years</v>
      </c>
      <c r="K1016">
        <f t="shared" si="47"/>
        <v>0</v>
      </c>
    </row>
    <row r="1017" spans="1:11" x14ac:dyDescent="0.25">
      <c r="A1017" s="5">
        <v>495</v>
      </c>
      <c r="B1017" s="3">
        <v>29</v>
      </c>
      <c r="C1017" t="s">
        <v>43</v>
      </c>
      <c r="D1017" t="s">
        <v>49</v>
      </c>
      <c r="E1017" t="s">
        <v>41</v>
      </c>
      <c r="F1017" t="s">
        <v>42</v>
      </c>
      <c r="G1017" s="3">
        <v>1</v>
      </c>
      <c r="I1017" t="str">
        <f t="shared" si="45"/>
        <v>25-34</v>
      </c>
      <c r="J1017" t="str">
        <f t="shared" si="46"/>
        <v>Promoted in 1-3 years</v>
      </c>
      <c r="K1017">
        <f t="shared" si="47"/>
        <v>0</v>
      </c>
    </row>
    <row r="1018" spans="1:11" x14ac:dyDescent="0.25">
      <c r="A1018" s="5">
        <v>1501</v>
      </c>
      <c r="B1018" s="3">
        <v>55</v>
      </c>
      <c r="C1018" t="s">
        <v>43</v>
      </c>
      <c r="D1018" t="s">
        <v>35</v>
      </c>
      <c r="E1018" t="s">
        <v>61</v>
      </c>
      <c r="F1018" t="s">
        <v>42</v>
      </c>
      <c r="G1018" s="3">
        <v>1</v>
      </c>
      <c r="I1018" t="str">
        <f t="shared" si="45"/>
        <v>55-60</v>
      </c>
      <c r="J1018" t="str">
        <f t="shared" si="46"/>
        <v>Promoted in 1-3 years</v>
      </c>
      <c r="K1018">
        <f t="shared" si="47"/>
        <v>0</v>
      </c>
    </row>
    <row r="1019" spans="1:11" x14ac:dyDescent="0.25">
      <c r="A1019" s="5">
        <v>1317</v>
      </c>
      <c r="B1019" s="3">
        <v>50</v>
      </c>
      <c r="C1019" t="s">
        <v>43</v>
      </c>
      <c r="D1019" t="s">
        <v>49</v>
      </c>
      <c r="E1019" t="s">
        <v>61</v>
      </c>
      <c r="F1019" t="s">
        <v>42</v>
      </c>
      <c r="G1019" s="3">
        <v>1</v>
      </c>
      <c r="I1019" t="str">
        <f t="shared" si="45"/>
        <v>45-54</v>
      </c>
      <c r="J1019" t="str">
        <f t="shared" si="46"/>
        <v>Promoted in 1-3 years</v>
      </c>
      <c r="K1019">
        <f t="shared" si="47"/>
        <v>0</v>
      </c>
    </row>
    <row r="1020" spans="1:11" x14ac:dyDescent="0.25">
      <c r="A1020" s="5">
        <v>1301</v>
      </c>
      <c r="B1020" s="3">
        <v>28</v>
      </c>
      <c r="C1020" t="s">
        <v>43</v>
      </c>
      <c r="D1020" t="s">
        <v>49</v>
      </c>
      <c r="E1020" t="s">
        <v>41</v>
      </c>
      <c r="F1020" t="s">
        <v>42</v>
      </c>
      <c r="G1020" s="3">
        <v>1</v>
      </c>
      <c r="I1020" t="str">
        <f t="shared" si="45"/>
        <v>25-34</v>
      </c>
      <c r="J1020" t="str">
        <f t="shared" si="46"/>
        <v>Promoted in 1-3 years</v>
      </c>
      <c r="K1020">
        <f t="shared" si="47"/>
        <v>0</v>
      </c>
    </row>
    <row r="1021" spans="1:11" x14ac:dyDescent="0.25">
      <c r="A1021" s="5">
        <v>24</v>
      </c>
      <c r="B1021" s="3">
        <v>38</v>
      </c>
      <c r="C1021" t="s">
        <v>43</v>
      </c>
      <c r="D1021" t="s">
        <v>49</v>
      </c>
      <c r="E1021" t="s">
        <v>41</v>
      </c>
      <c r="F1021" t="s">
        <v>42</v>
      </c>
      <c r="G1021" s="3">
        <v>1</v>
      </c>
      <c r="I1021" t="str">
        <f t="shared" si="45"/>
        <v>35-44</v>
      </c>
      <c r="J1021" t="str">
        <f t="shared" si="46"/>
        <v>Promoted in 1-3 years</v>
      </c>
      <c r="K1021">
        <f t="shared" si="47"/>
        <v>0</v>
      </c>
    </row>
    <row r="1022" spans="1:11" x14ac:dyDescent="0.25">
      <c r="A1022" s="5">
        <v>247</v>
      </c>
      <c r="B1022" s="3">
        <v>34</v>
      </c>
      <c r="C1022" t="s">
        <v>43</v>
      </c>
      <c r="D1022" t="s">
        <v>67</v>
      </c>
      <c r="E1022" t="s">
        <v>41</v>
      </c>
      <c r="F1022" t="s">
        <v>42</v>
      </c>
      <c r="G1022" s="3">
        <v>1</v>
      </c>
      <c r="I1022" t="str">
        <f t="shared" si="45"/>
        <v>25-34</v>
      </c>
      <c r="J1022" t="str">
        <f t="shared" si="46"/>
        <v>Promoted in 1-3 years</v>
      </c>
      <c r="K1022">
        <f t="shared" si="47"/>
        <v>0</v>
      </c>
    </row>
    <row r="1023" spans="1:11" x14ac:dyDescent="0.25">
      <c r="A1023" s="5">
        <v>1249</v>
      </c>
      <c r="B1023" s="3">
        <v>29</v>
      </c>
      <c r="C1023" t="s">
        <v>43</v>
      </c>
      <c r="D1023" t="s">
        <v>49</v>
      </c>
      <c r="E1023" t="s">
        <v>52</v>
      </c>
      <c r="F1023" t="s">
        <v>50</v>
      </c>
      <c r="G1023" s="3">
        <v>1</v>
      </c>
      <c r="I1023" t="str">
        <f t="shared" si="45"/>
        <v>25-34</v>
      </c>
      <c r="J1023" t="str">
        <f t="shared" si="46"/>
        <v>Promoted in 1-3 years</v>
      </c>
      <c r="K1023">
        <f t="shared" si="47"/>
        <v>0</v>
      </c>
    </row>
    <row r="1024" spans="1:11" x14ac:dyDescent="0.25">
      <c r="A1024" s="5">
        <v>1564</v>
      </c>
      <c r="B1024" s="3">
        <v>35</v>
      </c>
      <c r="C1024" t="s">
        <v>43</v>
      </c>
      <c r="D1024" t="s">
        <v>49</v>
      </c>
      <c r="E1024" t="s">
        <v>41</v>
      </c>
      <c r="F1024" t="s">
        <v>42</v>
      </c>
      <c r="G1024" s="3">
        <v>1</v>
      </c>
      <c r="I1024" t="str">
        <f t="shared" si="45"/>
        <v>35-44</v>
      </c>
      <c r="J1024" t="str">
        <f t="shared" si="46"/>
        <v>Promoted in 1-3 years</v>
      </c>
      <c r="K1024">
        <f t="shared" si="47"/>
        <v>0</v>
      </c>
    </row>
    <row r="1025" spans="1:11" x14ac:dyDescent="0.25">
      <c r="A1025" s="5">
        <v>611</v>
      </c>
      <c r="B1025" s="3">
        <v>29</v>
      </c>
      <c r="C1025" t="s">
        <v>43</v>
      </c>
      <c r="D1025" t="s">
        <v>49</v>
      </c>
      <c r="E1025" t="s">
        <v>52</v>
      </c>
      <c r="F1025" t="s">
        <v>53</v>
      </c>
      <c r="G1025" s="3">
        <v>1</v>
      </c>
      <c r="I1025" t="str">
        <f t="shared" si="45"/>
        <v>25-34</v>
      </c>
      <c r="J1025" t="str">
        <f t="shared" si="46"/>
        <v>Promoted in 1-3 years</v>
      </c>
      <c r="K1025">
        <f t="shared" si="47"/>
        <v>0</v>
      </c>
    </row>
    <row r="1026" spans="1:11" x14ac:dyDescent="0.25">
      <c r="A1026" s="5">
        <v>2007</v>
      </c>
      <c r="B1026" s="3">
        <v>22</v>
      </c>
      <c r="C1026" t="s">
        <v>43</v>
      </c>
      <c r="D1026" t="s">
        <v>67</v>
      </c>
      <c r="E1026" t="s">
        <v>41</v>
      </c>
      <c r="F1026" t="s">
        <v>42</v>
      </c>
      <c r="G1026" s="3">
        <v>1</v>
      </c>
      <c r="I1026" t="str">
        <f t="shared" si="45"/>
        <v>18-24</v>
      </c>
      <c r="J1026" t="str">
        <f t="shared" si="46"/>
        <v>Promoted in 1-3 years</v>
      </c>
      <c r="K1026">
        <f t="shared" si="47"/>
        <v>0</v>
      </c>
    </row>
    <row r="1027" spans="1:11" x14ac:dyDescent="0.25">
      <c r="A1027" s="5">
        <v>511</v>
      </c>
      <c r="B1027" s="3">
        <v>22</v>
      </c>
      <c r="C1027" t="s">
        <v>43</v>
      </c>
      <c r="D1027" t="s">
        <v>49</v>
      </c>
      <c r="E1027" t="s">
        <v>61</v>
      </c>
      <c r="F1027" t="s">
        <v>36</v>
      </c>
      <c r="G1027" s="3">
        <v>1</v>
      </c>
      <c r="I1027" t="str">
        <f t="shared" ref="I1027:I1090" si="48">IF(B1027&lt;=24, "18-24", IF(B1027&lt;=34,"25-34", IF(B1027&lt;=44,"35-44", IF(B1027&lt;=54,"45-54", IF(B1027&lt;=60, "55-60")))))</f>
        <v>18-24</v>
      </c>
      <c r="J1027" t="str">
        <f t="shared" ref="J1027:J1090" si="49">IF(G1027&lt;=0,"Recently promoted",IF(G1027&lt;=3,"Promoted in 1-3 years","Long Promotion gap"))</f>
        <v>Promoted in 1-3 years</v>
      </c>
      <c r="K1027">
        <f t="shared" ref="K1027:K1090" si="50">IF(C1027="Yes", 1, 0)</f>
        <v>0</v>
      </c>
    </row>
    <row r="1028" spans="1:11" x14ac:dyDescent="0.25">
      <c r="A1028" s="5">
        <v>1198</v>
      </c>
      <c r="B1028" s="3">
        <v>20</v>
      </c>
      <c r="C1028" t="s">
        <v>43</v>
      </c>
      <c r="D1028" t="s">
        <v>49</v>
      </c>
      <c r="E1028" t="s">
        <v>41</v>
      </c>
      <c r="F1028" t="s">
        <v>42</v>
      </c>
      <c r="G1028" s="3">
        <v>1</v>
      </c>
      <c r="I1028" t="str">
        <f t="shared" si="48"/>
        <v>18-24</v>
      </c>
      <c r="J1028" t="str">
        <f t="shared" si="49"/>
        <v>Promoted in 1-3 years</v>
      </c>
      <c r="K1028">
        <f t="shared" si="50"/>
        <v>0</v>
      </c>
    </row>
    <row r="1029" spans="1:11" x14ac:dyDescent="0.25">
      <c r="A1029" s="5">
        <v>393</v>
      </c>
      <c r="B1029" s="3">
        <v>38</v>
      </c>
      <c r="C1029" t="s">
        <v>43</v>
      </c>
      <c r="D1029" t="s">
        <v>35</v>
      </c>
      <c r="E1029" t="s">
        <v>52</v>
      </c>
      <c r="F1029" t="s">
        <v>36</v>
      </c>
      <c r="G1029" s="3">
        <v>1</v>
      </c>
      <c r="I1029" t="str">
        <f t="shared" si="48"/>
        <v>35-44</v>
      </c>
      <c r="J1029" t="str">
        <f t="shared" si="49"/>
        <v>Promoted in 1-3 years</v>
      </c>
      <c r="K1029">
        <f t="shared" si="50"/>
        <v>0</v>
      </c>
    </row>
    <row r="1030" spans="1:11" x14ac:dyDescent="0.25">
      <c r="A1030" s="5">
        <v>426</v>
      </c>
      <c r="B1030" s="3">
        <v>31</v>
      </c>
      <c r="C1030" t="s">
        <v>43</v>
      </c>
      <c r="D1030" t="s">
        <v>35</v>
      </c>
      <c r="E1030" t="s">
        <v>52</v>
      </c>
      <c r="F1030" t="s">
        <v>36</v>
      </c>
      <c r="G1030" s="3">
        <v>1</v>
      </c>
      <c r="I1030" t="str">
        <f t="shared" si="48"/>
        <v>25-34</v>
      </c>
      <c r="J1030" t="str">
        <f t="shared" si="49"/>
        <v>Promoted in 1-3 years</v>
      </c>
      <c r="K1030">
        <f t="shared" si="50"/>
        <v>0</v>
      </c>
    </row>
    <row r="1031" spans="1:11" x14ac:dyDescent="0.25">
      <c r="A1031" s="5">
        <v>18</v>
      </c>
      <c r="B1031" s="3">
        <v>34</v>
      </c>
      <c r="C1031" t="s">
        <v>43</v>
      </c>
      <c r="D1031" t="s">
        <v>67</v>
      </c>
      <c r="E1031" t="s">
        <v>52</v>
      </c>
      <c r="F1031" t="s">
        <v>36</v>
      </c>
      <c r="G1031" s="3">
        <v>1</v>
      </c>
      <c r="I1031" t="str">
        <f t="shared" si="48"/>
        <v>25-34</v>
      </c>
      <c r="J1031" t="str">
        <f t="shared" si="49"/>
        <v>Promoted in 1-3 years</v>
      </c>
      <c r="K1031">
        <f t="shared" si="50"/>
        <v>0</v>
      </c>
    </row>
    <row r="1032" spans="1:11" x14ac:dyDescent="0.25">
      <c r="A1032" s="5">
        <v>241</v>
      </c>
      <c r="B1032" s="3">
        <v>56</v>
      </c>
      <c r="C1032" t="s">
        <v>43</v>
      </c>
      <c r="D1032" t="s">
        <v>49</v>
      </c>
      <c r="E1032" t="s">
        <v>52</v>
      </c>
      <c r="F1032" t="s">
        <v>36</v>
      </c>
      <c r="G1032" s="3">
        <v>1</v>
      </c>
      <c r="I1032" t="str">
        <f t="shared" si="48"/>
        <v>55-60</v>
      </c>
      <c r="J1032" t="str">
        <f t="shared" si="49"/>
        <v>Promoted in 1-3 years</v>
      </c>
      <c r="K1032">
        <f t="shared" si="50"/>
        <v>0</v>
      </c>
    </row>
    <row r="1033" spans="1:11" x14ac:dyDescent="0.25">
      <c r="A1033" s="5">
        <v>7</v>
      </c>
      <c r="B1033" s="3">
        <v>27</v>
      </c>
      <c r="C1033" t="s">
        <v>43</v>
      </c>
      <c r="D1033" t="s">
        <v>64</v>
      </c>
      <c r="E1033" t="s">
        <v>61</v>
      </c>
      <c r="F1033" t="s">
        <v>36</v>
      </c>
      <c r="G1033" s="3">
        <v>1</v>
      </c>
      <c r="I1033" t="str">
        <f t="shared" si="48"/>
        <v>25-34</v>
      </c>
      <c r="J1033" t="str">
        <f t="shared" si="49"/>
        <v>Promoted in 1-3 years</v>
      </c>
      <c r="K1033">
        <f t="shared" si="50"/>
        <v>0</v>
      </c>
    </row>
    <row r="1034" spans="1:11" x14ac:dyDescent="0.25">
      <c r="A1034" s="5">
        <v>1308</v>
      </c>
      <c r="B1034" s="3">
        <v>58</v>
      </c>
      <c r="C1034" t="s">
        <v>43</v>
      </c>
      <c r="D1034" t="s">
        <v>35</v>
      </c>
      <c r="E1034" t="s">
        <v>52</v>
      </c>
      <c r="F1034" t="s">
        <v>53</v>
      </c>
      <c r="G1034" s="3">
        <v>1</v>
      </c>
      <c r="I1034" t="str">
        <f t="shared" si="48"/>
        <v>55-60</v>
      </c>
      <c r="J1034" t="str">
        <f t="shared" si="49"/>
        <v>Promoted in 1-3 years</v>
      </c>
      <c r="K1034">
        <f t="shared" si="50"/>
        <v>0</v>
      </c>
    </row>
    <row r="1035" spans="1:11" x14ac:dyDescent="0.25">
      <c r="A1035" s="5">
        <v>769</v>
      </c>
      <c r="B1035" s="3">
        <v>53</v>
      </c>
      <c r="C1035" t="s">
        <v>43</v>
      </c>
      <c r="D1035" t="s">
        <v>49</v>
      </c>
      <c r="E1035" t="s">
        <v>41</v>
      </c>
      <c r="F1035" t="s">
        <v>42</v>
      </c>
      <c r="G1035" s="3">
        <v>1</v>
      </c>
      <c r="I1035" t="str">
        <f t="shared" si="48"/>
        <v>45-54</v>
      </c>
      <c r="J1035" t="str">
        <f t="shared" si="49"/>
        <v>Promoted in 1-3 years</v>
      </c>
      <c r="K1035">
        <f t="shared" si="50"/>
        <v>0</v>
      </c>
    </row>
    <row r="1036" spans="1:11" x14ac:dyDescent="0.25">
      <c r="A1036" s="5">
        <v>1623</v>
      </c>
      <c r="B1036" s="3">
        <v>21</v>
      </c>
      <c r="C1036" t="s">
        <v>43</v>
      </c>
      <c r="D1036" t="s">
        <v>64</v>
      </c>
      <c r="E1036" t="s">
        <v>41</v>
      </c>
      <c r="F1036" t="s">
        <v>42</v>
      </c>
      <c r="G1036" s="3">
        <v>1</v>
      </c>
      <c r="I1036" t="str">
        <f t="shared" si="48"/>
        <v>18-24</v>
      </c>
      <c r="J1036" t="str">
        <f t="shared" si="49"/>
        <v>Promoted in 1-3 years</v>
      </c>
      <c r="K1036">
        <f t="shared" si="50"/>
        <v>0</v>
      </c>
    </row>
    <row r="1037" spans="1:11" x14ac:dyDescent="0.25">
      <c r="A1037" s="5">
        <v>1022</v>
      </c>
      <c r="B1037" s="3">
        <v>48</v>
      </c>
      <c r="C1037" t="s">
        <v>43</v>
      </c>
      <c r="D1037" t="s">
        <v>49</v>
      </c>
      <c r="E1037" t="s">
        <v>41</v>
      </c>
      <c r="F1037" t="s">
        <v>42</v>
      </c>
      <c r="G1037" s="3">
        <v>1</v>
      </c>
      <c r="I1037" t="str">
        <f t="shared" si="48"/>
        <v>45-54</v>
      </c>
      <c r="J1037" t="str">
        <f t="shared" si="49"/>
        <v>Promoted in 1-3 years</v>
      </c>
      <c r="K1037">
        <f t="shared" si="50"/>
        <v>0</v>
      </c>
    </row>
    <row r="1038" spans="1:11" x14ac:dyDescent="0.25">
      <c r="A1038" s="5">
        <v>1674</v>
      </c>
      <c r="B1038" s="3">
        <v>49</v>
      </c>
      <c r="C1038" t="s">
        <v>43</v>
      </c>
      <c r="D1038" t="s">
        <v>49</v>
      </c>
      <c r="E1038" t="s">
        <v>52</v>
      </c>
      <c r="F1038" t="s">
        <v>36</v>
      </c>
      <c r="G1038" s="3">
        <v>1</v>
      </c>
      <c r="I1038" t="str">
        <f t="shared" si="48"/>
        <v>45-54</v>
      </c>
      <c r="J1038" t="str">
        <f t="shared" si="49"/>
        <v>Promoted in 1-3 years</v>
      </c>
      <c r="K1038">
        <f t="shared" si="50"/>
        <v>0</v>
      </c>
    </row>
    <row r="1039" spans="1:11" x14ac:dyDescent="0.25">
      <c r="A1039" s="5">
        <v>1903</v>
      </c>
      <c r="B1039" s="3">
        <v>44</v>
      </c>
      <c r="C1039" t="s">
        <v>43</v>
      </c>
      <c r="D1039" t="s">
        <v>35</v>
      </c>
      <c r="E1039" t="s">
        <v>61</v>
      </c>
      <c r="F1039" t="s">
        <v>36</v>
      </c>
      <c r="G1039" s="3">
        <v>1</v>
      </c>
      <c r="I1039" t="str">
        <f t="shared" si="48"/>
        <v>35-44</v>
      </c>
      <c r="J1039" t="str">
        <f t="shared" si="49"/>
        <v>Promoted in 1-3 years</v>
      </c>
      <c r="K1039">
        <f t="shared" si="50"/>
        <v>0</v>
      </c>
    </row>
    <row r="1040" spans="1:11" x14ac:dyDescent="0.25">
      <c r="A1040" s="5">
        <v>1580</v>
      </c>
      <c r="B1040" s="3">
        <v>34</v>
      </c>
      <c r="C1040" t="s">
        <v>43</v>
      </c>
      <c r="D1040" t="s">
        <v>35</v>
      </c>
      <c r="E1040" t="s">
        <v>61</v>
      </c>
      <c r="F1040" t="s">
        <v>36</v>
      </c>
      <c r="G1040" s="3">
        <v>1</v>
      </c>
      <c r="I1040" t="str">
        <f t="shared" si="48"/>
        <v>25-34</v>
      </c>
      <c r="J1040" t="str">
        <f t="shared" si="49"/>
        <v>Promoted in 1-3 years</v>
      </c>
      <c r="K1040">
        <f t="shared" si="50"/>
        <v>0</v>
      </c>
    </row>
    <row r="1041" spans="1:11" x14ac:dyDescent="0.25">
      <c r="A1041" s="5">
        <v>1025</v>
      </c>
      <c r="B1041" s="3">
        <v>41</v>
      </c>
      <c r="C1041" t="s">
        <v>43</v>
      </c>
      <c r="D1041" t="s">
        <v>67</v>
      </c>
      <c r="E1041" t="s">
        <v>41</v>
      </c>
      <c r="F1041" t="s">
        <v>42</v>
      </c>
      <c r="G1041" s="3">
        <v>1</v>
      </c>
      <c r="I1041" t="str">
        <f t="shared" si="48"/>
        <v>35-44</v>
      </c>
      <c r="J1041" t="str">
        <f t="shared" si="49"/>
        <v>Promoted in 1-3 years</v>
      </c>
      <c r="K1041">
        <f t="shared" si="50"/>
        <v>0</v>
      </c>
    </row>
    <row r="1042" spans="1:11" x14ac:dyDescent="0.25">
      <c r="A1042" s="5">
        <v>1856</v>
      </c>
      <c r="B1042" s="3">
        <v>47</v>
      </c>
      <c r="C1042" t="s">
        <v>43</v>
      </c>
      <c r="D1042" t="s">
        <v>35</v>
      </c>
      <c r="E1042" t="s">
        <v>41</v>
      </c>
      <c r="F1042" t="s">
        <v>42</v>
      </c>
      <c r="G1042" s="3">
        <v>1</v>
      </c>
      <c r="I1042" t="str">
        <f t="shared" si="48"/>
        <v>45-54</v>
      </c>
      <c r="J1042" t="str">
        <f t="shared" si="49"/>
        <v>Promoted in 1-3 years</v>
      </c>
      <c r="K1042">
        <f t="shared" si="50"/>
        <v>0</v>
      </c>
    </row>
    <row r="1043" spans="1:11" x14ac:dyDescent="0.25">
      <c r="A1043" s="5">
        <v>1766</v>
      </c>
      <c r="B1043" s="3">
        <v>38</v>
      </c>
      <c r="C1043" t="s">
        <v>43</v>
      </c>
      <c r="D1043" t="s">
        <v>49</v>
      </c>
      <c r="E1043" t="s">
        <v>61</v>
      </c>
      <c r="F1043" t="s">
        <v>36</v>
      </c>
      <c r="G1043" s="3">
        <v>1</v>
      </c>
      <c r="I1043" t="str">
        <f t="shared" si="48"/>
        <v>35-44</v>
      </c>
      <c r="J1043" t="str">
        <f t="shared" si="49"/>
        <v>Promoted in 1-3 years</v>
      </c>
      <c r="K1043">
        <f t="shared" si="50"/>
        <v>0</v>
      </c>
    </row>
    <row r="1044" spans="1:11" x14ac:dyDescent="0.25">
      <c r="A1044" s="5">
        <v>1578</v>
      </c>
      <c r="B1044" s="3">
        <v>55</v>
      </c>
      <c r="C1044" t="s">
        <v>43</v>
      </c>
      <c r="D1044" t="s">
        <v>70</v>
      </c>
      <c r="E1044" t="s">
        <v>61</v>
      </c>
      <c r="F1044" t="s">
        <v>36</v>
      </c>
      <c r="G1044" s="3">
        <v>3</v>
      </c>
      <c r="I1044" t="str">
        <f t="shared" si="48"/>
        <v>55-60</v>
      </c>
      <c r="J1044" t="str">
        <f t="shared" si="49"/>
        <v>Promoted in 1-3 years</v>
      </c>
      <c r="K1044">
        <f t="shared" si="50"/>
        <v>0</v>
      </c>
    </row>
    <row r="1045" spans="1:11" x14ac:dyDescent="0.25">
      <c r="A1045" s="5">
        <v>1282</v>
      </c>
      <c r="B1045" s="3">
        <v>51</v>
      </c>
      <c r="C1045" t="s">
        <v>43</v>
      </c>
      <c r="D1045" t="s">
        <v>49</v>
      </c>
      <c r="E1045" t="s">
        <v>52</v>
      </c>
      <c r="F1045" t="s">
        <v>36</v>
      </c>
      <c r="G1045" s="3">
        <v>11</v>
      </c>
      <c r="I1045" t="str">
        <f t="shared" si="48"/>
        <v>45-54</v>
      </c>
      <c r="J1045" t="str">
        <f t="shared" si="49"/>
        <v>Long Promotion gap</v>
      </c>
      <c r="K1045">
        <f t="shared" si="50"/>
        <v>0</v>
      </c>
    </row>
    <row r="1046" spans="1:11" x14ac:dyDescent="0.25">
      <c r="A1046" s="5">
        <v>1204</v>
      </c>
      <c r="B1046" s="3">
        <v>46</v>
      </c>
      <c r="C1046" t="s">
        <v>43</v>
      </c>
      <c r="D1046" t="s">
        <v>49</v>
      </c>
      <c r="E1046" t="s">
        <v>61</v>
      </c>
      <c r="F1046" t="s">
        <v>42</v>
      </c>
      <c r="G1046" s="3">
        <v>15</v>
      </c>
      <c r="I1046" t="str">
        <f t="shared" si="48"/>
        <v>45-54</v>
      </c>
      <c r="J1046" t="str">
        <f t="shared" si="49"/>
        <v>Long Promotion gap</v>
      </c>
      <c r="K1046">
        <f t="shared" si="50"/>
        <v>0</v>
      </c>
    </row>
    <row r="1047" spans="1:11" x14ac:dyDescent="0.25">
      <c r="A1047" s="5">
        <v>244</v>
      </c>
      <c r="B1047" s="3">
        <v>46</v>
      </c>
      <c r="C1047" t="s">
        <v>43</v>
      </c>
      <c r="D1047" t="s">
        <v>67</v>
      </c>
      <c r="E1047" t="s">
        <v>52</v>
      </c>
      <c r="F1047" t="s">
        <v>50</v>
      </c>
      <c r="G1047" s="3">
        <v>15</v>
      </c>
      <c r="I1047" t="str">
        <f t="shared" si="48"/>
        <v>45-54</v>
      </c>
      <c r="J1047" t="str">
        <f t="shared" si="49"/>
        <v>Long Promotion gap</v>
      </c>
      <c r="K1047">
        <f t="shared" si="50"/>
        <v>0</v>
      </c>
    </row>
    <row r="1048" spans="1:11" x14ac:dyDescent="0.25">
      <c r="A1048" s="5">
        <v>1712</v>
      </c>
      <c r="B1048" s="3">
        <v>45</v>
      </c>
      <c r="C1048" t="s">
        <v>43</v>
      </c>
      <c r="D1048" t="s">
        <v>64</v>
      </c>
      <c r="E1048" t="s">
        <v>61</v>
      </c>
      <c r="F1048" t="s">
        <v>36</v>
      </c>
      <c r="G1048" s="3">
        <v>14</v>
      </c>
      <c r="I1048" t="str">
        <f t="shared" si="48"/>
        <v>45-54</v>
      </c>
      <c r="J1048" t="str">
        <f t="shared" si="49"/>
        <v>Long Promotion gap</v>
      </c>
      <c r="K1048">
        <f t="shared" si="50"/>
        <v>0</v>
      </c>
    </row>
    <row r="1049" spans="1:11" x14ac:dyDescent="0.25">
      <c r="A1049" s="5">
        <v>119</v>
      </c>
      <c r="B1049" s="3">
        <v>40</v>
      </c>
      <c r="C1049" t="s">
        <v>43</v>
      </c>
      <c r="D1049" t="s">
        <v>35</v>
      </c>
      <c r="E1049" t="s">
        <v>61</v>
      </c>
      <c r="F1049" t="s">
        <v>36</v>
      </c>
      <c r="G1049" s="3">
        <v>11</v>
      </c>
      <c r="I1049" t="str">
        <f t="shared" si="48"/>
        <v>35-44</v>
      </c>
      <c r="J1049" t="str">
        <f t="shared" si="49"/>
        <v>Long Promotion gap</v>
      </c>
      <c r="K1049">
        <f t="shared" si="50"/>
        <v>0</v>
      </c>
    </row>
    <row r="1050" spans="1:11" x14ac:dyDescent="0.25">
      <c r="A1050" s="5">
        <v>1035</v>
      </c>
      <c r="B1050" s="3">
        <v>41</v>
      </c>
      <c r="C1050" t="s">
        <v>43</v>
      </c>
      <c r="D1050" t="s">
        <v>64</v>
      </c>
      <c r="E1050" t="s">
        <v>52</v>
      </c>
      <c r="F1050" t="s">
        <v>53</v>
      </c>
      <c r="G1050" s="3">
        <v>5</v>
      </c>
      <c r="I1050" t="str">
        <f t="shared" si="48"/>
        <v>35-44</v>
      </c>
      <c r="J1050" t="str">
        <f t="shared" si="49"/>
        <v>Long Promotion gap</v>
      </c>
      <c r="K1050">
        <f t="shared" si="50"/>
        <v>0</v>
      </c>
    </row>
    <row r="1051" spans="1:11" x14ac:dyDescent="0.25">
      <c r="A1051" s="5">
        <v>1550</v>
      </c>
      <c r="B1051" s="3">
        <v>40</v>
      </c>
      <c r="C1051" t="s">
        <v>43</v>
      </c>
      <c r="D1051" t="s">
        <v>67</v>
      </c>
      <c r="E1051" t="s">
        <v>41</v>
      </c>
      <c r="F1051" t="s">
        <v>42</v>
      </c>
      <c r="G1051" s="3">
        <v>7</v>
      </c>
      <c r="I1051" t="str">
        <f t="shared" si="48"/>
        <v>35-44</v>
      </c>
      <c r="J1051" t="str">
        <f t="shared" si="49"/>
        <v>Long Promotion gap</v>
      </c>
      <c r="K1051">
        <f t="shared" si="50"/>
        <v>0</v>
      </c>
    </row>
    <row r="1052" spans="1:11" x14ac:dyDescent="0.25">
      <c r="A1052" s="5">
        <v>264</v>
      </c>
      <c r="B1052" s="3">
        <v>45</v>
      </c>
      <c r="C1052" t="s">
        <v>43</v>
      </c>
      <c r="D1052" t="s">
        <v>67</v>
      </c>
      <c r="E1052" t="s">
        <v>61</v>
      </c>
      <c r="F1052" t="s">
        <v>36</v>
      </c>
      <c r="G1052" s="3">
        <v>11</v>
      </c>
      <c r="I1052" t="str">
        <f t="shared" si="48"/>
        <v>45-54</v>
      </c>
      <c r="J1052" t="str">
        <f t="shared" si="49"/>
        <v>Long Promotion gap</v>
      </c>
      <c r="K1052">
        <f t="shared" si="50"/>
        <v>0</v>
      </c>
    </row>
    <row r="1053" spans="1:11" x14ac:dyDescent="0.25">
      <c r="A1053" s="5">
        <v>1225</v>
      </c>
      <c r="B1053" s="3">
        <v>44</v>
      </c>
      <c r="C1053" t="s">
        <v>43</v>
      </c>
      <c r="D1053" t="s">
        <v>35</v>
      </c>
      <c r="E1053" t="s">
        <v>41</v>
      </c>
      <c r="F1053" t="s">
        <v>42</v>
      </c>
      <c r="G1053" s="3">
        <v>13</v>
      </c>
      <c r="I1053" t="str">
        <f t="shared" si="48"/>
        <v>35-44</v>
      </c>
      <c r="J1053" t="str">
        <f t="shared" si="49"/>
        <v>Long Promotion gap</v>
      </c>
      <c r="K1053">
        <f t="shared" si="50"/>
        <v>0</v>
      </c>
    </row>
    <row r="1054" spans="1:11" x14ac:dyDescent="0.25">
      <c r="A1054" s="5">
        <v>387</v>
      </c>
      <c r="B1054" s="3">
        <v>42</v>
      </c>
      <c r="C1054" t="s">
        <v>43</v>
      </c>
      <c r="D1054" t="s">
        <v>64</v>
      </c>
      <c r="E1054" t="s">
        <v>61</v>
      </c>
      <c r="F1054" t="s">
        <v>42</v>
      </c>
      <c r="G1054" s="3">
        <v>11</v>
      </c>
      <c r="I1054" t="str">
        <f t="shared" si="48"/>
        <v>35-44</v>
      </c>
      <c r="J1054" t="str">
        <f t="shared" si="49"/>
        <v>Long Promotion gap</v>
      </c>
      <c r="K1054">
        <f t="shared" si="50"/>
        <v>0</v>
      </c>
    </row>
    <row r="1055" spans="1:11" x14ac:dyDescent="0.25">
      <c r="A1055" s="5">
        <v>343</v>
      </c>
      <c r="B1055" s="3">
        <v>39</v>
      </c>
      <c r="C1055" t="s">
        <v>43</v>
      </c>
      <c r="D1055" t="s">
        <v>35</v>
      </c>
      <c r="E1055" t="s">
        <v>41</v>
      </c>
      <c r="F1055" t="s">
        <v>42</v>
      </c>
      <c r="G1055" s="3">
        <v>11</v>
      </c>
      <c r="I1055" t="str">
        <f t="shared" si="48"/>
        <v>35-44</v>
      </c>
      <c r="J1055" t="str">
        <f t="shared" si="49"/>
        <v>Long Promotion gap</v>
      </c>
      <c r="K1055">
        <f t="shared" si="50"/>
        <v>0</v>
      </c>
    </row>
    <row r="1056" spans="1:11" x14ac:dyDescent="0.25">
      <c r="A1056" s="5">
        <v>880</v>
      </c>
      <c r="B1056" s="3">
        <v>35</v>
      </c>
      <c r="C1056" t="s">
        <v>43</v>
      </c>
      <c r="D1056" t="s">
        <v>49</v>
      </c>
      <c r="E1056" t="s">
        <v>61</v>
      </c>
      <c r="F1056" t="s">
        <v>36</v>
      </c>
      <c r="G1056" s="3">
        <v>5</v>
      </c>
      <c r="I1056" t="str">
        <f t="shared" si="48"/>
        <v>35-44</v>
      </c>
      <c r="J1056" t="str">
        <f t="shared" si="49"/>
        <v>Long Promotion gap</v>
      </c>
      <c r="K1056">
        <f t="shared" si="50"/>
        <v>0</v>
      </c>
    </row>
    <row r="1057" spans="1:11" x14ac:dyDescent="0.25">
      <c r="A1057" s="5">
        <v>1993</v>
      </c>
      <c r="B1057" s="3">
        <v>47</v>
      </c>
      <c r="C1057" t="s">
        <v>43</v>
      </c>
      <c r="D1057" t="s">
        <v>49</v>
      </c>
      <c r="E1057" t="s">
        <v>41</v>
      </c>
      <c r="F1057" t="s">
        <v>42</v>
      </c>
      <c r="G1057" s="3">
        <v>12</v>
      </c>
      <c r="I1057" t="str">
        <f t="shared" si="48"/>
        <v>45-54</v>
      </c>
      <c r="J1057" t="str">
        <f t="shared" si="49"/>
        <v>Long Promotion gap</v>
      </c>
      <c r="K1057">
        <f t="shared" si="50"/>
        <v>0</v>
      </c>
    </row>
    <row r="1058" spans="1:11" x14ac:dyDescent="0.25">
      <c r="A1058" s="5">
        <v>1824</v>
      </c>
      <c r="B1058" s="3">
        <v>58</v>
      </c>
      <c r="C1058" t="s">
        <v>43</v>
      </c>
      <c r="D1058" t="s">
        <v>49</v>
      </c>
      <c r="E1058" t="s">
        <v>52</v>
      </c>
      <c r="F1058" t="s">
        <v>36</v>
      </c>
      <c r="G1058" s="3">
        <v>14</v>
      </c>
      <c r="I1058" t="str">
        <f t="shared" si="48"/>
        <v>55-60</v>
      </c>
      <c r="J1058" t="str">
        <f t="shared" si="49"/>
        <v>Long Promotion gap</v>
      </c>
      <c r="K1058">
        <f t="shared" si="50"/>
        <v>0</v>
      </c>
    </row>
    <row r="1059" spans="1:11" x14ac:dyDescent="0.25">
      <c r="A1059" s="5">
        <v>2017</v>
      </c>
      <c r="B1059" s="3">
        <v>37</v>
      </c>
      <c r="C1059" t="s">
        <v>43</v>
      </c>
      <c r="D1059" t="s">
        <v>49</v>
      </c>
      <c r="E1059" t="s">
        <v>61</v>
      </c>
      <c r="F1059" t="s">
        <v>36</v>
      </c>
      <c r="G1059" s="3">
        <v>6</v>
      </c>
      <c r="I1059" t="str">
        <f t="shared" si="48"/>
        <v>35-44</v>
      </c>
      <c r="J1059" t="str">
        <f t="shared" si="49"/>
        <v>Long Promotion gap</v>
      </c>
      <c r="K1059">
        <f t="shared" si="50"/>
        <v>0</v>
      </c>
    </row>
    <row r="1060" spans="1:11" x14ac:dyDescent="0.25">
      <c r="A1060" s="5">
        <v>2036</v>
      </c>
      <c r="B1060" s="3">
        <v>36</v>
      </c>
      <c r="C1060" t="s">
        <v>43</v>
      </c>
      <c r="D1060" t="s">
        <v>35</v>
      </c>
      <c r="E1060" t="s">
        <v>52</v>
      </c>
      <c r="F1060" t="s">
        <v>36</v>
      </c>
      <c r="G1060" s="3">
        <v>11</v>
      </c>
      <c r="I1060" t="str">
        <f t="shared" si="48"/>
        <v>35-44</v>
      </c>
      <c r="J1060" t="str">
        <f t="shared" si="49"/>
        <v>Long Promotion gap</v>
      </c>
      <c r="K1060">
        <f t="shared" si="50"/>
        <v>0</v>
      </c>
    </row>
    <row r="1061" spans="1:11" x14ac:dyDescent="0.25">
      <c r="A1061" s="5">
        <v>1666</v>
      </c>
      <c r="B1061" s="3">
        <v>43</v>
      </c>
      <c r="C1061" t="s">
        <v>43</v>
      </c>
      <c r="D1061" t="s">
        <v>67</v>
      </c>
      <c r="E1061" t="s">
        <v>61</v>
      </c>
      <c r="F1061" t="s">
        <v>36</v>
      </c>
      <c r="G1061" s="3">
        <v>6</v>
      </c>
      <c r="I1061" t="str">
        <f t="shared" si="48"/>
        <v>35-44</v>
      </c>
      <c r="J1061" t="str">
        <f t="shared" si="49"/>
        <v>Long Promotion gap</v>
      </c>
      <c r="K1061">
        <f t="shared" si="50"/>
        <v>0</v>
      </c>
    </row>
    <row r="1062" spans="1:11" x14ac:dyDescent="0.25">
      <c r="A1062" s="5">
        <v>1950</v>
      </c>
      <c r="B1062" s="3">
        <v>34</v>
      </c>
      <c r="C1062" t="s">
        <v>43</v>
      </c>
      <c r="D1062" t="s">
        <v>49</v>
      </c>
      <c r="E1062" t="s">
        <v>41</v>
      </c>
      <c r="F1062" t="s">
        <v>42</v>
      </c>
      <c r="G1062" s="3">
        <v>2</v>
      </c>
      <c r="I1062" t="str">
        <f t="shared" si="48"/>
        <v>25-34</v>
      </c>
      <c r="J1062" t="str">
        <f t="shared" si="49"/>
        <v>Promoted in 1-3 years</v>
      </c>
      <c r="K1062">
        <f t="shared" si="50"/>
        <v>0</v>
      </c>
    </row>
    <row r="1063" spans="1:11" x14ac:dyDescent="0.25">
      <c r="A1063" s="5">
        <v>682</v>
      </c>
      <c r="B1063" s="3">
        <v>53</v>
      </c>
      <c r="C1063" t="s">
        <v>43</v>
      </c>
      <c r="D1063" t="s">
        <v>64</v>
      </c>
      <c r="E1063" t="s">
        <v>41</v>
      </c>
      <c r="F1063" t="s">
        <v>42</v>
      </c>
      <c r="G1063" s="3">
        <v>8</v>
      </c>
      <c r="I1063" t="str">
        <f t="shared" si="48"/>
        <v>45-54</v>
      </c>
      <c r="J1063" t="str">
        <f t="shared" si="49"/>
        <v>Long Promotion gap</v>
      </c>
      <c r="K1063">
        <f t="shared" si="50"/>
        <v>0</v>
      </c>
    </row>
    <row r="1064" spans="1:11" x14ac:dyDescent="0.25">
      <c r="A1064" s="5">
        <v>145</v>
      </c>
      <c r="B1064" s="3">
        <v>51</v>
      </c>
      <c r="C1064" t="s">
        <v>43</v>
      </c>
      <c r="D1064" t="s">
        <v>35</v>
      </c>
      <c r="E1064" t="s">
        <v>41</v>
      </c>
      <c r="F1064" t="s">
        <v>42</v>
      </c>
      <c r="G1064" s="3">
        <v>12</v>
      </c>
      <c r="I1064" t="str">
        <f t="shared" si="48"/>
        <v>45-54</v>
      </c>
      <c r="J1064" t="str">
        <f t="shared" si="49"/>
        <v>Long Promotion gap</v>
      </c>
      <c r="K1064">
        <f t="shared" si="50"/>
        <v>0</v>
      </c>
    </row>
    <row r="1065" spans="1:11" x14ac:dyDescent="0.25">
      <c r="A1065" s="5">
        <v>1184</v>
      </c>
      <c r="B1065" s="3">
        <v>34</v>
      </c>
      <c r="C1065" t="s">
        <v>43</v>
      </c>
      <c r="D1065" t="s">
        <v>49</v>
      </c>
      <c r="E1065" t="s">
        <v>41</v>
      </c>
      <c r="F1065" t="s">
        <v>42</v>
      </c>
      <c r="G1065" s="3">
        <v>4</v>
      </c>
      <c r="I1065" t="str">
        <f t="shared" si="48"/>
        <v>25-34</v>
      </c>
      <c r="J1065" t="str">
        <f t="shared" si="49"/>
        <v>Long Promotion gap</v>
      </c>
      <c r="K1065">
        <f t="shared" si="50"/>
        <v>0</v>
      </c>
    </row>
    <row r="1066" spans="1:11" x14ac:dyDescent="0.25">
      <c r="A1066" s="5">
        <v>692</v>
      </c>
      <c r="B1066" s="3">
        <v>33</v>
      </c>
      <c r="C1066" t="s">
        <v>43</v>
      </c>
      <c r="D1066" t="s">
        <v>49</v>
      </c>
      <c r="E1066" t="s">
        <v>52</v>
      </c>
      <c r="F1066" t="s">
        <v>36</v>
      </c>
      <c r="G1066" s="3">
        <v>4</v>
      </c>
      <c r="I1066" t="str">
        <f t="shared" si="48"/>
        <v>25-34</v>
      </c>
      <c r="J1066" t="str">
        <f t="shared" si="49"/>
        <v>Long Promotion gap</v>
      </c>
      <c r="K1066">
        <f t="shared" si="50"/>
        <v>0</v>
      </c>
    </row>
    <row r="1067" spans="1:11" x14ac:dyDescent="0.25">
      <c r="A1067" s="5">
        <v>57</v>
      </c>
      <c r="B1067" s="3">
        <v>30</v>
      </c>
      <c r="C1067" t="s">
        <v>43</v>
      </c>
      <c r="D1067" t="s">
        <v>67</v>
      </c>
      <c r="E1067" t="s">
        <v>41</v>
      </c>
      <c r="F1067" t="s">
        <v>42</v>
      </c>
      <c r="G1067" s="3">
        <v>3</v>
      </c>
      <c r="I1067" t="str">
        <f t="shared" si="48"/>
        <v>25-34</v>
      </c>
      <c r="J1067" t="str">
        <f t="shared" si="49"/>
        <v>Promoted in 1-3 years</v>
      </c>
      <c r="K1067">
        <f t="shared" si="50"/>
        <v>0</v>
      </c>
    </row>
    <row r="1068" spans="1:11" x14ac:dyDescent="0.25">
      <c r="A1068" s="5">
        <v>1375</v>
      </c>
      <c r="B1068" s="3">
        <v>40</v>
      </c>
      <c r="C1068" t="s">
        <v>43</v>
      </c>
      <c r="D1068" t="s">
        <v>64</v>
      </c>
      <c r="E1068" t="s">
        <v>52</v>
      </c>
      <c r="F1068" t="s">
        <v>50</v>
      </c>
      <c r="G1068" s="3">
        <v>11</v>
      </c>
      <c r="I1068" t="str">
        <f t="shared" si="48"/>
        <v>35-44</v>
      </c>
      <c r="J1068" t="str">
        <f t="shared" si="49"/>
        <v>Long Promotion gap</v>
      </c>
      <c r="K1068">
        <f t="shared" si="50"/>
        <v>0</v>
      </c>
    </row>
    <row r="1069" spans="1:11" x14ac:dyDescent="0.25">
      <c r="A1069" s="5">
        <v>1483</v>
      </c>
      <c r="B1069" s="3">
        <v>57</v>
      </c>
      <c r="C1069" t="s">
        <v>43</v>
      </c>
      <c r="D1069" t="s">
        <v>67</v>
      </c>
      <c r="E1069" t="s">
        <v>61</v>
      </c>
      <c r="F1069" t="s">
        <v>36</v>
      </c>
      <c r="G1069" s="3">
        <v>2</v>
      </c>
      <c r="I1069" t="str">
        <f t="shared" si="48"/>
        <v>55-60</v>
      </c>
      <c r="J1069" t="str">
        <f t="shared" si="49"/>
        <v>Promoted in 1-3 years</v>
      </c>
      <c r="K1069">
        <f t="shared" si="50"/>
        <v>0</v>
      </c>
    </row>
    <row r="1070" spans="1:11" x14ac:dyDescent="0.25">
      <c r="A1070" s="5">
        <v>292</v>
      </c>
      <c r="B1070" s="3">
        <v>30</v>
      </c>
      <c r="C1070" t="s">
        <v>43</v>
      </c>
      <c r="D1070" t="s">
        <v>64</v>
      </c>
      <c r="E1070" t="s">
        <v>41</v>
      </c>
      <c r="F1070" t="s">
        <v>42</v>
      </c>
      <c r="G1070" s="3">
        <v>5</v>
      </c>
      <c r="I1070" t="str">
        <f t="shared" si="48"/>
        <v>25-34</v>
      </c>
      <c r="J1070" t="str">
        <f t="shared" si="49"/>
        <v>Long Promotion gap</v>
      </c>
      <c r="K1070">
        <f t="shared" si="50"/>
        <v>0</v>
      </c>
    </row>
    <row r="1071" spans="1:11" x14ac:dyDescent="0.25">
      <c r="A1071" s="5">
        <v>1541</v>
      </c>
      <c r="B1071" s="3">
        <v>34</v>
      </c>
      <c r="C1071" t="s">
        <v>43</v>
      </c>
      <c r="D1071" t="s">
        <v>67</v>
      </c>
      <c r="E1071" t="s">
        <v>61</v>
      </c>
      <c r="F1071" t="s">
        <v>36</v>
      </c>
      <c r="G1071" s="3">
        <v>5</v>
      </c>
      <c r="I1071" t="str">
        <f t="shared" si="48"/>
        <v>25-34</v>
      </c>
      <c r="J1071" t="str">
        <f t="shared" si="49"/>
        <v>Long Promotion gap</v>
      </c>
      <c r="K1071">
        <f t="shared" si="50"/>
        <v>0</v>
      </c>
    </row>
    <row r="1072" spans="1:11" x14ac:dyDescent="0.25">
      <c r="A1072" s="5">
        <v>1092</v>
      </c>
      <c r="B1072" s="3">
        <v>40</v>
      </c>
      <c r="C1072" t="s">
        <v>43</v>
      </c>
      <c r="D1072" t="s">
        <v>35</v>
      </c>
      <c r="E1072" t="s">
        <v>61</v>
      </c>
      <c r="F1072" t="s">
        <v>36</v>
      </c>
      <c r="G1072" s="3">
        <v>6</v>
      </c>
      <c r="I1072" t="str">
        <f t="shared" si="48"/>
        <v>35-44</v>
      </c>
      <c r="J1072" t="str">
        <f t="shared" si="49"/>
        <v>Long Promotion gap</v>
      </c>
      <c r="K1072">
        <f t="shared" si="50"/>
        <v>0</v>
      </c>
    </row>
    <row r="1073" spans="1:11" x14ac:dyDescent="0.25">
      <c r="A1073" s="5">
        <v>1979</v>
      </c>
      <c r="B1073" s="3">
        <v>31</v>
      </c>
      <c r="C1073" t="s">
        <v>43</v>
      </c>
      <c r="D1073" t="s">
        <v>49</v>
      </c>
      <c r="E1073" t="s">
        <v>61</v>
      </c>
      <c r="F1073" t="s">
        <v>36</v>
      </c>
      <c r="G1073" s="3">
        <v>4</v>
      </c>
      <c r="I1073" t="str">
        <f t="shared" si="48"/>
        <v>25-34</v>
      </c>
      <c r="J1073" t="str">
        <f t="shared" si="49"/>
        <v>Long Promotion gap</v>
      </c>
      <c r="K1073">
        <f t="shared" si="50"/>
        <v>0</v>
      </c>
    </row>
    <row r="1074" spans="1:11" x14ac:dyDescent="0.25">
      <c r="A1074" s="5">
        <v>958</v>
      </c>
      <c r="B1074" s="3">
        <v>36</v>
      </c>
      <c r="C1074" t="s">
        <v>43</v>
      </c>
      <c r="D1074" t="s">
        <v>35</v>
      </c>
      <c r="E1074" t="s">
        <v>41</v>
      </c>
      <c r="F1074" t="s">
        <v>42</v>
      </c>
      <c r="G1074" s="3">
        <v>3</v>
      </c>
      <c r="I1074" t="str">
        <f t="shared" si="48"/>
        <v>35-44</v>
      </c>
      <c r="J1074" t="str">
        <f t="shared" si="49"/>
        <v>Promoted in 1-3 years</v>
      </c>
      <c r="K1074">
        <f t="shared" si="50"/>
        <v>0</v>
      </c>
    </row>
    <row r="1075" spans="1:11" x14ac:dyDescent="0.25">
      <c r="A1075" s="5">
        <v>1241</v>
      </c>
      <c r="B1075" s="3">
        <v>30</v>
      </c>
      <c r="C1075" t="s">
        <v>43</v>
      </c>
      <c r="D1075" t="s">
        <v>49</v>
      </c>
      <c r="E1075" t="s">
        <v>61</v>
      </c>
      <c r="F1075" t="s">
        <v>36</v>
      </c>
      <c r="G1075" s="3">
        <v>5</v>
      </c>
      <c r="I1075" t="str">
        <f t="shared" si="48"/>
        <v>25-34</v>
      </c>
      <c r="J1075" t="str">
        <f t="shared" si="49"/>
        <v>Long Promotion gap</v>
      </c>
      <c r="K1075">
        <f t="shared" si="50"/>
        <v>0</v>
      </c>
    </row>
    <row r="1076" spans="1:11" x14ac:dyDescent="0.25">
      <c r="A1076" s="5">
        <v>442</v>
      </c>
      <c r="B1076" s="3">
        <v>31</v>
      </c>
      <c r="C1076" t="s">
        <v>43</v>
      </c>
      <c r="D1076" t="s">
        <v>67</v>
      </c>
      <c r="E1076" t="s">
        <v>61</v>
      </c>
      <c r="F1076" t="s">
        <v>36</v>
      </c>
      <c r="G1076" s="3">
        <v>8</v>
      </c>
      <c r="I1076" t="str">
        <f t="shared" si="48"/>
        <v>25-34</v>
      </c>
      <c r="J1076" t="str">
        <f t="shared" si="49"/>
        <v>Long Promotion gap</v>
      </c>
      <c r="K1076">
        <f t="shared" si="50"/>
        <v>0</v>
      </c>
    </row>
    <row r="1077" spans="1:11" x14ac:dyDescent="0.25">
      <c r="A1077" s="5">
        <v>605</v>
      </c>
      <c r="B1077" s="3">
        <v>42</v>
      </c>
      <c r="C1077" t="s">
        <v>43</v>
      </c>
      <c r="D1077" t="s">
        <v>49</v>
      </c>
      <c r="E1077" t="s">
        <v>61</v>
      </c>
      <c r="F1077" t="s">
        <v>36</v>
      </c>
      <c r="G1077" s="3">
        <v>5</v>
      </c>
      <c r="I1077" t="str">
        <f t="shared" si="48"/>
        <v>35-44</v>
      </c>
      <c r="J1077" t="str">
        <f t="shared" si="49"/>
        <v>Long Promotion gap</v>
      </c>
      <c r="K1077">
        <f t="shared" si="50"/>
        <v>0</v>
      </c>
    </row>
    <row r="1078" spans="1:11" x14ac:dyDescent="0.25">
      <c r="A1078" s="5">
        <v>1956</v>
      </c>
      <c r="B1078" s="3">
        <v>31</v>
      </c>
      <c r="C1078" t="s">
        <v>43</v>
      </c>
      <c r="D1078" t="s">
        <v>49</v>
      </c>
      <c r="E1078" t="s">
        <v>61</v>
      </c>
      <c r="F1078" t="s">
        <v>42</v>
      </c>
      <c r="G1078" s="3">
        <v>8</v>
      </c>
      <c r="I1078" t="str">
        <f t="shared" si="48"/>
        <v>25-34</v>
      </c>
      <c r="J1078" t="str">
        <f t="shared" si="49"/>
        <v>Long Promotion gap</v>
      </c>
      <c r="K1078">
        <f t="shared" si="50"/>
        <v>0</v>
      </c>
    </row>
    <row r="1079" spans="1:11" x14ac:dyDescent="0.25">
      <c r="A1079" s="5">
        <v>597</v>
      </c>
      <c r="B1079" s="3">
        <v>55</v>
      </c>
      <c r="C1079" t="s">
        <v>43</v>
      </c>
      <c r="D1079" t="s">
        <v>70</v>
      </c>
      <c r="E1079" t="s">
        <v>41</v>
      </c>
      <c r="F1079" t="s">
        <v>42</v>
      </c>
      <c r="G1079" s="3">
        <v>7</v>
      </c>
      <c r="I1079" t="str">
        <f t="shared" si="48"/>
        <v>55-60</v>
      </c>
      <c r="J1079" t="str">
        <f t="shared" si="49"/>
        <v>Long Promotion gap</v>
      </c>
      <c r="K1079">
        <f t="shared" si="50"/>
        <v>0</v>
      </c>
    </row>
    <row r="1080" spans="1:11" x14ac:dyDescent="0.25">
      <c r="A1080" s="5">
        <v>1665</v>
      </c>
      <c r="B1080" s="3">
        <v>54</v>
      </c>
      <c r="C1080" t="s">
        <v>43</v>
      </c>
      <c r="D1080" t="s">
        <v>70</v>
      </c>
      <c r="E1080" t="s">
        <v>61</v>
      </c>
      <c r="F1080" t="s">
        <v>36</v>
      </c>
      <c r="G1080" s="3">
        <v>4</v>
      </c>
      <c r="I1080" t="str">
        <f t="shared" si="48"/>
        <v>45-54</v>
      </c>
      <c r="J1080" t="str">
        <f t="shared" si="49"/>
        <v>Long Promotion gap</v>
      </c>
      <c r="K1080">
        <f t="shared" si="50"/>
        <v>0</v>
      </c>
    </row>
    <row r="1081" spans="1:11" x14ac:dyDescent="0.25">
      <c r="A1081" s="5">
        <v>1823</v>
      </c>
      <c r="B1081" s="3">
        <v>34</v>
      </c>
      <c r="C1081" t="s">
        <v>43</v>
      </c>
      <c r="D1081" t="s">
        <v>67</v>
      </c>
      <c r="E1081" t="s">
        <v>61</v>
      </c>
      <c r="F1081" t="s">
        <v>53</v>
      </c>
      <c r="G1081" s="3">
        <v>4</v>
      </c>
      <c r="I1081" t="str">
        <f t="shared" si="48"/>
        <v>25-34</v>
      </c>
      <c r="J1081" t="str">
        <f t="shared" si="49"/>
        <v>Long Promotion gap</v>
      </c>
      <c r="K1081">
        <f t="shared" si="50"/>
        <v>0</v>
      </c>
    </row>
    <row r="1082" spans="1:11" x14ac:dyDescent="0.25">
      <c r="A1082" s="5">
        <v>1936</v>
      </c>
      <c r="B1082" s="3">
        <v>39</v>
      </c>
      <c r="C1082" t="s">
        <v>43</v>
      </c>
      <c r="D1082" t="s">
        <v>67</v>
      </c>
      <c r="E1082" t="s">
        <v>61</v>
      </c>
      <c r="F1082" t="s">
        <v>36</v>
      </c>
      <c r="G1082" s="3">
        <v>7</v>
      </c>
      <c r="I1082" t="str">
        <f t="shared" si="48"/>
        <v>35-44</v>
      </c>
      <c r="J1082" t="str">
        <f t="shared" si="49"/>
        <v>Long Promotion gap</v>
      </c>
      <c r="K1082">
        <f t="shared" si="50"/>
        <v>0</v>
      </c>
    </row>
    <row r="1083" spans="1:11" x14ac:dyDescent="0.25">
      <c r="A1083" s="5">
        <v>367</v>
      </c>
      <c r="B1083" s="3">
        <v>31</v>
      </c>
      <c r="C1083" t="s">
        <v>43</v>
      </c>
      <c r="D1083" t="s">
        <v>49</v>
      </c>
      <c r="E1083" t="s">
        <v>61</v>
      </c>
      <c r="F1083" t="s">
        <v>36</v>
      </c>
      <c r="G1083" s="3">
        <v>7</v>
      </c>
      <c r="I1083" t="str">
        <f t="shared" si="48"/>
        <v>25-34</v>
      </c>
      <c r="J1083" t="str">
        <f t="shared" si="49"/>
        <v>Long Promotion gap</v>
      </c>
      <c r="K1083">
        <f t="shared" si="50"/>
        <v>0</v>
      </c>
    </row>
    <row r="1084" spans="1:11" x14ac:dyDescent="0.25">
      <c r="A1084" s="5">
        <v>1970</v>
      </c>
      <c r="B1084" s="3">
        <v>33</v>
      </c>
      <c r="C1084" t="s">
        <v>43</v>
      </c>
      <c r="D1084" t="s">
        <v>67</v>
      </c>
      <c r="E1084" t="s">
        <v>52</v>
      </c>
      <c r="F1084" t="s">
        <v>50</v>
      </c>
      <c r="G1084" s="3">
        <v>2</v>
      </c>
      <c r="I1084" t="str">
        <f t="shared" si="48"/>
        <v>25-34</v>
      </c>
      <c r="J1084" t="str">
        <f t="shared" si="49"/>
        <v>Promoted in 1-3 years</v>
      </c>
      <c r="K1084">
        <f t="shared" si="50"/>
        <v>0</v>
      </c>
    </row>
    <row r="1085" spans="1:11" x14ac:dyDescent="0.25">
      <c r="A1085" s="5">
        <v>60</v>
      </c>
      <c r="B1085" s="3">
        <v>34</v>
      </c>
      <c r="C1085" t="s">
        <v>43</v>
      </c>
      <c r="D1085" t="s">
        <v>35</v>
      </c>
      <c r="E1085" t="s">
        <v>41</v>
      </c>
      <c r="F1085" t="s">
        <v>42</v>
      </c>
      <c r="G1085" s="3">
        <v>8</v>
      </c>
      <c r="I1085" t="str">
        <f t="shared" si="48"/>
        <v>25-34</v>
      </c>
      <c r="J1085" t="str">
        <f t="shared" si="49"/>
        <v>Long Promotion gap</v>
      </c>
      <c r="K1085">
        <f t="shared" si="50"/>
        <v>0</v>
      </c>
    </row>
    <row r="1086" spans="1:11" x14ac:dyDescent="0.25">
      <c r="A1086" s="5">
        <v>1864</v>
      </c>
      <c r="B1086" s="3">
        <v>27</v>
      </c>
      <c r="C1086" t="s">
        <v>43</v>
      </c>
      <c r="D1086" t="s">
        <v>64</v>
      </c>
      <c r="E1086" t="s">
        <v>61</v>
      </c>
      <c r="F1086" t="s">
        <v>36</v>
      </c>
      <c r="G1086" s="3">
        <v>5</v>
      </c>
      <c r="I1086" t="str">
        <f t="shared" si="48"/>
        <v>25-34</v>
      </c>
      <c r="J1086" t="str">
        <f t="shared" si="49"/>
        <v>Long Promotion gap</v>
      </c>
      <c r="K1086">
        <f t="shared" si="50"/>
        <v>0</v>
      </c>
    </row>
    <row r="1087" spans="1:11" x14ac:dyDescent="0.25">
      <c r="A1087" s="5">
        <v>78</v>
      </c>
      <c r="B1087" s="3">
        <v>32</v>
      </c>
      <c r="C1087" t="s">
        <v>43</v>
      </c>
      <c r="D1087" t="s">
        <v>49</v>
      </c>
      <c r="E1087" t="s">
        <v>61</v>
      </c>
      <c r="F1087" t="s">
        <v>36</v>
      </c>
      <c r="G1087" s="3">
        <v>7</v>
      </c>
      <c r="I1087" t="str">
        <f t="shared" si="48"/>
        <v>25-34</v>
      </c>
      <c r="J1087" t="str">
        <f t="shared" si="49"/>
        <v>Long Promotion gap</v>
      </c>
      <c r="K1087">
        <f t="shared" si="50"/>
        <v>0</v>
      </c>
    </row>
    <row r="1088" spans="1:11" x14ac:dyDescent="0.25">
      <c r="A1088" s="5">
        <v>807</v>
      </c>
      <c r="B1088" s="3">
        <v>40</v>
      </c>
      <c r="C1088" t="s">
        <v>43</v>
      </c>
      <c r="D1088" t="s">
        <v>67</v>
      </c>
      <c r="E1088" t="s">
        <v>61</v>
      </c>
      <c r="F1088" t="s">
        <v>36</v>
      </c>
      <c r="G1088" s="3">
        <v>3</v>
      </c>
      <c r="I1088" t="str">
        <f t="shared" si="48"/>
        <v>35-44</v>
      </c>
      <c r="J1088" t="str">
        <f t="shared" si="49"/>
        <v>Promoted in 1-3 years</v>
      </c>
      <c r="K1088">
        <f t="shared" si="50"/>
        <v>0</v>
      </c>
    </row>
    <row r="1089" spans="1:11" x14ac:dyDescent="0.25">
      <c r="A1089" s="5">
        <v>1275</v>
      </c>
      <c r="B1089" s="3">
        <v>26</v>
      </c>
      <c r="C1089" t="s">
        <v>43</v>
      </c>
      <c r="D1089" t="s">
        <v>67</v>
      </c>
      <c r="E1089" t="s">
        <v>41</v>
      </c>
      <c r="F1089" t="s">
        <v>42</v>
      </c>
      <c r="G1089" s="3">
        <v>2</v>
      </c>
      <c r="I1089" t="str">
        <f t="shared" si="48"/>
        <v>25-34</v>
      </c>
      <c r="J1089" t="str">
        <f t="shared" si="49"/>
        <v>Promoted in 1-3 years</v>
      </c>
      <c r="K1089">
        <f t="shared" si="50"/>
        <v>0</v>
      </c>
    </row>
    <row r="1090" spans="1:11" x14ac:dyDescent="0.25">
      <c r="A1090" s="5">
        <v>747</v>
      </c>
      <c r="B1090" s="3">
        <v>30</v>
      </c>
      <c r="C1090" t="s">
        <v>43</v>
      </c>
      <c r="D1090" t="s">
        <v>70</v>
      </c>
      <c r="E1090" t="s">
        <v>52</v>
      </c>
      <c r="F1090" t="s">
        <v>36</v>
      </c>
      <c r="G1090" s="3">
        <v>7</v>
      </c>
      <c r="I1090" t="str">
        <f t="shared" si="48"/>
        <v>25-34</v>
      </c>
      <c r="J1090" t="str">
        <f t="shared" si="49"/>
        <v>Long Promotion gap</v>
      </c>
      <c r="K1090">
        <f t="shared" si="50"/>
        <v>0</v>
      </c>
    </row>
    <row r="1091" spans="1:11" x14ac:dyDescent="0.25">
      <c r="A1091" s="5">
        <v>1845</v>
      </c>
      <c r="B1091" s="3">
        <v>45</v>
      </c>
      <c r="C1091" t="s">
        <v>43</v>
      </c>
      <c r="D1091" t="s">
        <v>35</v>
      </c>
      <c r="E1091" t="s">
        <v>61</v>
      </c>
      <c r="F1091" t="s">
        <v>53</v>
      </c>
      <c r="G1091" s="3">
        <v>5</v>
      </c>
      <c r="I1091" t="str">
        <f t="shared" ref="I1091:I1154" si="51">IF(B1091&lt;=24, "18-24", IF(B1091&lt;=34,"25-34", IF(B1091&lt;=44,"35-44", IF(B1091&lt;=54,"45-54", IF(B1091&lt;=60, "55-60")))))</f>
        <v>45-54</v>
      </c>
      <c r="J1091" t="str">
        <f t="shared" ref="J1091:J1154" si="52">IF(G1091&lt;=0,"Recently promoted",IF(G1091&lt;=3,"Promoted in 1-3 years","Long Promotion gap"))</f>
        <v>Long Promotion gap</v>
      </c>
      <c r="K1091">
        <f t="shared" ref="K1091:K1154" si="53">IF(C1091="Yes", 1, 0)</f>
        <v>0</v>
      </c>
    </row>
    <row r="1092" spans="1:11" x14ac:dyDescent="0.25">
      <c r="A1092" s="5">
        <v>382</v>
      </c>
      <c r="B1092" s="3">
        <v>38</v>
      </c>
      <c r="C1092" t="s">
        <v>43</v>
      </c>
      <c r="D1092" t="s">
        <v>67</v>
      </c>
      <c r="E1092" t="s">
        <v>52</v>
      </c>
      <c r="F1092" t="s">
        <v>36</v>
      </c>
      <c r="G1092" s="3">
        <v>7</v>
      </c>
      <c r="I1092" t="str">
        <f t="shared" si="51"/>
        <v>35-44</v>
      </c>
      <c r="J1092" t="str">
        <f t="shared" si="52"/>
        <v>Long Promotion gap</v>
      </c>
      <c r="K1092">
        <f t="shared" si="53"/>
        <v>0</v>
      </c>
    </row>
    <row r="1093" spans="1:11" x14ac:dyDescent="0.25">
      <c r="A1093" s="5">
        <v>177</v>
      </c>
      <c r="B1093" s="3">
        <v>26</v>
      </c>
      <c r="C1093" t="s">
        <v>43</v>
      </c>
      <c r="D1093" t="s">
        <v>64</v>
      </c>
      <c r="E1093" t="s">
        <v>61</v>
      </c>
      <c r="F1093" t="s">
        <v>36</v>
      </c>
      <c r="G1093" s="3">
        <v>5</v>
      </c>
      <c r="I1093" t="str">
        <f t="shared" si="51"/>
        <v>25-34</v>
      </c>
      <c r="J1093" t="str">
        <f t="shared" si="52"/>
        <v>Long Promotion gap</v>
      </c>
      <c r="K1093">
        <f t="shared" si="53"/>
        <v>0</v>
      </c>
    </row>
    <row r="1094" spans="1:11" x14ac:dyDescent="0.25">
      <c r="A1094" s="5">
        <v>846</v>
      </c>
      <c r="B1094" s="3">
        <v>28</v>
      </c>
      <c r="C1094" t="s">
        <v>43</v>
      </c>
      <c r="D1094" t="s">
        <v>35</v>
      </c>
      <c r="E1094" t="s">
        <v>61</v>
      </c>
      <c r="F1094" t="s">
        <v>42</v>
      </c>
      <c r="G1094" s="3">
        <v>7</v>
      </c>
      <c r="I1094" t="str">
        <f t="shared" si="51"/>
        <v>25-34</v>
      </c>
      <c r="J1094" t="str">
        <f t="shared" si="52"/>
        <v>Long Promotion gap</v>
      </c>
      <c r="K1094">
        <f t="shared" si="53"/>
        <v>0</v>
      </c>
    </row>
    <row r="1095" spans="1:11" x14ac:dyDescent="0.25">
      <c r="A1095" s="5">
        <v>903</v>
      </c>
      <c r="B1095" s="3">
        <v>47</v>
      </c>
      <c r="C1095" t="s">
        <v>43</v>
      </c>
      <c r="D1095" t="s">
        <v>67</v>
      </c>
      <c r="E1095" t="s">
        <v>61</v>
      </c>
      <c r="F1095" t="s">
        <v>36</v>
      </c>
      <c r="G1095" s="3">
        <v>7</v>
      </c>
      <c r="I1095" t="str">
        <f t="shared" si="51"/>
        <v>45-54</v>
      </c>
      <c r="J1095" t="str">
        <f t="shared" si="52"/>
        <v>Long Promotion gap</v>
      </c>
      <c r="K1095">
        <f t="shared" si="53"/>
        <v>0</v>
      </c>
    </row>
    <row r="1096" spans="1:11" x14ac:dyDescent="0.25">
      <c r="A1096" s="5">
        <v>1849</v>
      </c>
      <c r="B1096" s="3">
        <v>43</v>
      </c>
      <c r="C1096" t="s">
        <v>43</v>
      </c>
      <c r="D1096" t="s">
        <v>35</v>
      </c>
      <c r="E1096" t="s">
        <v>61</v>
      </c>
      <c r="F1096" t="s">
        <v>36</v>
      </c>
      <c r="G1096" s="3">
        <v>7</v>
      </c>
      <c r="I1096" t="str">
        <f t="shared" si="51"/>
        <v>35-44</v>
      </c>
      <c r="J1096" t="str">
        <f t="shared" si="52"/>
        <v>Long Promotion gap</v>
      </c>
      <c r="K1096">
        <f t="shared" si="53"/>
        <v>0</v>
      </c>
    </row>
    <row r="1097" spans="1:11" x14ac:dyDescent="0.25">
      <c r="A1097" s="5">
        <v>1693</v>
      </c>
      <c r="B1097" s="3">
        <v>26</v>
      </c>
      <c r="C1097" t="s">
        <v>43</v>
      </c>
      <c r="D1097" t="s">
        <v>49</v>
      </c>
      <c r="E1097" t="s">
        <v>41</v>
      </c>
      <c r="F1097" t="s">
        <v>42</v>
      </c>
      <c r="G1097" s="3">
        <v>5</v>
      </c>
      <c r="I1097" t="str">
        <f t="shared" si="51"/>
        <v>25-34</v>
      </c>
      <c r="J1097" t="str">
        <f t="shared" si="52"/>
        <v>Long Promotion gap</v>
      </c>
      <c r="K1097">
        <f t="shared" si="53"/>
        <v>0</v>
      </c>
    </row>
    <row r="1098" spans="1:11" x14ac:dyDescent="0.25">
      <c r="A1098" s="5">
        <v>653</v>
      </c>
      <c r="B1098" s="3">
        <v>31</v>
      </c>
      <c r="C1098" t="s">
        <v>43</v>
      </c>
      <c r="D1098" t="s">
        <v>35</v>
      </c>
      <c r="E1098" t="s">
        <v>52</v>
      </c>
      <c r="F1098" t="s">
        <v>53</v>
      </c>
      <c r="G1098" s="3">
        <v>5</v>
      </c>
      <c r="I1098" t="str">
        <f t="shared" si="51"/>
        <v>25-34</v>
      </c>
      <c r="J1098" t="str">
        <f t="shared" si="52"/>
        <v>Long Promotion gap</v>
      </c>
      <c r="K1098">
        <f t="shared" si="53"/>
        <v>0</v>
      </c>
    </row>
    <row r="1099" spans="1:11" x14ac:dyDescent="0.25">
      <c r="A1099" s="5">
        <v>1237</v>
      </c>
      <c r="B1099" s="3">
        <v>36</v>
      </c>
      <c r="C1099" t="s">
        <v>43</v>
      </c>
      <c r="D1099" t="s">
        <v>49</v>
      </c>
      <c r="E1099" t="s">
        <v>52</v>
      </c>
      <c r="F1099" t="s">
        <v>36</v>
      </c>
      <c r="G1099" s="3">
        <v>4</v>
      </c>
      <c r="I1099" t="str">
        <f t="shared" si="51"/>
        <v>35-44</v>
      </c>
      <c r="J1099" t="str">
        <f t="shared" si="52"/>
        <v>Long Promotion gap</v>
      </c>
      <c r="K1099">
        <f t="shared" si="53"/>
        <v>0</v>
      </c>
    </row>
    <row r="1100" spans="1:11" x14ac:dyDescent="0.25">
      <c r="A1100" s="5">
        <v>205</v>
      </c>
      <c r="B1100" s="3">
        <v>53</v>
      </c>
      <c r="C1100" t="s">
        <v>43</v>
      </c>
      <c r="D1100" t="s">
        <v>67</v>
      </c>
      <c r="E1100" t="s">
        <v>61</v>
      </c>
      <c r="F1100" t="s">
        <v>36</v>
      </c>
      <c r="G1100" s="3">
        <v>4</v>
      </c>
      <c r="I1100" t="str">
        <f t="shared" si="51"/>
        <v>45-54</v>
      </c>
      <c r="J1100" t="str">
        <f t="shared" si="52"/>
        <v>Long Promotion gap</v>
      </c>
      <c r="K1100">
        <f t="shared" si="53"/>
        <v>0</v>
      </c>
    </row>
    <row r="1101" spans="1:11" x14ac:dyDescent="0.25">
      <c r="A1101" s="5">
        <v>1854</v>
      </c>
      <c r="B1101" s="3">
        <v>42</v>
      </c>
      <c r="C1101" t="s">
        <v>43</v>
      </c>
      <c r="D1101" t="s">
        <v>35</v>
      </c>
      <c r="E1101" t="s">
        <v>61</v>
      </c>
      <c r="F1101" t="s">
        <v>53</v>
      </c>
      <c r="G1101" s="3">
        <v>3</v>
      </c>
      <c r="I1101" t="str">
        <f t="shared" si="51"/>
        <v>35-44</v>
      </c>
      <c r="J1101" t="str">
        <f t="shared" si="52"/>
        <v>Promoted in 1-3 years</v>
      </c>
      <c r="K1101">
        <f t="shared" si="53"/>
        <v>0</v>
      </c>
    </row>
    <row r="1102" spans="1:11" x14ac:dyDescent="0.25">
      <c r="A1102" s="5">
        <v>1116</v>
      </c>
      <c r="B1102" s="3">
        <v>48</v>
      </c>
      <c r="C1102" t="s">
        <v>43</v>
      </c>
      <c r="D1102" t="s">
        <v>35</v>
      </c>
      <c r="E1102" t="s">
        <v>41</v>
      </c>
      <c r="F1102" t="s">
        <v>42</v>
      </c>
      <c r="G1102" s="3">
        <v>2</v>
      </c>
      <c r="I1102" t="str">
        <f t="shared" si="51"/>
        <v>45-54</v>
      </c>
      <c r="J1102" t="str">
        <f t="shared" si="52"/>
        <v>Promoted in 1-3 years</v>
      </c>
      <c r="K1102">
        <f t="shared" si="53"/>
        <v>0</v>
      </c>
    </row>
    <row r="1103" spans="1:11" x14ac:dyDescent="0.25">
      <c r="A1103" s="5">
        <v>1554</v>
      </c>
      <c r="B1103" s="3">
        <v>35</v>
      </c>
      <c r="C1103" t="s">
        <v>43</v>
      </c>
      <c r="D1103" t="s">
        <v>35</v>
      </c>
      <c r="E1103" t="s">
        <v>61</v>
      </c>
      <c r="F1103" t="s">
        <v>53</v>
      </c>
      <c r="G1103" s="3">
        <v>4</v>
      </c>
      <c r="I1103" t="str">
        <f t="shared" si="51"/>
        <v>35-44</v>
      </c>
      <c r="J1103" t="str">
        <f t="shared" si="52"/>
        <v>Long Promotion gap</v>
      </c>
      <c r="K1103">
        <f t="shared" si="53"/>
        <v>0</v>
      </c>
    </row>
    <row r="1104" spans="1:11" x14ac:dyDescent="0.25">
      <c r="A1104" s="5">
        <v>1675</v>
      </c>
      <c r="B1104" s="3">
        <v>38</v>
      </c>
      <c r="C1104" t="s">
        <v>43</v>
      </c>
      <c r="D1104" t="s">
        <v>49</v>
      </c>
      <c r="E1104" t="s">
        <v>41</v>
      </c>
      <c r="F1104" t="s">
        <v>42</v>
      </c>
      <c r="G1104" s="3">
        <v>3</v>
      </c>
      <c r="I1104" t="str">
        <f t="shared" si="51"/>
        <v>35-44</v>
      </c>
      <c r="J1104" t="str">
        <f t="shared" si="52"/>
        <v>Promoted in 1-3 years</v>
      </c>
      <c r="K1104">
        <f t="shared" si="53"/>
        <v>0</v>
      </c>
    </row>
    <row r="1105" spans="1:11" x14ac:dyDescent="0.25">
      <c r="A1105" s="5">
        <v>763</v>
      </c>
      <c r="B1105" s="3">
        <v>40</v>
      </c>
      <c r="C1105" t="s">
        <v>43</v>
      </c>
      <c r="D1105" t="s">
        <v>64</v>
      </c>
      <c r="E1105" t="s">
        <v>41</v>
      </c>
      <c r="F1105" t="s">
        <v>42</v>
      </c>
      <c r="G1105" s="3">
        <v>2</v>
      </c>
      <c r="I1105" t="str">
        <f t="shared" si="51"/>
        <v>35-44</v>
      </c>
      <c r="J1105" t="str">
        <f t="shared" si="52"/>
        <v>Promoted in 1-3 years</v>
      </c>
      <c r="K1105">
        <f t="shared" si="53"/>
        <v>0</v>
      </c>
    </row>
    <row r="1106" spans="1:11" x14ac:dyDescent="0.25">
      <c r="A1106" s="5">
        <v>1800</v>
      </c>
      <c r="B1106" s="3">
        <v>39</v>
      </c>
      <c r="C1106" t="s">
        <v>43</v>
      </c>
      <c r="D1106" t="s">
        <v>64</v>
      </c>
      <c r="E1106" t="s">
        <v>41</v>
      </c>
      <c r="F1106" t="s">
        <v>42</v>
      </c>
      <c r="G1106" s="3">
        <v>2</v>
      </c>
      <c r="I1106" t="str">
        <f t="shared" si="51"/>
        <v>35-44</v>
      </c>
      <c r="J1106" t="str">
        <f t="shared" si="52"/>
        <v>Promoted in 1-3 years</v>
      </c>
      <c r="K1106">
        <f t="shared" si="53"/>
        <v>0</v>
      </c>
    </row>
    <row r="1107" spans="1:11" x14ac:dyDescent="0.25">
      <c r="A1107" s="5">
        <v>193</v>
      </c>
      <c r="B1107" s="3">
        <v>38</v>
      </c>
      <c r="C1107" t="s">
        <v>43</v>
      </c>
      <c r="D1107" t="s">
        <v>70</v>
      </c>
      <c r="E1107" t="s">
        <v>41</v>
      </c>
      <c r="F1107" t="s">
        <v>42</v>
      </c>
      <c r="G1107" s="3">
        <v>2</v>
      </c>
      <c r="I1107" t="str">
        <f t="shared" si="51"/>
        <v>35-44</v>
      </c>
      <c r="J1107" t="str">
        <f t="shared" si="52"/>
        <v>Promoted in 1-3 years</v>
      </c>
      <c r="K1107">
        <f t="shared" si="53"/>
        <v>0</v>
      </c>
    </row>
    <row r="1108" spans="1:11" x14ac:dyDescent="0.25">
      <c r="A1108" s="5">
        <v>140</v>
      </c>
      <c r="B1108" s="3">
        <v>59</v>
      </c>
      <c r="C1108" t="s">
        <v>43</v>
      </c>
      <c r="D1108" t="s">
        <v>35</v>
      </c>
      <c r="E1108" t="s">
        <v>61</v>
      </c>
      <c r="F1108" t="s">
        <v>36</v>
      </c>
      <c r="G1108" s="3">
        <v>2</v>
      </c>
      <c r="I1108" t="str">
        <f t="shared" si="51"/>
        <v>55-60</v>
      </c>
      <c r="J1108" t="str">
        <f t="shared" si="52"/>
        <v>Promoted in 1-3 years</v>
      </c>
      <c r="K1108">
        <f t="shared" si="53"/>
        <v>0</v>
      </c>
    </row>
    <row r="1109" spans="1:11" x14ac:dyDescent="0.25">
      <c r="A1109" s="5">
        <v>484</v>
      </c>
      <c r="B1109" s="3">
        <v>21</v>
      </c>
      <c r="C1109" t="s">
        <v>43</v>
      </c>
      <c r="D1109" t="s">
        <v>67</v>
      </c>
      <c r="E1109" t="s">
        <v>41</v>
      </c>
      <c r="F1109" t="s">
        <v>42</v>
      </c>
      <c r="G1109" s="3">
        <v>2</v>
      </c>
      <c r="I1109" t="str">
        <f t="shared" si="51"/>
        <v>18-24</v>
      </c>
      <c r="J1109" t="str">
        <f t="shared" si="52"/>
        <v>Promoted in 1-3 years</v>
      </c>
      <c r="K1109">
        <f t="shared" si="53"/>
        <v>0</v>
      </c>
    </row>
    <row r="1110" spans="1:11" x14ac:dyDescent="0.25">
      <c r="A1110" s="5">
        <v>872</v>
      </c>
      <c r="B1110" s="3">
        <v>22</v>
      </c>
      <c r="C1110" t="s">
        <v>43</v>
      </c>
      <c r="D1110" t="s">
        <v>67</v>
      </c>
      <c r="E1110" t="s">
        <v>61</v>
      </c>
      <c r="F1110" t="s">
        <v>53</v>
      </c>
      <c r="G1110" s="3">
        <v>2</v>
      </c>
      <c r="I1110" t="str">
        <f t="shared" si="51"/>
        <v>18-24</v>
      </c>
      <c r="J1110" t="str">
        <f t="shared" si="52"/>
        <v>Promoted in 1-3 years</v>
      </c>
      <c r="K1110">
        <f t="shared" si="53"/>
        <v>0</v>
      </c>
    </row>
    <row r="1111" spans="1:11" x14ac:dyDescent="0.25">
      <c r="A1111" s="5">
        <v>1234</v>
      </c>
      <c r="B1111" s="3">
        <v>32</v>
      </c>
      <c r="C1111" t="s">
        <v>43</v>
      </c>
      <c r="D1111" t="s">
        <v>49</v>
      </c>
      <c r="E1111" t="s">
        <v>61</v>
      </c>
      <c r="F1111" t="s">
        <v>36</v>
      </c>
      <c r="G1111" s="3">
        <v>2</v>
      </c>
      <c r="I1111" t="str">
        <f t="shared" si="51"/>
        <v>25-34</v>
      </c>
      <c r="J1111" t="str">
        <f t="shared" si="52"/>
        <v>Promoted in 1-3 years</v>
      </c>
      <c r="K1111">
        <f t="shared" si="53"/>
        <v>0</v>
      </c>
    </row>
    <row r="1112" spans="1:11" x14ac:dyDescent="0.25">
      <c r="A1112" s="5">
        <v>675</v>
      </c>
      <c r="B1112" s="3">
        <v>22</v>
      </c>
      <c r="C1112" t="s">
        <v>43</v>
      </c>
      <c r="D1112" t="s">
        <v>64</v>
      </c>
      <c r="E1112" t="s">
        <v>61</v>
      </c>
      <c r="F1112" t="s">
        <v>42</v>
      </c>
      <c r="G1112" s="3">
        <v>2</v>
      </c>
      <c r="I1112" t="str">
        <f t="shared" si="51"/>
        <v>18-24</v>
      </c>
      <c r="J1112" t="str">
        <f t="shared" si="52"/>
        <v>Promoted in 1-3 years</v>
      </c>
      <c r="K1112">
        <f t="shared" si="53"/>
        <v>0</v>
      </c>
    </row>
    <row r="1113" spans="1:11" x14ac:dyDescent="0.25">
      <c r="A1113" s="5">
        <v>217</v>
      </c>
      <c r="B1113" s="3">
        <v>22</v>
      </c>
      <c r="C1113" t="s">
        <v>43</v>
      </c>
      <c r="D1113" t="s">
        <v>64</v>
      </c>
      <c r="E1113" t="s">
        <v>61</v>
      </c>
      <c r="F1113" t="s">
        <v>53</v>
      </c>
      <c r="G1113" s="3">
        <v>2</v>
      </c>
      <c r="I1113" t="str">
        <f t="shared" si="51"/>
        <v>18-24</v>
      </c>
      <c r="J1113" t="str">
        <f t="shared" si="52"/>
        <v>Promoted in 1-3 years</v>
      </c>
      <c r="K1113">
        <f t="shared" si="53"/>
        <v>0</v>
      </c>
    </row>
    <row r="1114" spans="1:11" x14ac:dyDescent="0.25">
      <c r="A1114" s="5">
        <v>1215</v>
      </c>
      <c r="B1114" s="3">
        <v>50</v>
      </c>
      <c r="C1114" t="s">
        <v>43</v>
      </c>
      <c r="D1114" t="s">
        <v>49</v>
      </c>
      <c r="E1114" t="s">
        <v>61</v>
      </c>
      <c r="F1114" t="s">
        <v>36</v>
      </c>
      <c r="G1114" s="3">
        <v>2</v>
      </c>
      <c r="I1114" t="str">
        <f t="shared" si="51"/>
        <v>45-54</v>
      </c>
      <c r="J1114" t="str">
        <f t="shared" si="52"/>
        <v>Promoted in 1-3 years</v>
      </c>
      <c r="K1114">
        <f t="shared" si="53"/>
        <v>0</v>
      </c>
    </row>
    <row r="1115" spans="1:11" x14ac:dyDescent="0.25">
      <c r="A1115" s="5">
        <v>1278</v>
      </c>
      <c r="B1115" s="3">
        <v>55</v>
      </c>
      <c r="C1115" t="s">
        <v>43</v>
      </c>
      <c r="D1115" t="s">
        <v>64</v>
      </c>
      <c r="E1115" t="s">
        <v>52</v>
      </c>
      <c r="F1115" t="s">
        <v>36</v>
      </c>
      <c r="G1115" s="3">
        <v>15</v>
      </c>
      <c r="I1115" t="str">
        <f t="shared" si="51"/>
        <v>55-60</v>
      </c>
      <c r="J1115" t="str">
        <f t="shared" si="52"/>
        <v>Long Promotion gap</v>
      </c>
      <c r="K1115">
        <f t="shared" si="53"/>
        <v>0</v>
      </c>
    </row>
    <row r="1116" spans="1:11" x14ac:dyDescent="0.25">
      <c r="A1116" s="5">
        <v>905</v>
      </c>
      <c r="B1116" s="3">
        <v>50</v>
      </c>
      <c r="C1116" t="s">
        <v>43</v>
      </c>
      <c r="D1116" t="s">
        <v>35</v>
      </c>
      <c r="E1116" t="s">
        <v>52</v>
      </c>
      <c r="F1116" t="s">
        <v>36</v>
      </c>
      <c r="G1116" s="3">
        <v>14</v>
      </c>
      <c r="I1116" t="str">
        <f t="shared" si="51"/>
        <v>45-54</v>
      </c>
      <c r="J1116" t="str">
        <f t="shared" si="52"/>
        <v>Long Promotion gap</v>
      </c>
      <c r="K1116">
        <f t="shared" si="53"/>
        <v>0</v>
      </c>
    </row>
    <row r="1117" spans="1:11" x14ac:dyDescent="0.25">
      <c r="A1117" s="5">
        <v>1815</v>
      </c>
      <c r="B1117" s="3">
        <v>41</v>
      </c>
      <c r="C1117" t="s">
        <v>43</v>
      </c>
      <c r="D1117" t="s">
        <v>64</v>
      </c>
      <c r="E1117" t="s">
        <v>52</v>
      </c>
      <c r="F1117" t="s">
        <v>36</v>
      </c>
      <c r="G1117" s="3">
        <v>13</v>
      </c>
      <c r="I1117" t="str">
        <f t="shared" si="51"/>
        <v>35-44</v>
      </c>
      <c r="J1117" t="str">
        <f t="shared" si="52"/>
        <v>Long Promotion gap</v>
      </c>
      <c r="K1117">
        <f t="shared" si="53"/>
        <v>0</v>
      </c>
    </row>
    <row r="1118" spans="1:11" x14ac:dyDescent="0.25">
      <c r="A1118" s="5">
        <v>1166</v>
      </c>
      <c r="B1118" s="3">
        <v>40</v>
      </c>
      <c r="C1118" t="s">
        <v>43</v>
      </c>
      <c r="D1118" t="s">
        <v>35</v>
      </c>
      <c r="E1118" t="s">
        <v>41</v>
      </c>
      <c r="F1118" t="s">
        <v>42</v>
      </c>
      <c r="G1118" s="3">
        <v>2</v>
      </c>
      <c r="I1118" t="str">
        <f t="shared" si="51"/>
        <v>35-44</v>
      </c>
      <c r="J1118" t="str">
        <f t="shared" si="52"/>
        <v>Promoted in 1-3 years</v>
      </c>
      <c r="K1118">
        <f t="shared" si="53"/>
        <v>0</v>
      </c>
    </row>
    <row r="1119" spans="1:11" x14ac:dyDescent="0.25">
      <c r="A1119" s="5">
        <v>1628</v>
      </c>
      <c r="B1119" s="3">
        <v>40</v>
      </c>
      <c r="C1119" t="s">
        <v>43</v>
      </c>
      <c r="D1119" t="s">
        <v>49</v>
      </c>
      <c r="E1119" t="s">
        <v>61</v>
      </c>
      <c r="F1119" t="s">
        <v>53</v>
      </c>
      <c r="G1119" s="3">
        <v>14</v>
      </c>
      <c r="I1119" t="str">
        <f t="shared" si="51"/>
        <v>35-44</v>
      </c>
      <c r="J1119" t="str">
        <f t="shared" si="52"/>
        <v>Long Promotion gap</v>
      </c>
      <c r="K1119">
        <f t="shared" si="53"/>
        <v>0</v>
      </c>
    </row>
    <row r="1120" spans="1:11" x14ac:dyDescent="0.25">
      <c r="A1120" s="5">
        <v>1866</v>
      </c>
      <c r="B1120" s="3">
        <v>43</v>
      </c>
      <c r="C1120" t="s">
        <v>43</v>
      </c>
      <c r="D1120" t="s">
        <v>49</v>
      </c>
      <c r="E1120" t="s">
        <v>61</v>
      </c>
      <c r="F1120" t="s">
        <v>42</v>
      </c>
      <c r="G1120" s="3">
        <v>6</v>
      </c>
      <c r="I1120" t="str">
        <f t="shared" si="51"/>
        <v>35-44</v>
      </c>
      <c r="J1120" t="str">
        <f t="shared" si="52"/>
        <v>Long Promotion gap</v>
      </c>
      <c r="K1120">
        <f t="shared" si="53"/>
        <v>0</v>
      </c>
    </row>
    <row r="1121" spans="1:11" x14ac:dyDescent="0.25">
      <c r="A1121" s="5">
        <v>1073</v>
      </c>
      <c r="B1121" s="3">
        <v>36</v>
      </c>
      <c r="C1121" t="s">
        <v>43</v>
      </c>
      <c r="D1121" t="s">
        <v>70</v>
      </c>
      <c r="E1121" t="s">
        <v>41</v>
      </c>
      <c r="F1121" t="s">
        <v>42</v>
      </c>
      <c r="G1121" s="3">
        <v>7</v>
      </c>
      <c r="I1121" t="str">
        <f t="shared" si="51"/>
        <v>35-44</v>
      </c>
      <c r="J1121" t="str">
        <f t="shared" si="52"/>
        <v>Long Promotion gap</v>
      </c>
      <c r="K1121">
        <f t="shared" si="53"/>
        <v>0</v>
      </c>
    </row>
    <row r="1122" spans="1:11" x14ac:dyDescent="0.25">
      <c r="A1122" s="5">
        <v>1485</v>
      </c>
      <c r="B1122" s="3">
        <v>34</v>
      </c>
      <c r="C1122" t="s">
        <v>43</v>
      </c>
      <c r="D1122" t="s">
        <v>49</v>
      </c>
      <c r="E1122" t="s">
        <v>52</v>
      </c>
      <c r="F1122" t="s">
        <v>53</v>
      </c>
      <c r="G1122" s="3">
        <v>6</v>
      </c>
      <c r="I1122" t="str">
        <f t="shared" si="51"/>
        <v>25-34</v>
      </c>
      <c r="J1122" t="str">
        <f t="shared" si="52"/>
        <v>Long Promotion gap</v>
      </c>
      <c r="K1122">
        <f t="shared" si="53"/>
        <v>0</v>
      </c>
    </row>
    <row r="1123" spans="1:11" x14ac:dyDescent="0.25">
      <c r="A1123" s="5">
        <v>1630</v>
      </c>
      <c r="B1123" s="3">
        <v>35</v>
      </c>
      <c r="C1123" t="s">
        <v>43</v>
      </c>
      <c r="D1123" t="s">
        <v>35</v>
      </c>
      <c r="E1123" t="s">
        <v>61</v>
      </c>
      <c r="F1123" t="s">
        <v>36</v>
      </c>
      <c r="G1123" s="3">
        <v>2</v>
      </c>
      <c r="I1123" t="str">
        <f t="shared" si="51"/>
        <v>35-44</v>
      </c>
      <c r="J1123" t="str">
        <f t="shared" si="52"/>
        <v>Promoted in 1-3 years</v>
      </c>
      <c r="K1123">
        <f t="shared" si="53"/>
        <v>0</v>
      </c>
    </row>
    <row r="1124" spans="1:11" x14ac:dyDescent="0.25">
      <c r="A1124" s="5">
        <v>899</v>
      </c>
      <c r="B1124" s="3">
        <v>35</v>
      </c>
      <c r="C1124" t="s">
        <v>43</v>
      </c>
      <c r="D1124" t="s">
        <v>49</v>
      </c>
      <c r="E1124" t="s">
        <v>61</v>
      </c>
      <c r="F1124" t="s">
        <v>42</v>
      </c>
      <c r="G1124" s="3">
        <v>4</v>
      </c>
      <c r="I1124" t="str">
        <f t="shared" si="51"/>
        <v>35-44</v>
      </c>
      <c r="J1124" t="str">
        <f t="shared" si="52"/>
        <v>Long Promotion gap</v>
      </c>
      <c r="K1124">
        <f t="shared" si="53"/>
        <v>0</v>
      </c>
    </row>
    <row r="1125" spans="1:11" x14ac:dyDescent="0.25">
      <c r="A1125" s="5">
        <v>1852</v>
      </c>
      <c r="B1125" s="3">
        <v>29</v>
      </c>
      <c r="C1125" t="s">
        <v>43</v>
      </c>
      <c r="D1125" t="s">
        <v>64</v>
      </c>
      <c r="E1125" t="s">
        <v>61</v>
      </c>
      <c r="F1125" t="s">
        <v>42</v>
      </c>
      <c r="G1125" s="3">
        <v>3</v>
      </c>
      <c r="I1125" t="str">
        <f t="shared" si="51"/>
        <v>25-34</v>
      </c>
      <c r="J1125" t="str">
        <f t="shared" si="52"/>
        <v>Promoted in 1-3 years</v>
      </c>
      <c r="K1125">
        <f t="shared" si="53"/>
        <v>0</v>
      </c>
    </row>
    <row r="1126" spans="1:11" x14ac:dyDescent="0.25">
      <c r="A1126" s="5">
        <v>124</v>
      </c>
      <c r="B1126" s="3">
        <v>46</v>
      </c>
      <c r="C1126" t="s">
        <v>43</v>
      </c>
      <c r="D1126" t="s">
        <v>49</v>
      </c>
      <c r="E1126" t="s">
        <v>61</v>
      </c>
      <c r="F1126" t="s">
        <v>36</v>
      </c>
      <c r="G1126" s="3">
        <v>9</v>
      </c>
      <c r="I1126" t="str">
        <f t="shared" si="51"/>
        <v>45-54</v>
      </c>
      <c r="J1126" t="str">
        <f t="shared" si="52"/>
        <v>Long Promotion gap</v>
      </c>
      <c r="K1126">
        <f t="shared" si="53"/>
        <v>0</v>
      </c>
    </row>
    <row r="1127" spans="1:11" x14ac:dyDescent="0.25">
      <c r="A1127" s="5">
        <v>889</v>
      </c>
      <c r="B1127" s="3">
        <v>32</v>
      </c>
      <c r="C1127" t="s">
        <v>43</v>
      </c>
      <c r="D1127" t="s">
        <v>67</v>
      </c>
      <c r="E1127" t="s">
        <v>61</v>
      </c>
      <c r="F1127" t="s">
        <v>36</v>
      </c>
      <c r="G1127" s="3">
        <v>5</v>
      </c>
      <c r="I1127" t="str">
        <f t="shared" si="51"/>
        <v>25-34</v>
      </c>
      <c r="J1127" t="str">
        <f t="shared" si="52"/>
        <v>Long Promotion gap</v>
      </c>
      <c r="K1127">
        <f t="shared" si="53"/>
        <v>0</v>
      </c>
    </row>
    <row r="1128" spans="1:11" x14ac:dyDescent="0.25">
      <c r="A1128" s="5">
        <v>1596</v>
      </c>
      <c r="B1128" s="3">
        <v>35</v>
      </c>
      <c r="C1128" t="s">
        <v>43</v>
      </c>
      <c r="D1128" t="s">
        <v>49</v>
      </c>
      <c r="E1128" t="s">
        <v>61</v>
      </c>
      <c r="F1128" t="s">
        <v>53</v>
      </c>
      <c r="G1128" s="3">
        <v>6</v>
      </c>
      <c r="I1128" t="str">
        <f t="shared" si="51"/>
        <v>35-44</v>
      </c>
      <c r="J1128" t="str">
        <f t="shared" si="52"/>
        <v>Long Promotion gap</v>
      </c>
      <c r="K1128">
        <f t="shared" si="53"/>
        <v>0</v>
      </c>
    </row>
    <row r="1129" spans="1:11" x14ac:dyDescent="0.25">
      <c r="A1129" s="5">
        <v>1472</v>
      </c>
      <c r="B1129" s="3">
        <v>53</v>
      </c>
      <c r="C1129" t="s">
        <v>43</v>
      </c>
      <c r="D1129" t="s">
        <v>49</v>
      </c>
      <c r="E1129" t="s">
        <v>41</v>
      </c>
      <c r="F1129" t="s">
        <v>42</v>
      </c>
      <c r="G1129" s="3">
        <v>8</v>
      </c>
      <c r="I1129" t="str">
        <f t="shared" si="51"/>
        <v>45-54</v>
      </c>
      <c r="J1129" t="str">
        <f t="shared" si="52"/>
        <v>Long Promotion gap</v>
      </c>
      <c r="K1129">
        <f t="shared" si="53"/>
        <v>0</v>
      </c>
    </row>
    <row r="1130" spans="1:11" x14ac:dyDescent="0.25">
      <c r="A1130" s="5">
        <v>1597</v>
      </c>
      <c r="B1130" s="3">
        <v>34</v>
      </c>
      <c r="C1130" t="s">
        <v>43</v>
      </c>
      <c r="D1130" t="s">
        <v>35</v>
      </c>
      <c r="E1130" t="s">
        <v>61</v>
      </c>
      <c r="F1130" t="s">
        <v>36</v>
      </c>
      <c r="G1130" s="3">
        <v>7</v>
      </c>
      <c r="I1130" t="str">
        <f t="shared" si="51"/>
        <v>25-34</v>
      </c>
      <c r="J1130" t="str">
        <f t="shared" si="52"/>
        <v>Long Promotion gap</v>
      </c>
      <c r="K1130">
        <f t="shared" si="53"/>
        <v>0</v>
      </c>
    </row>
    <row r="1131" spans="1:11" x14ac:dyDescent="0.25">
      <c r="A1131" s="5">
        <v>1046</v>
      </c>
      <c r="B1131" s="3">
        <v>32</v>
      </c>
      <c r="C1131" t="s">
        <v>43</v>
      </c>
      <c r="D1131" t="s">
        <v>35</v>
      </c>
      <c r="E1131" t="s">
        <v>41</v>
      </c>
      <c r="F1131" t="s">
        <v>42</v>
      </c>
      <c r="G1131" s="3">
        <v>7</v>
      </c>
      <c r="I1131" t="str">
        <f t="shared" si="51"/>
        <v>25-34</v>
      </c>
      <c r="J1131" t="str">
        <f t="shared" si="52"/>
        <v>Long Promotion gap</v>
      </c>
      <c r="K1131">
        <f t="shared" si="53"/>
        <v>0</v>
      </c>
    </row>
    <row r="1132" spans="1:11" x14ac:dyDescent="0.25">
      <c r="A1132" s="5">
        <v>982</v>
      </c>
      <c r="B1132" s="3">
        <v>30</v>
      </c>
      <c r="C1132" t="s">
        <v>43</v>
      </c>
      <c r="D1132" t="s">
        <v>67</v>
      </c>
      <c r="E1132" t="s">
        <v>52</v>
      </c>
      <c r="F1132" t="s">
        <v>36</v>
      </c>
      <c r="G1132" s="3">
        <v>7</v>
      </c>
      <c r="I1132" t="str">
        <f t="shared" si="51"/>
        <v>25-34</v>
      </c>
      <c r="J1132" t="str">
        <f t="shared" si="52"/>
        <v>Long Promotion gap</v>
      </c>
      <c r="K1132">
        <f t="shared" si="53"/>
        <v>0</v>
      </c>
    </row>
    <row r="1133" spans="1:11" x14ac:dyDescent="0.25">
      <c r="A1133" s="5">
        <v>1576</v>
      </c>
      <c r="B1133" s="3">
        <v>48</v>
      </c>
      <c r="C1133" t="s">
        <v>43</v>
      </c>
      <c r="D1133" t="s">
        <v>35</v>
      </c>
      <c r="E1133" t="s">
        <v>61</v>
      </c>
      <c r="F1133" t="s">
        <v>36</v>
      </c>
      <c r="G1133" s="3">
        <v>7</v>
      </c>
      <c r="I1133" t="str">
        <f t="shared" si="51"/>
        <v>45-54</v>
      </c>
      <c r="J1133" t="str">
        <f t="shared" si="52"/>
        <v>Long Promotion gap</v>
      </c>
      <c r="K1133">
        <f t="shared" si="53"/>
        <v>0</v>
      </c>
    </row>
    <row r="1134" spans="1:11" x14ac:dyDescent="0.25">
      <c r="A1134" s="5">
        <v>1618</v>
      </c>
      <c r="B1134" s="3">
        <v>39</v>
      </c>
      <c r="C1134" t="s">
        <v>43</v>
      </c>
      <c r="D1134" t="s">
        <v>70</v>
      </c>
      <c r="E1134" t="s">
        <v>61</v>
      </c>
      <c r="F1134" t="s">
        <v>50</v>
      </c>
      <c r="G1134" s="3">
        <v>7</v>
      </c>
      <c r="I1134" t="str">
        <f t="shared" si="51"/>
        <v>35-44</v>
      </c>
      <c r="J1134" t="str">
        <f t="shared" si="52"/>
        <v>Long Promotion gap</v>
      </c>
      <c r="K1134">
        <f t="shared" si="53"/>
        <v>0</v>
      </c>
    </row>
    <row r="1135" spans="1:11" x14ac:dyDescent="0.25">
      <c r="A1135" s="5">
        <v>1152</v>
      </c>
      <c r="B1135" s="3">
        <v>38</v>
      </c>
      <c r="C1135" t="s">
        <v>43</v>
      </c>
      <c r="D1135" t="s">
        <v>49</v>
      </c>
      <c r="E1135" t="s">
        <v>61</v>
      </c>
      <c r="F1135" t="s">
        <v>36</v>
      </c>
      <c r="G1135" s="3">
        <v>5</v>
      </c>
      <c r="I1135" t="str">
        <f t="shared" si="51"/>
        <v>35-44</v>
      </c>
      <c r="J1135" t="str">
        <f t="shared" si="52"/>
        <v>Long Promotion gap</v>
      </c>
      <c r="K1135">
        <f t="shared" si="53"/>
        <v>0</v>
      </c>
    </row>
    <row r="1136" spans="1:11" x14ac:dyDescent="0.25">
      <c r="A1136" s="5">
        <v>199</v>
      </c>
      <c r="B1136" s="3">
        <v>41</v>
      </c>
      <c r="C1136" t="s">
        <v>43</v>
      </c>
      <c r="D1136" t="s">
        <v>49</v>
      </c>
      <c r="E1136" t="s">
        <v>52</v>
      </c>
      <c r="F1136" t="s">
        <v>36</v>
      </c>
      <c r="G1136" s="3">
        <v>3</v>
      </c>
      <c r="I1136" t="str">
        <f t="shared" si="51"/>
        <v>35-44</v>
      </c>
      <c r="J1136" t="str">
        <f t="shared" si="52"/>
        <v>Promoted in 1-3 years</v>
      </c>
      <c r="K1136">
        <f t="shared" si="53"/>
        <v>0</v>
      </c>
    </row>
    <row r="1137" spans="1:11" x14ac:dyDescent="0.25">
      <c r="A1137" s="5">
        <v>1314</v>
      </c>
      <c r="B1137" s="3">
        <v>46</v>
      </c>
      <c r="C1137" t="s">
        <v>43</v>
      </c>
      <c r="D1137" t="s">
        <v>67</v>
      </c>
      <c r="E1137" t="s">
        <v>41</v>
      </c>
      <c r="F1137" t="s">
        <v>42</v>
      </c>
      <c r="G1137" s="3">
        <v>5</v>
      </c>
      <c r="I1137" t="str">
        <f t="shared" si="51"/>
        <v>45-54</v>
      </c>
      <c r="J1137" t="str">
        <f t="shared" si="52"/>
        <v>Long Promotion gap</v>
      </c>
      <c r="K1137">
        <f t="shared" si="53"/>
        <v>0</v>
      </c>
    </row>
    <row r="1138" spans="1:11" x14ac:dyDescent="0.25">
      <c r="A1138" s="5">
        <v>888</v>
      </c>
      <c r="B1138" s="3">
        <v>24</v>
      </c>
      <c r="C1138" t="s">
        <v>43</v>
      </c>
      <c r="D1138" t="s">
        <v>64</v>
      </c>
      <c r="E1138" t="s">
        <v>61</v>
      </c>
      <c r="F1138" t="s">
        <v>42</v>
      </c>
      <c r="G1138" s="3">
        <v>3</v>
      </c>
      <c r="I1138" t="str">
        <f t="shared" si="51"/>
        <v>18-24</v>
      </c>
      <c r="J1138" t="str">
        <f t="shared" si="52"/>
        <v>Promoted in 1-3 years</v>
      </c>
      <c r="K1138">
        <f t="shared" si="53"/>
        <v>0</v>
      </c>
    </row>
    <row r="1139" spans="1:11" x14ac:dyDescent="0.25">
      <c r="A1139" s="5">
        <v>277</v>
      </c>
      <c r="B1139" s="3">
        <v>34</v>
      </c>
      <c r="C1139" t="s">
        <v>43</v>
      </c>
      <c r="D1139" t="s">
        <v>35</v>
      </c>
      <c r="E1139" t="s">
        <v>52</v>
      </c>
      <c r="F1139" t="s">
        <v>36</v>
      </c>
      <c r="G1139" s="3">
        <v>2</v>
      </c>
      <c r="I1139" t="str">
        <f t="shared" si="51"/>
        <v>25-34</v>
      </c>
      <c r="J1139" t="str">
        <f t="shared" si="52"/>
        <v>Promoted in 1-3 years</v>
      </c>
      <c r="K1139">
        <f t="shared" si="53"/>
        <v>0</v>
      </c>
    </row>
    <row r="1140" spans="1:11" x14ac:dyDescent="0.25">
      <c r="A1140" s="5">
        <v>1191</v>
      </c>
      <c r="B1140" s="3">
        <v>56</v>
      </c>
      <c r="C1140" t="s">
        <v>43</v>
      </c>
      <c r="D1140" t="s">
        <v>35</v>
      </c>
      <c r="E1140" t="s">
        <v>52</v>
      </c>
      <c r="F1140" t="s">
        <v>36</v>
      </c>
      <c r="G1140" s="3">
        <v>4</v>
      </c>
      <c r="I1140" t="str">
        <f t="shared" si="51"/>
        <v>55-60</v>
      </c>
      <c r="J1140" t="str">
        <f t="shared" si="52"/>
        <v>Long Promotion gap</v>
      </c>
      <c r="K1140">
        <f t="shared" si="53"/>
        <v>0</v>
      </c>
    </row>
    <row r="1141" spans="1:11" x14ac:dyDescent="0.25">
      <c r="A1141" s="5">
        <v>1391</v>
      </c>
      <c r="B1141" s="3">
        <v>51</v>
      </c>
      <c r="C1141" t="s">
        <v>43</v>
      </c>
      <c r="D1141" t="s">
        <v>49</v>
      </c>
      <c r="E1141" t="s">
        <v>61</v>
      </c>
      <c r="F1141" t="s">
        <v>42</v>
      </c>
      <c r="G1141" s="3">
        <v>3</v>
      </c>
      <c r="I1141" t="str">
        <f t="shared" si="51"/>
        <v>45-54</v>
      </c>
      <c r="J1141" t="str">
        <f t="shared" si="52"/>
        <v>Promoted in 1-3 years</v>
      </c>
      <c r="K1141">
        <f t="shared" si="53"/>
        <v>0</v>
      </c>
    </row>
    <row r="1142" spans="1:11" x14ac:dyDescent="0.25">
      <c r="A1142" s="5">
        <v>1833</v>
      </c>
      <c r="B1142" s="3">
        <v>31</v>
      </c>
      <c r="C1142" t="s">
        <v>43</v>
      </c>
      <c r="D1142" t="s">
        <v>35</v>
      </c>
      <c r="E1142" t="s">
        <v>61</v>
      </c>
      <c r="F1142" t="s">
        <v>53</v>
      </c>
      <c r="G1142" s="3">
        <v>2</v>
      </c>
      <c r="I1142" t="str">
        <f t="shared" si="51"/>
        <v>25-34</v>
      </c>
      <c r="J1142" t="str">
        <f t="shared" si="52"/>
        <v>Promoted in 1-3 years</v>
      </c>
      <c r="K1142">
        <f t="shared" si="53"/>
        <v>0</v>
      </c>
    </row>
    <row r="1143" spans="1:11" x14ac:dyDescent="0.25">
      <c r="A1143" s="5">
        <v>1479</v>
      </c>
      <c r="B1143" s="3">
        <v>30</v>
      </c>
      <c r="C1143" t="s">
        <v>43</v>
      </c>
      <c r="D1143" t="s">
        <v>64</v>
      </c>
      <c r="E1143" t="s">
        <v>61</v>
      </c>
      <c r="F1143" t="s">
        <v>53</v>
      </c>
      <c r="G1143" s="3">
        <v>2</v>
      </c>
      <c r="I1143" t="str">
        <f t="shared" si="51"/>
        <v>25-34</v>
      </c>
      <c r="J1143" t="str">
        <f t="shared" si="52"/>
        <v>Promoted in 1-3 years</v>
      </c>
      <c r="K1143">
        <f t="shared" si="53"/>
        <v>0</v>
      </c>
    </row>
    <row r="1144" spans="1:11" x14ac:dyDescent="0.25">
      <c r="A1144" s="5">
        <v>738</v>
      </c>
      <c r="B1144" s="3">
        <v>50</v>
      </c>
      <c r="C1144" t="s">
        <v>43</v>
      </c>
      <c r="D1144" t="s">
        <v>35</v>
      </c>
      <c r="E1144" t="s">
        <v>61</v>
      </c>
      <c r="F1144" t="s">
        <v>36</v>
      </c>
      <c r="G1144" s="3">
        <v>2</v>
      </c>
      <c r="I1144" t="str">
        <f t="shared" si="51"/>
        <v>45-54</v>
      </c>
      <c r="J1144" t="str">
        <f t="shared" si="52"/>
        <v>Promoted in 1-3 years</v>
      </c>
      <c r="K1144">
        <f t="shared" si="53"/>
        <v>0</v>
      </c>
    </row>
    <row r="1145" spans="1:11" x14ac:dyDescent="0.25">
      <c r="A1145" s="5">
        <v>1560</v>
      </c>
      <c r="B1145" s="3">
        <v>33</v>
      </c>
      <c r="C1145" t="s">
        <v>43</v>
      </c>
      <c r="D1145" t="s">
        <v>35</v>
      </c>
      <c r="E1145" t="s">
        <v>61</v>
      </c>
      <c r="F1145" t="s">
        <v>36</v>
      </c>
      <c r="G1145" s="3">
        <v>2</v>
      </c>
      <c r="I1145" t="str">
        <f t="shared" si="51"/>
        <v>25-34</v>
      </c>
      <c r="J1145" t="str">
        <f t="shared" si="52"/>
        <v>Promoted in 1-3 years</v>
      </c>
      <c r="K1145">
        <f t="shared" si="53"/>
        <v>0</v>
      </c>
    </row>
    <row r="1146" spans="1:11" x14ac:dyDescent="0.25">
      <c r="A1146" s="5">
        <v>475</v>
      </c>
      <c r="B1146" s="3">
        <v>30</v>
      </c>
      <c r="C1146" t="s">
        <v>43</v>
      </c>
      <c r="D1146" t="s">
        <v>67</v>
      </c>
      <c r="E1146" t="s">
        <v>61</v>
      </c>
      <c r="F1146" t="s">
        <v>36</v>
      </c>
      <c r="G1146" s="3">
        <v>2</v>
      </c>
      <c r="I1146" t="str">
        <f t="shared" si="51"/>
        <v>25-34</v>
      </c>
      <c r="J1146" t="str">
        <f t="shared" si="52"/>
        <v>Promoted in 1-3 years</v>
      </c>
      <c r="K1146">
        <f t="shared" si="53"/>
        <v>0</v>
      </c>
    </row>
    <row r="1147" spans="1:11" x14ac:dyDescent="0.25">
      <c r="A1147" s="5">
        <v>329</v>
      </c>
      <c r="B1147" s="3">
        <v>52</v>
      </c>
      <c r="C1147" t="s">
        <v>43</v>
      </c>
      <c r="D1147" t="s">
        <v>35</v>
      </c>
      <c r="E1147" t="s">
        <v>41</v>
      </c>
      <c r="F1147" t="s">
        <v>42</v>
      </c>
      <c r="G1147" s="3">
        <v>15</v>
      </c>
      <c r="I1147" t="str">
        <f t="shared" si="51"/>
        <v>45-54</v>
      </c>
      <c r="J1147" t="str">
        <f t="shared" si="52"/>
        <v>Long Promotion gap</v>
      </c>
      <c r="K1147">
        <f t="shared" si="53"/>
        <v>0</v>
      </c>
    </row>
    <row r="1148" spans="1:11" x14ac:dyDescent="0.25">
      <c r="A1148" s="5">
        <v>1539</v>
      </c>
      <c r="B1148" s="3">
        <v>50</v>
      </c>
      <c r="C1148" t="s">
        <v>43</v>
      </c>
      <c r="D1148" t="s">
        <v>70</v>
      </c>
      <c r="E1148" t="s">
        <v>41</v>
      </c>
      <c r="F1148" t="s">
        <v>42</v>
      </c>
      <c r="G1148" s="3">
        <v>13</v>
      </c>
      <c r="I1148" t="str">
        <f t="shared" si="51"/>
        <v>45-54</v>
      </c>
      <c r="J1148" t="str">
        <f t="shared" si="52"/>
        <v>Long Promotion gap</v>
      </c>
      <c r="K1148">
        <f t="shared" si="53"/>
        <v>0</v>
      </c>
    </row>
    <row r="1149" spans="1:11" x14ac:dyDescent="0.25">
      <c r="A1149" s="5">
        <v>644</v>
      </c>
      <c r="B1149" s="3">
        <v>50</v>
      </c>
      <c r="C1149" t="s">
        <v>43</v>
      </c>
      <c r="D1149" t="s">
        <v>49</v>
      </c>
      <c r="E1149" t="s">
        <v>61</v>
      </c>
      <c r="F1149" t="s">
        <v>36</v>
      </c>
      <c r="G1149" s="3">
        <v>10</v>
      </c>
      <c r="I1149" t="str">
        <f t="shared" si="51"/>
        <v>45-54</v>
      </c>
      <c r="J1149" t="str">
        <f t="shared" si="52"/>
        <v>Long Promotion gap</v>
      </c>
      <c r="K1149">
        <f t="shared" si="53"/>
        <v>0</v>
      </c>
    </row>
    <row r="1150" spans="1:11" x14ac:dyDescent="0.25">
      <c r="A1150" s="5">
        <v>1606</v>
      </c>
      <c r="B1150" s="3">
        <v>50</v>
      </c>
      <c r="C1150" t="s">
        <v>43</v>
      </c>
      <c r="D1150" t="s">
        <v>70</v>
      </c>
      <c r="E1150" t="s">
        <v>61</v>
      </c>
      <c r="F1150" t="s">
        <v>36</v>
      </c>
      <c r="G1150" s="3">
        <v>12</v>
      </c>
      <c r="I1150" t="str">
        <f t="shared" si="51"/>
        <v>45-54</v>
      </c>
      <c r="J1150" t="str">
        <f t="shared" si="52"/>
        <v>Long Promotion gap</v>
      </c>
      <c r="K1150">
        <f t="shared" si="53"/>
        <v>0</v>
      </c>
    </row>
    <row r="1151" spans="1:11" x14ac:dyDescent="0.25">
      <c r="A1151" s="5">
        <v>158</v>
      </c>
      <c r="B1151" s="3">
        <v>43</v>
      </c>
      <c r="C1151" t="s">
        <v>43</v>
      </c>
      <c r="D1151" t="s">
        <v>67</v>
      </c>
      <c r="E1151" t="s">
        <v>61</v>
      </c>
      <c r="F1151" t="s">
        <v>53</v>
      </c>
      <c r="G1151" s="3">
        <v>4</v>
      </c>
      <c r="I1151" t="str">
        <f t="shared" si="51"/>
        <v>35-44</v>
      </c>
      <c r="J1151" t="str">
        <f t="shared" si="52"/>
        <v>Long Promotion gap</v>
      </c>
      <c r="K1151">
        <f t="shared" si="53"/>
        <v>0</v>
      </c>
    </row>
    <row r="1152" spans="1:11" x14ac:dyDescent="0.25">
      <c r="A1152" s="5">
        <v>809</v>
      </c>
      <c r="B1152" s="3">
        <v>42</v>
      </c>
      <c r="C1152" t="s">
        <v>43</v>
      </c>
      <c r="D1152" t="s">
        <v>49</v>
      </c>
      <c r="E1152" t="s">
        <v>52</v>
      </c>
      <c r="F1152" t="s">
        <v>36</v>
      </c>
      <c r="G1152" s="3">
        <v>14</v>
      </c>
      <c r="I1152" t="str">
        <f t="shared" si="51"/>
        <v>35-44</v>
      </c>
      <c r="J1152" t="str">
        <f t="shared" si="52"/>
        <v>Long Promotion gap</v>
      </c>
      <c r="K1152">
        <f t="shared" si="53"/>
        <v>0</v>
      </c>
    </row>
    <row r="1153" spans="1:11" x14ac:dyDescent="0.25">
      <c r="A1153" s="5">
        <v>425</v>
      </c>
      <c r="B1153" s="3">
        <v>45</v>
      </c>
      <c r="C1153" t="s">
        <v>43</v>
      </c>
      <c r="D1153" t="s">
        <v>49</v>
      </c>
      <c r="E1153" t="s">
        <v>52</v>
      </c>
      <c r="F1153" t="s">
        <v>36</v>
      </c>
      <c r="G1153" s="3">
        <v>9</v>
      </c>
      <c r="I1153" t="str">
        <f t="shared" si="51"/>
        <v>45-54</v>
      </c>
      <c r="J1153" t="str">
        <f t="shared" si="52"/>
        <v>Long Promotion gap</v>
      </c>
      <c r="K1153">
        <f t="shared" si="53"/>
        <v>0</v>
      </c>
    </row>
    <row r="1154" spans="1:11" x14ac:dyDescent="0.25">
      <c r="A1154" s="5">
        <v>746</v>
      </c>
      <c r="B1154" s="3">
        <v>47</v>
      </c>
      <c r="C1154" t="s">
        <v>43</v>
      </c>
      <c r="D1154" t="s">
        <v>49</v>
      </c>
      <c r="E1154" t="s">
        <v>52</v>
      </c>
      <c r="F1154" t="s">
        <v>53</v>
      </c>
      <c r="G1154" s="3">
        <v>11</v>
      </c>
      <c r="I1154" t="str">
        <f t="shared" si="51"/>
        <v>45-54</v>
      </c>
      <c r="J1154" t="str">
        <f t="shared" si="52"/>
        <v>Long Promotion gap</v>
      </c>
      <c r="K1154">
        <f t="shared" si="53"/>
        <v>0</v>
      </c>
    </row>
    <row r="1155" spans="1:11" x14ac:dyDescent="0.25">
      <c r="A1155" s="5">
        <v>1900</v>
      </c>
      <c r="B1155" s="3">
        <v>48</v>
      </c>
      <c r="C1155" t="s">
        <v>43</v>
      </c>
      <c r="D1155" t="s">
        <v>49</v>
      </c>
      <c r="E1155" t="s">
        <v>52</v>
      </c>
      <c r="F1155" t="s">
        <v>36</v>
      </c>
      <c r="G1155" s="3">
        <v>4</v>
      </c>
      <c r="I1155" t="str">
        <f t="shared" ref="I1155:I1218" si="54">IF(B1155&lt;=24, "18-24", IF(B1155&lt;=34,"25-34", IF(B1155&lt;=44,"35-44", IF(B1155&lt;=54,"45-54", IF(B1155&lt;=60, "55-60")))))</f>
        <v>45-54</v>
      </c>
      <c r="J1155" t="str">
        <f t="shared" ref="J1155:J1218" si="55">IF(G1155&lt;=0,"Recently promoted",IF(G1155&lt;=3,"Promoted in 1-3 years","Long Promotion gap"))</f>
        <v>Long Promotion gap</v>
      </c>
      <c r="K1155">
        <f t="shared" ref="K1155:K1218" si="56">IF(C1155="Yes", 1, 0)</f>
        <v>0</v>
      </c>
    </row>
    <row r="1156" spans="1:11" x14ac:dyDescent="0.25">
      <c r="A1156" s="5">
        <v>1043</v>
      </c>
      <c r="B1156" s="3">
        <v>39</v>
      </c>
      <c r="C1156" t="s">
        <v>43</v>
      </c>
      <c r="D1156" t="s">
        <v>49</v>
      </c>
      <c r="E1156" t="s">
        <v>41</v>
      </c>
      <c r="F1156" t="s">
        <v>42</v>
      </c>
      <c r="G1156" s="3">
        <v>2</v>
      </c>
      <c r="I1156" t="str">
        <f t="shared" si="54"/>
        <v>35-44</v>
      </c>
      <c r="J1156" t="str">
        <f t="shared" si="55"/>
        <v>Promoted in 1-3 years</v>
      </c>
      <c r="K1156">
        <f t="shared" si="56"/>
        <v>0</v>
      </c>
    </row>
    <row r="1157" spans="1:11" x14ac:dyDescent="0.25">
      <c r="A1157" s="5">
        <v>444</v>
      </c>
      <c r="B1157" s="3">
        <v>39</v>
      </c>
      <c r="C1157" t="s">
        <v>43</v>
      </c>
      <c r="D1157" t="s">
        <v>67</v>
      </c>
      <c r="E1157" t="s">
        <v>61</v>
      </c>
      <c r="F1157" t="s">
        <v>36</v>
      </c>
      <c r="G1157" s="3">
        <v>13</v>
      </c>
      <c r="I1157" t="str">
        <f t="shared" si="54"/>
        <v>35-44</v>
      </c>
      <c r="J1157" t="str">
        <f t="shared" si="55"/>
        <v>Long Promotion gap</v>
      </c>
      <c r="K1157">
        <f t="shared" si="56"/>
        <v>0</v>
      </c>
    </row>
    <row r="1158" spans="1:11" x14ac:dyDescent="0.25">
      <c r="A1158" s="5">
        <v>1334</v>
      </c>
      <c r="B1158" s="3">
        <v>42</v>
      </c>
      <c r="C1158" t="s">
        <v>43</v>
      </c>
      <c r="D1158" t="s">
        <v>64</v>
      </c>
      <c r="E1158" t="s">
        <v>61</v>
      </c>
      <c r="F1158" t="s">
        <v>42</v>
      </c>
      <c r="G1158" s="3">
        <v>2</v>
      </c>
      <c r="I1158" t="str">
        <f t="shared" si="54"/>
        <v>35-44</v>
      </c>
      <c r="J1158" t="str">
        <f t="shared" si="55"/>
        <v>Promoted in 1-3 years</v>
      </c>
      <c r="K1158">
        <f t="shared" si="56"/>
        <v>0</v>
      </c>
    </row>
    <row r="1159" spans="1:11" x14ac:dyDescent="0.25">
      <c r="A1159" s="5">
        <v>1547</v>
      </c>
      <c r="B1159" s="3">
        <v>42</v>
      </c>
      <c r="C1159" t="s">
        <v>43</v>
      </c>
      <c r="D1159" t="s">
        <v>49</v>
      </c>
      <c r="E1159" t="s">
        <v>61</v>
      </c>
      <c r="F1159" t="s">
        <v>36</v>
      </c>
      <c r="G1159" s="3">
        <v>13</v>
      </c>
      <c r="I1159" t="str">
        <f t="shared" si="54"/>
        <v>35-44</v>
      </c>
      <c r="J1159" t="str">
        <f t="shared" si="55"/>
        <v>Long Promotion gap</v>
      </c>
      <c r="K1159">
        <f t="shared" si="56"/>
        <v>0</v>
      </c>
    </row>
    <row r="1160" spans="1:11" x14ac:dyDescent="0.25">
      <c r="A1160" s="5">
        <v>202</v>
      </c>
      <c r="B1160" s="3">
        <v>40</v>
      </c>
      <c r="C1160" t="s">
        <v>43</v>
      </c>
      <c r="D1160" t="s">
        <v>49</v>
      </c>
      <c r="E1160" t="s">
        <v>52</v>
      </c>
      <c r="F1160" t="s">
        <v>36</v>
      </c>
      <c r="G1160" s="3">
        <v>2</v>
      </c>
      <c r="I1160" t="str">
        <f t="shared" si="54"/>
        <v>35-44</v>
      </c>
      <c r="J1160" t="str">
        <f t="shared" si="55"/>
        <v>Promoted in 1-3 years</v>
      </c>
      <c r="K1160">
        <f t="shared" si="56"/>
        <v>0</v>
      </c>
    </row>
    <row r="1161" spans="1:11" x14ac:dyDescent="0.25">
      <c r="A1161" s="5">
        <v>1976</v>
      </c>
      <c r="B1161" s="3">
        <v>42</v>
      </c>
      <c r="C1161" t="s">
        <v>43</v>
      </c>
      <c r="D1161" t="s">
        <v>67</v>
      </c>
      <c r="E1161" t="s">
        <v>41</v>
      </c>
      <c r="F1161" t="s">
        <v>42</v>
      </c>
      <c r="G1161" s="3">
        <v>3</v>
      </c>
      <c r="I1161" t="str">
        <f t="shared" si="54"/>
        <v>35-44</v>
      </c>
      <c r="J1161" t="str">
        <f t="shared" si="55"/>
        <v>Promoted in 1-3 years</v>
      </c>
      <c r="K1161">
        <f t="shared" si="56"/>
        <v>0</v>
      </c>
    </row>
    <row r="1162" spans="1:11" x14ac:dyDescent="0.25">
      <c r="A1162" s="5">
        <v>404</v>
      </c>
      <c r="B1162" s="3">
        <v>42</v>
      </c>
      <c r="C1162" t="s">
        <v>43</v>
      </c>
      <c r="D1162" t="s">
        <v>49</v>
      </c>
      <c r="E1162" t="s">
        <v>61</v>
      </c>
      <c r="F1162" t="s">
        <v>36</v>
      </c>
      <c r="G1162" s="3">
        <v>4</v>
      </c>
      <c r="I1162" t="str">
        <f t="shared" si="54"/>
        <v>35-44</v>
      </c>
      <c r="J1162" t="str">
        <f t="shared" si="55"/>
        <v>Long Promotion gap</v>
      </c>
      <c r="K1162">
        <f t="shared" si="56"/>
        <v>0</v>
      </c>
    </row>
    <row r="1163" spans="1:11" x14ac:dyDescent="0.25">
      <c r="A1163" s="5">
        <v>987</v>
      </c>
      <c r="B1163" s="3">
        <v>47</v>
      </c>
      <c r="C1163" t="s">
        <v>43</v>
      </c>
      <c r="D1163" t="s">
        <v>35</v>
      </c>
      <c r="E1163" t="s">
        <v>52</v>
      </c>
      <c r="F1163" t="s">
        <v>42</v>
      </c>
      <c r="G1163" s="3">
        <v>2</v>
      </c>
      <c r="I1163" t="str">
        <f t="shared" si="54"/>
        <v>45-54</v>
      </c>
      <c r="J1163" t="str">
        <f t="shared" si="55"/>
        <v>Promoted in 1-3 years</v>
      </c>
      <c r="K1163">
        <f t="shared" si="56"/>
        <v>0</v>
      </c>
    </row>
    <row r="1164" spans="1:11" x14ac:dyDescent="0.25">
      <c r="A1164" s="5">
        <v>302</v>
      </c>
      <c r="B1164" s="3">
        <v>45</v>
      </c>
      <c r="C1164" t="s">
        <v>43</v>
      </c>
      <c r="D1164" t="s">
        <v>49</v>
      </c>
      <c r="E1164" t="s">
        <v>41</v>
      </c>
      <c r="F1164" t="s">
        <v>42</v>
      </c>
      <c r="G1164" s="3">
        <v>12</v>
      </c>
      <c r="I1164" t="str">
        <f t="shared" si="54"/>
        <v>45-54</v>
      </c>
      <c r="J1164" t="str">
        <f t="shared" si="55"/>
        <v>Long Promotion gap</v>
      </c>
      <c r="K1164">
        <f t="shared" si="56"/>
        <v>0</v>
      </c>
    </row>
    <row r="1165" spans="1:11" x14ac:dyDescent="0.25">
      <c r="A1165" s="5">
        <v>1329</v>
      </c>
      <c r="B1165" s="3">
        <v>41</v>
      </c>
      <c r="C1165" t="s">
        <v>43</v>
      </c>
      <c r="D1165" t="s">
        <v>67</v>
      </c>
      <c r="E1165" t="s">
        <v>41</v>
      </c>
      <c r="F1165" t="s">
        <v>42</v>
      </c>
      <c r="G1165" s="3">
        <v>11</v>
      </c>
      <c r="I1165" t="str">
        <f t="shared" si="54"/>
        <v>35-44</v>
      </c>
      <c r="J1165" t="str">
        <f t="shared" si="55"/>
        <v>Long Promotion gap</v>
      </c>
      <c r="K1165">
        <f t="shared" si="56"/>
        <v>0</v>
      </c>
    </row>
    <row r="1166" spans="1:11" x14ac:dyDescent="0.25">
      <c r="A1166" s="5">
        <v>573</v>
      </c>
      <c r="B1166" s="3">
        <v>60</v>
      </c>
      <c r="C1166" t="s">
        <v>43</v>
      </c>
      <c r="D1166" t="s">
        <v>49</v>
      </c>
      <c r="E1166" t="s">
        <v>61</v>
      </c>
      <c r="F1166" t="s">
        <v>42</v>
      </c>
      <c r="G1166" s="3">
        <v>13</v>
      </c>
      <c r="I1166" t="str">
        <f t="shared" si="54"/>
        <v>55-60</v>
      </c>
      <c r="J1166" t="str">
        <f t="shared" si="55"/>
        <v>Long Promotion gap</v>
      </c>
      <c r="K1166">
        <f t="shared" si="56"/>
        <v>0</v>
      </c>
    </row>
    <row r="1167" spans="1:11" x14ac:dyDescent="0.25">
      <c r="A1167" s="5">
        <v>73</v>
      </c>
      <c r="B1167" s="3">
        <v>33</v>
      </c>
      <c r="C1167" t="s">
        <v>43</v>
      </c>
      <c r="D1167" t="s">
        <v>67</v>
      </c>
      <c r="E1167" t="s">
        <v>41</v>
      </c>
      <c r="F1167" t="s">
        <v>42</v>
      </c>
      <c r="G1167" s="3">
        <v>8</v>
      </c>
      <c r="I1167" t="str">
        <f t="shared" si="54"/>
        <v>25-34</v>
      </c>
      <c r="J1167" t="str">
        <f t="shared" si="55"/>
        <v>Long Promotion gap</v>
      </c>
      <c r="K1167">
        <f t="shared" si="56"/>
        <v>0</v>
      </c>
    </row>
    <row r="1168" spans="1:11" x14ac:dyDescent="0.25">
      <c r="A1168" s="5">
        <v>1050</v>
      </c>
      <c r="B1168" s="3">
        <v>53</v>
      </c>
      <c r="C1168" t="s">
        <v>43</v>
      </c>
      <c r="D1168" t="s">
        <v>49</v>
      </c>
      <c r="E1168" t="s">
        <v>61</v>
      </c>
      <c r="F1168" t="s">
        <v>36</v>
      </c>
      <c r="G1168" s="3">
        <v>6</v>
      </c>
      <c r="I1168" t="str">
        <f t="shared" si="54"/>
        <v>45-54</v>
      </c>
      <c r="J1168" t="str">
        <f t="shared" si="55"/>
        <v>Long Promotion gap</v>
      </c>
      <c r="K1168">
        <f t="shared" si="56"/>
        <v>0</v>
      </c>
    </row>
    <row r="1169" spans="1:11" x14ac:dyDescent="0.25">
      <c r="A1169" s="5">
        <v>803</v>
      </c>
      <c r="B1169" s="3">
        <v>38</v>
      </c>
      <c r="C1169" t="s">
        <v>43</v>
      </c>
      <c r="D1169" t="s">
        <v>35</v>
      </c>
      <c r="E1169" t="s">
        <v>41</v>
      </c>
      <c r="F1169" t="s">
        <v>42</v>
      </c>
      <c r="G1169" s="3">
        <v>4</v>
      </c>
      <c r="I1169" t="str">
        <f t="shared" si="54"/>
        <v>35-44</v>
      </c>
      <c r="J1169" t="str">
        <f t="shared" si="55"/>
        <v>Long Promotion gap</v>
      </c>
      <c r="K1169">
        <f t="shared" si="56"/>
        <v>0</v>
      </c>
    </row>
    <row r="1170" spans="1:11" x14ac:dyDescent="0.25">
      <c r="A1170" s="5">
        <v>1362</v>
      </c>
      <c r="B1170" s="3">
        <v>36</v>
      </c>
      <c r="C1170" t="s">
        <v>43</v>
      </c>
      <c r="D1170" t="s">
        <v>49</v>
      </c>
      <c r="E1170" t="s">
        <v>61</v>
      </c>
      <c r="F1170" t="s">
        <v>36</v>
      </c>
      <c r="G1170" s="3">
        <v>6</v>
      </c>
      <c r="I1170" t="str">
        <f t="shared" si="54"/>
        <v>35-44</v>
      </c>
      <c r="J1170" t="str">
        <f t="shared" si="55"/>
        <v>Long Promotion gap</v>
      </c>
      <c r="K1170">
        <f t="shared" si="56"/>
        <v>0</v>
      </c>
    </row>
    <row r="1171" spans="1:11" x14ac:dyDescent="0.25">
      <c r="A1171" s="5">
        <v>1117</v>
      </c>
      <c r="B1171" s="3">
        <v>45</v>
      </c>
      <c r="C1171" t="s">
        <v>43</v>
      </c>
      <c r="D1171" t="s">
        <v>35</v>
      </c>
      <c r="E1171" t="s">
        <v>61</v>
      </c>
      <c r="F1171" t="s">
        <v>36</v>
      </c>
      <c r="G1171" s="3">
        <v>4</v>
      </c>
      <c r="I1171" t="str">
        <f t="shared" si="54"/>
        <v>45-54</v>
      </c>
      <c r="J1171" t="str">
        <f t="shared" si="55"/>
        <v>Long Promotion gap</v>
      </c>
      <c r="K1171">
        <f t="shared" si="56"/>
        <v>0</v>
      </c>
    </row>
    <row r="1172" spans="1:11" x14ac:dyDescent="0.25">
      <c r="A1172" s="5">
        <v>1932</v>
      </c>
      <c r="B1172" s="3">
        <v>34</v>
      </c>
      <c r="C1172" t="s">
        <v>43</v>
      </c>
      <c r="D1172" t="s">
        <v>35</v>
      </c>
      <c r="E1172" t="s">
        <v>61</v>
      </c>
      <c r="F1172" t="s">
        <v>42</v>
      </c>
      <c r="G1172" s="3">
        <v>6</v>
      </c>
      <c r="I1172" t="str">
        <f t="shared" si="54"/>
        <v>25-34</v>
      </c>
      <c r="J1172" t="str">
        <f t="shared" si="55"/>
        <v>Long Promotion gap</v>
      </c>
      <c r="K1172">
        <f t="shared" si="56"/>
        <v>0</v>
      </c>
    </row>
    <row r="1173" spans="1:11" x14ac:dyDescent="0.25">
      <c r="A1173" s="5">
        <v>1243</v>
      </c>
      <c r="B1173" s="3">
        <v>35</v>
      </c>
      <c r="C1173" t="s">
        <v>43</v>
      </c>
      <c r="D1173" t="s">
        <v>67</v>
      </c>
      <c r="E1173" t="s">
        <v>61</v>
      </c>
      <c r="F1173" t="s">
        <v>36</v>
      </c>
      <c r="G1173" s="3">
        <v>4</v>
      </c>
      <c r="I1173" t="str">
        <f t="shared" si="54"/>
        <v>35-44</v>
      </c>
      <c r="J1173" t="str">
        <f t="shared" si="55"/>
        <v>Long Promotion gap</v>
      </c>
      <c r="K1173">
        <f t="shared" si="56"/>
        <v>0</v>
      </c>
    </row>
    <row r="1174" spans="1:11" x14ac:dyDescent="0.25">
      <c r="A1174" s="5">
        <v>529</v>
      </c>
      <c r="B1174" s="3">
        <v>37</v>
      </c>
      <c r="C1174" t="s">
        <v>43</v>
      </c>
      <c r="D1174" t="s">
        <v>70</v>
      </c>
      <c r="E1174" t="s">
        <v>61</v>
      </c>
      <c r="F1174" t="s">
        <v>53</v>
      </c>
      <c r="G1174" s="3">
        <v>10</v>
      </c>
      <c r="I1174" t="str">
        <f t="shared" si="54"/>
        <v>35-44</v>
      </c>
      <c r="J1174" t="str">
        <f t="shared" si="55"/>
        <v>Long Promotion gap</v>
      </c>
      <c r="K1174">
        <f t="shared" si="56"/>
        <v>0</v>
      </c>
    </row>
    <row r="1175" spans="1:11" x14ac:dyDescent="0.25">
      <c r="A1175" s="5">
        <v>1668</v>
      </c>
      <c r="B1175" s="3">
        <v>38</v>
      </c>
      <c r="C1175" t="s">
        <v>43</v>
      </c>
      <c r="D1175" t="s">
        <v>49</v>
      </c>
      <c r="E1175" t="s">
        <v>61</v>
      </c>
      <c r="F1175" t="s">
        <v>53</v>
      </c>
      <c r="G1175" s="3">
        <v>2</v>
      </c>
      <c r="I1175" t="str">
        <f t="shared" si="54"/>
        <v>35-44</v>
      </c>
      <c r="J1175" t="str">
        <f t="shared" si="55"/>
        <v>Promoted in 1-3 years</v>
      </c>
      <c r="K1175">
        <f t="shared" si="56"/>
        <v>0</v>
      </c>
    </row>
    <row r="1176" spans="1:11" x14ac:dyDescent="0.25">
      <c r="A1176" s="5">
        <v>2000</v>
      </c>
      <c r="B1176" s="3">
        <v>47</v>
      </c>
      <c r="C1176" t="s">
        <v>43</v>
      </c>
      <c r="D1176" t="s">
        <v>64</v>
      </c>
      <c r="E1176" t="s">
        <v>61</v>
      </c>
      <c r="F1176" t="s">
        <v>53</v>
      </c>
      <c r="G1176" s="3">
        <v>5</v>
      </c>
      <c r="I1176" t="str">
        <f t="shared" si="54"/>
        <v>45-54</v>
      </c>
      <c r="J1176" t="str">
        <f t="shared" si="55"/>
        <v>Long Promotion gap</v>
      </c>
      <c r="K1176">
        <f t="shared" si="56"/>
        <v>0</v>
      </c>
    </row>
    <row r="1177" spans="1:11" x14ac:dyDescent="0.25">
      <c r="A1177" s="5">
        <v>1480</v>
      </c>
      <c r="B1177" s="3">
        <v>42</v>
      </c>
      <c r="C1177" t="s">
        <v>43</v>
      </c>
      <c r="D1177" t="s">
        <v>67</v>
      </c>
      <c r="E1177" t="s">
        <v>41</v>
      </c>
      <c r="F1177" t="s">
        <v>42</v>
      </c>
      <c r="G1177" s="3">
        <v>5</v>
      </c>
      <c r="I1177" t="str">
        <f t="shared" si="54"/>
        <v>35-44</v>
      </c>
      <c r="J1177" t="str">
        <f t="shared" si="55"/>
        <v>Long Promotion gap</v>
      </c>
      <c r="K1177">
        <f t="shared" si="56"/>
        <v>0</v>
      </c>
    </row>
    <row r="1178" spans="1:11" x14ac:dyDescent="0.25">
      <c r="A1178" s="5">
        <v>239</v>
      </c>
      <c r="B1178" s="3">
        <v>30</v>
      </c>
      <c r="C1178" t="s">
        <v>43</v>
      </c>
      <c r="D1178" t="s">
        <v>49</v>
      </c>
      <c r="E1178" t="s">
        <v>52</v>
      </c>
      <c r="F1178" t="s">
        <v>53</v>
      </c>
      <c r="G1178" s="3">
        <v>6</v>
      </c>
      <c r="I1178" t="str">
        <f t="shared" si="54"/>
        <v>25-34</v>
      </c>
      <c r="J1178" t="str">
        <f t="shared" si="55"/>
        <v>Long Promotion gap</v>
      </c>
      <c r="K1178">
        <f t="shared" si="56"/>
        <v>0</v>
      </c>
    </row>
    <row r="1179" spans="1:11" x14ac:dyDescent="0.25">
      <c r="A1179" s="5">
        <v>312</v>
      </c>
      <c r="B1179" s="3">
        <v>29</v>
      </c>
      <c r="C1179" t="s">
        <v>43</v>
      </c>
      <c r="D1179" t="s">
        <v>64</v>
      </c>
      <c r="E1179" t="s">
        <v>61</v>
      </c>
      <c r="F1179" t="s">
        <v>36</v>
      </c>
      <c r="G1179" s="3">
        <v>4</v>
      </c>
      <c r="I1179" t="str">
        <f t="shared" si="54"/>
        <v>25-34</v>
      </c>
      <c r="J1179" t="str">
        <f t="shared" si="55"/>
        <v>Long Promotion gap</v>
      </c>
      <c r="K1179">
        <f t="shared" si="56"/>
        <v>0</v>
      </c>
    </row>
    <row r="1180" spans="1:11" x14ac:dyDescent="0.25">
      <c r="A1180" s="5">
        <v>571</v>
      </c>
      <c r="B1180" s="3">
        <v>30</v>
      </c>
      <c r="C1180" t="s">
        <v>43</v>
      </c>
      <c r="D1180" t="s">
        <v>49</v>
      </c>
      <c r="E1180" t="s">
        <v>41</v>
      </c>
      <c r="F1180" t="s">
        <v>42</v>
      </c>
      <c r="G1180" s="3">
        <v>6</v>
      </c>
      <c r="I1180" t="str">
        <f t="shared" si="54"/>
        <v>25-34</v>
      </c>
      <c r="J1180" t="str">
        <f t="shared" si="55"/>
        <v>Long Promotion gap</v>
      </c>
      <c r="K1180">
        <f t="shared" si="56"/>
        <v>0</v>
      </c>
    </row>
    <row r="1181" spans="1:11" x14ac:dyDescent="0.25">
      <c r="A1181" s="5">
        <v>1805</v>
      </c>
      <c r="B1181" s="3">
        <v>38</v>
      </c>
      <c r="C1181" t="s">
        <v>43</v>
      </c>
      <c r="D1181" t="s">
        <v>49</v>
      </c>
      <c r="E1181" t="s">
        <v>52</v>
      </c>
      <c r="F1181" t="s">
        <v>50</v>
      </c>
      <c r="G1181" s="3">
        <v>3</v>
      </c>
      <c r="I1181" t="str">
        <f t="shared" si="54"/>
        <v>35-44</v>
      </c>
      <c r="J1181" t="str">
        <f t="shared" si="55"/>
        <v>Promoted in 1-3 years</v>
      </c>
      <c r="K1181">
        <f t="shared" si="56"/>
        <v>0</v>
      </c>
    </row>
    <row r="1182" spans="1:11" x14ac:dyDescent="0.25">
      <c r="A1182" s="5">
        <v>1285</v>
      </c>
      <c r="B1182" s="3">
        <v>34</v>
      </c>
      <c r="C1182" t="s">
        <v>43</v>
      </c>
      <c r="D1182" t="s">
        <v>49</v>
      </c>
      <c r="E1182" t="s">
        <v>52</v>
      </c>
      <c r="F1182" t="s">
        <v>53</v>
      </c>
      <c r="G1182" s="3">
        <v>5</v>
      </c>
      <c r="I1182" t="str">
        <f t="shared" si="54"/>
        <v>25-34</v>
      </c>
      <c r="J1182" t="str">
        <f t="shared" si="55"/>
        <v>Long Promotion gap</v>
      </c>
      <c r="K1182">
        <f t="shared" si="56"/>
        <v>0</v>
      </c>
    </row>
    <row r="1183" spans="1:11" x14ac:dyDescent="0.25">
      <c r="A1183" s="5">
        <v>1612</v>
      </c>
      <c r="B1183" s="3">
        <v>45</v>
      </c>
      <c r="C1183" t="s">
        <v>43</v>
      </c>
      <c r="D1183" t="s">
        <v>49</v>
      </c>
      <c r="E1183" t="s">
        <v>61</v>
      </c>
      <c r="F1183" t="s">
        <v>36</v>
      </c>
      <c r="G1183" s="3">
        <v>4</v>
      </c>
      <c r="I1183" t="str">
        <f t="shared" si="54"/>
        <v>45-54</v>
      </c>
      <c r="J1183" t="str">
        <f t="shared" si="55"/>
        <v>Long Promotion gap</v>
      </c>
      <c r="K1183">
        <f t="shared" si="56"/>
        <v>0</v>
      </c>
    </row>
    <row r="1184" spans="1:11" x14ac:dyDescent="0.25">
      <c r="A1184" s="5">
        <v>710</v>
      </c>
      <c r="B1184" s="3">
        <v>29</v>
      </c>
      <c r="C1184" t="s">
        <v>43</v>
      </c>
      <c r="D1184" t="s">
        <v>35</v>
      </c>
      <c r="E1184" t="s">
        <v>52</v>
      </c>
      <c r="F1184" t="s">
        <v>36</v>
      </c>
      <c r="G1184" s="3">
        <v>2</v>
      </c>
      <c r="I1184" t="str">
        <f t="shared" si="54"/>
        <v>25-34</v>
      </c>
      <c r="J1184" t="str">
        <f t="shared" si="55"/>
        <v>Promoted in 1-3 years</v>
      </c>
      <c r="K1184">
        <f t="shared" si="56"/>
        <v>0</v>
      </c>
    </row>
    <row r="1185" spans="1:11" x14ac:dyDescent="0.25">
      <c r="A1185" s="5">
        <v>592</v>
      </c>
      <c r="B1185" s="3">
        <v>36</v>
      </c>
      <c r="C1185" t="s">
        <v>43</v>
      </c>
      <c r="D1185" t="s">
        <v>35</v>
      </c>
      <c r="E1185" t="s">
        <v>41</v>
      </c>
      <c r="F1185" t="s">
        <v>42</v>
      </c>
      <c r="G1185" s="3">
        <v>9</v>
      </c>
      <c r="I1185" t="str">
        <f t="shared" si="54"/>
        <v>35-44</v>
      </c>
      <c r="J1185" t="str">
        <f t="shared" si="55"/>
        <v>Long Promotion gap</v>
      </c>
      <c r="K1185">
        <f t="shared" si="56"/>
        <v>0</v>
      </c>
    </row>
    <row r="1186" spans="1:11" x14ac:dyDescent="0.25">
      <c r="A1186" s="5">
        <v>772</v>
      </c>
      <c r="B1186" s="3">
        <v>32</v>
      </c>
      <c r="C1186" t="s">
        <v>43</v>
      </c>
      <c r="D1186" t="s">
        <v>35</v>
      </c>
      <c r="E1186" t="s">
        <v>61</v>
      </c>
      <c r="F1186" t="s">
        <v>53</v>
      </c>
      <c r="G1186" s="3">
        <v>4</v>
      </c>
      <c r="I1186" t="str">
        <f t="shared" si="54"/>
        <v>25-34</v>
      </c>
      <c r="J1186" t="str">
        <f t="shared" si="55"/>
        <v>Long Promotion gap</v>
      </c>
      <c r="K1186">
        <f t="shared" si="56"/>
        <v>0</v>
      </c>
    </row>
    <row r="1187" spans="1:11" x14ac:dyDescent="0.25">
      <c r="A1187" s="5">
        <v>1985</v>
      </c>
      <c r="B1187" s="3">
        <v>40</v>
      </c>
      <c r="C1187" t="s">
        <v>43</v>
      </c>
      <c r="D1187" t="s">
        <v>49</v>
      </c>
      <c r="E1187" t="s">
        <v>61</v>
      </c>
      <c r="F1187" t="s">
        <v>36</v>
      </c>
      <c r="G1187" s="3">
        <v>9</v>
      </c>
      <c r="I1187" t="str">
        <f t="shared" si="54"/>
        <v>35-44</v>
      </c>
      <c r="J1187" t="str">
        <f t="shared" si="55"/>
        <v>Long Promotion gap</v>
      </c>
      <c r="K1187">
        <f t="shared" si="56"/>
        <v>0</v>
      </c>
    </row>
    <row r="1188" spans="1:11" x14ac:dyDescent="0.25">
      <c r="A1188" s="5">
        <v>428</v>
      </c>
      <c r="B1188" s="3">
        <v>33</v>
      </c>
      <c r="C1188" t="s">
        <v>43</v>
      </c>
      <c r="D1188" t="s">
        <v>35</v>
      </c>
      <c r="E1188" t="s">
        <v>61</v>
      </c>
      <c r="F1188" t="s">
        <v>53</v>
      </c>
      <c r="G1188" s="3">
        <v>8</v>
      </c>
      <c r="I1188" t="str">
        <f t="shared" si="54"/>
        <v>25-34</v>
      </c>
      <c r="J1188" t="str">
        <f t="shared" si="55"/>
        <v>Long Promotion gap</v>
      </c>
      <c r="K1188">
        <f t="shared" si="56"/>
        <v>0</v>
      </c>
    </row>
    <row r="1189" spans="1:11" x14ac:dyDescent="0.25">
      <c r="A1189" s="5">
        <v>79</v>
      </c>
      <c r="B1189" s="3">
        <v>38</v>
      </c>
      <c r="C1189" t="s">
        <v>43</v>
      </c>
      <c r="D1189" t="s">
        <v>70</v>
      </c>
      <c r="E1189" t="s">
        <v>41</v>
      </c>
      <c r="F1189" t="s">
        <v>42</v>
      </c>
      <c r="G1189" s="3">
        <v>9</v>
      </c>
      <c r="I1189" t="str">
        <f t="shared" si="54"/>
        <v>35-44</v>
      </c>
      <c r="J1189" t="str">
        <f t="shared" si="55"/>
        <v>Long Promotion gap</v>
      </c>
      <c r="K1189">
        <f t="shared" si="56"/>
        <v>0</v>
      </c>
    </row>
    <row r="1190" spans="1:11" x14ac:dyDescent="0.25">
      <c r="A1190" s="5">
        <v>992</v>
      </c>
      <c r="B1190" s="3">
        <v>33</v>
      </c>
      <c r="C1190" t="s">
        <v>43</v>
      </c>
      <c r="D1190" t="s">
        <v>49</v>
      </c>
      <c r="E1190" t="s">
        <v>41</v>
      </c>
      <c r="F1190" t="s">
        <v>42</v>
      </c>
      <c r="G1190" s="3">
        <v>6</v>
      </c>
      <c r="I1190" t="str">
        <f t="shared" si="54"/>
        <v>25-34</v>
      </c>
      <c r="J1190" t="str">
        <f t="shared" si="55"/>
        <v>Long Promotion gap</v>
      </c>
      <c r="K1190">
        <f t="shared" si="56"/>
        <v>0</v>
      </c>
    </row>
    <row r="1191" spans="1:11" x14ac:dyDescent="0.25">
      <c r="A1191" s="5">
        <v>1324</v>
      </c>
      <c r="B1191" s="3">
        <v>31</v>
      </c>
      <c r="C1191" t="s">
        <v>43</v>
      </c>
      <c r="D1191" t="s">
        <v>35</v>
      </c>
      <c r="E1191" t="s">
        <v>52</v>
      </c>
      <c r="F1191" t="s">
        <v>36</v>
      </c>
      <c r="G1191" s="3">
        <v>9</v>
      </c>
      <c r="I1191" t="str">
        <f t="shared" si="54"/>
        <v>25-34</v>
      </c>
      <c r="J1191" t="str">
        <f t="shared" si="55"/>
        <v>Long Promotion gap</v>
      </c>
      <c r="K1191">
        <f t="shared" si="56"/>
        <v>0</v>
      </c>
    </row>
    <row r="1192" spans="1:11" x14ac:dyDescent="0.25">
      <c r="A1192" s="5">
        <v>1315</v>
      </c>
      <c r="B1192" s="3">
        <v>28</v>
      </c>
      <c r="C1192" t="s">
        <v>43</v>
      </c>
      <c r="D1192" t="s">
        <v>49</v>
      </c>
      <c r="E1192" t="s">
        <v>61</v>
      </c>
      <c r="F1192" t="s">
        <v>50</v>
      </c>
      <c r="G1192" s="3">
        <v>7</v>
      </c>
      <c r="I1192" t="str">
        <f t="shared" si="54"/>
        <v>25-34</v>
      </c>
      <c r="J1192" t="str">
        <f t="shared" si="55"/>
        <v>Long Promotion gap</v>
      </c>
      <c r="K1192">
        <f t="shared" si="56"/>
        <v>0</v>
      </c>
    </row>
    <row r="1193" spans="1:11" x14ac:dyDescent="0.25">
      <c r="A1193" s="5">
        <v>1468</v>
      </c>
      <c r="B1193" s="3">
        <v>40</v>
      </c>
      <c r="C1193" t="s">
        <v>43</v>
      </c>
      <c r="D1193" t="s">
        <v>64</v>
      </c>
      <c r="E1193" t="s">
        <v>52</v>
      </c>
      <c r="F1193" t="s">
        <v>36</v>
      </c>
      <c r="G1193" s="3">
        <v>4</v>
      </c>
      <c r="I1193" t="str">
        <f t="shared" si="54"/>
        <v>35-44</v>
      </c>
      <c r="J1193" t="str">
        <f t="shared" si="55"/>
        <v>Long Promotion gap</v>
      </c>
      <c r="K1193">
        <f t="shared" si="56"/>
        <v>0</v>
      </c>
    </row>
    <row r="1194" spans="1:11" x14ac:dyDescent="0.25">
      <c r="A1194" s="5">
        <v>154</v>
      </c>
      <c r="B1194" s="3">
        <v>36</v>
      </c>
      <c r="C1194" t="s">
        <v>43</v>
      </c>
      <c r="D1194" t="s">
        <v>67</v>
      </c>
      <c r="E1194" t="s">
        <v>61</v>
      </c>
      <c r="F1194" t="s">
        <v>36</v>
      </c>
      <c r="G1194" s="3">
        <v>2</v>
      </c>
      <c r="I1194" t="str">
        <f t="shared" si="54"/>
        <v>35-44</v>
      </c>
      <c r="J1194" t="str">
        <f t="shared" si="55"/>
        <v>Promoted in 1-3 years</v>
      </c>
      <c r="K1194">
        <f t="shared" si="56"/>
        <v>0</v>
      </c>
    </row>
    <row r="1195" spans="1:11" x14ac:dyDescent="0.25">
      <c r="A1195" s="5">
        <v>207</v>
      </c>
      <c r="B1195" s="3">
        <v>32</v>
      </c>
      <c r="C1195" t="s">
        <v>43</v>
      </c>
      <c r="D1195" t="s">
        <v>49</v>
      </c>
      <c r="E1195" t="s">
        <v>41</v>
      </c>
      <c r="F1195" t="s">
        <v>42</v>
      </c>
      <c r="G1195" s="3">
        <v>3</v>
      </c>
      <c r="I1195" t="str">
        <f t="shared" si="54"/>
        <v>25-34</v>
      </c>
      <c r="J1195" t="str">
        <f t="shared" si="55"/>
        <v>Promoted in 1-3 years</v>
      </c>
      <c r="K1195">
        <f t="shared" si="56"/>
        <v>0</v>
      </c>
    </row>
    <row r="1196" spans="1:11" x14ac:dyDescent="0.25">
      <c r="A1196" s="5">
        <v>1615</v>
      </c>
      <c r="B1196" s="3">
        <v>34</v>
      </c>
      <c r="C1196" t="s">
        <v>43</v>
      </c>
      <c r="D1196" t="s">
        <v>35</v>
      </c>
      <c r="E1196" t="s">
        <v>52</v>
      </c>
      <c r="F1196" t="s">
        <v>36</v>
      </c>
      <c r="G1196" s="3">
        <v>7</v>
      </c>
      <c r="I1196" t="str">
        <f t="shared" si="54"/>
        <v>25-34</v>
      </c>
      <c r="J1196" t="str">
        <f t="shared" si="55"/>
        <v>Long Promotion gap</v>
      </c>
      <c r="K1196">
        <f t="shared" si="56"/>
        <v>0</v>
      </c>
    </row>
    <row r="1197" spans="1:11" x14ac:dyDescent="0.25">
      <c r="A1197" s="5">
        <v>1633</v>
      </c>
      <c r="B1197" s="3">
        <v>39</v>
      </c>
      <c r="C1197" t="s">
        <v>43</v>
      </c>
      <c r="D1197" t="s">
        <v>49</v>
      </c>
      <c r="E1197" t="s">
        <v>41</v>
      </c>
      <c r="F1197" t="s">
        <v>42</v>
      </c>
      <c r="G1197" s="3">
        <v>3</v>
      </c>
      <c r="I1197" t="str">
        <f t="shared" si="54"/>
        <v>35-44</v>
      </c>
      <c r="J1197" t="str">
        <f t="shared" si="55"/>
        <v>Promoted in 1-3 years</v>
      </c>
      <c r="K1197">
        <f t="shared" si="56"/>
        <v>0</v>
      </c>
    </row>
    <row r="1198" spans="1:11" x14ac:dyDescent="0.25">
      <c r="A1198" s="5">
        <v>626</v>
      </c>
      <c r="B1198" s="3">
        <v>37</v>
      </c>
      <c r="C1198" t="s">
        <v>43</v>
      </c>
      <c r="D1198" t="s">
        <v>35</v>
      </c>
      <c r="E1198" t="s">
        <v>52</v>
      </c>
      <c r="F1198" t="s">
        <v>36</v>
      </c>
      <c r="G1198" s="3">
        <v>7</v>
      </c>
      <c r="I1198" t="str">
        <f t="shared" si="54"/>
        <v>35-44</v>
      </c>
      <c r="J1198" t="str">
        <f t="shared" si="55"/>
        <v>Long Promotion gap</v>
      </c>
      <c r="K1198">
        <f t="shared" si="56"/>
        <v>0</v>
      </c>
    </row>
    <row r="1199" spans="1:11" x14ac:dyDescent="0.25">
      <c r="A1199" s="5">
        <v>1074</v>
      </c>
      <c r="B1199" s="3">
        <v>55</v>
      </c>
      <c r="C1199" t="s">
        <v>43</v>
      </c>
      <c r="D1199" t="s">
        <v>64</v>
      </c>
      <c r="E1199" t="s">
        <v>41</v>
      </c>
      <c r="F1199" t="s">
        <v>42</v>
      </c>
      <c r="G1199" s="3">
        <v>6</v>
      </c>
      <c r="I1199" t="str">
        <f t="shared" si="54"/>
        <v>55-60</v>
      </c>
      <c r="J1199" t="str">
        <f t="shared" si="55"/>
        <v>Long Promotion gap</v>
      </c>
      <c r="K1199">
        <f t="shared" si="56"/>
        <v>0</v>
      </c>
    </row>
    <row r="1200" spans="1:11" x14ac:dyDescent="0.25">
      <c r="A1200" s="5">
        <v>567</v>
      </c>
      <c r="B1200" s="3">
        <v>30</v>
      </c>
      <c r="C1200" t="s">
        <v>43</v>
      </c>
      <c r="D1200" t="s">
        <v>35</v>
      </c>
      <c r="E1200" t="s">
        <v>61</v>
      </c>
      <c r="F1200" t="s">
        <v>42</v>
      </c>
      <c r="G1200" s="3">
        <v>7</v>
      </c>
      <c r="I1200" t="str">
        <f t="shared" si="54"/>
        <v>25-34</v>
      </c>
      <c r="J1200" t="str">
        <f t="shared" si="55"/>
        <v>Long Promotion gap</v>
      </c>
      <c r="K1200">
        <f t="shared" si="56"/>
        <v>0</v>
      </c>
    </row>
    <row r="1201" spans="1:11" x14ac:dyDescent="0.25">
      <c r="A1201" s="5">
        <v>1737</v>
      </c>
      <c r="B1201" s="3">
        <v>39</v>
      </c>
      <c r="C1201" t="s">
        <v>43</v>
      </c>
      <c r="D1201" t="s">
        <v>49</v>
      </c>
      <c r="E1201" t="s">
        <v>61</v>
      </c>
      <c r="F1201" t="s">
        <v>36</v>
      </c>
      <c r="G1201" s="3">
        <v>5</v>
      </c>
      <c r="I1201" t="str">
        <f t="shared" si="54"/>
        <v>35-44</v>
      </c>
      <c r="J1201" t="str">
        <f t="shared" si="55"/>
        <v>Long Promotion gap</v>
      </c>
      <c r="K1201">
        <f t="shared" si="56"/>
        <v>0</v>
      </c>
    </row>
    <row r="1202" spans="1:11" x14ac:dyDescent="0.25">
      <c r="A1202" s="5">
        <v>311</v>
      </c>
      <c r="B1202" s="3">
        <v>37</v>
      </c>
      <c r="C1202" t="s">
        <v>43</v>
      </c>
      <c r="D1202" t="s">
        <v>35</v>
      </c>
      <c r="E1202" t="s">
        <v>52</v>
      </c>
      <c r="F1202" t="s">
        <v>36</v>
      </c>
      <c r="G1202" s="3">
        <v>5</v>
      </c>
      <c r="I1202" t="str">
        <f t="shared" si="54"/>
        <v>35-44</v>
      </c>
      <c r="J1202" t="str">
        <f t="shared" si="55"/>
        <v>Long Promotion gap</v>
      </c>
      <c r="K1202">
        <f t="shared" si="56"/>
        <v>0</v>
      </c>
    </row>
    <row r="1203" spans="1:11" x14ac:dyDescent="0.25">
      <c r="A1203" s="5">
        <v>361</v>
      </c>
      <c r="B1203" s="3">
        <v>38</v>
      </c>
      <c r="C1203" t="s">
        <v>43</v>
      </c>
      <c r="D1203" t="s">
        <v>67</v>
      </c>
      <c r="E1203" t="s">
        <v>61</v>
      </c>
      <c r="F1203" t="s">
        <v>36</v>
      </c>
      <c r="G1203" s="3">
        <v>7</v>
      </c>
      <c r="I1203" t="str">
        <f t="shared" si="54"/>
        <v>35-44</v>
      </c>
      <c r="J1203" t="str">
        <f t="shared" si="55"/>
        <v>Long Promotion gap</v>
      </c>
      <c r="K1203">
        <f t="shared" si="56"/>
        <v>0</v>
      </c>
    </row>
    <row r="1204" spans="1:11" x14ac:dyDescent="0.25">
      <c r="A1204" s="5">
        <v>238</v>
      </c>
      <c r="B1204" s="3">
        <v>36</v>
      </c>
      <c r="C1204" t="s">
        <v>43</v>
      </c>
      <c r="D1204" t="s">
        <v>67</v>
      </c>
      <c r="E1204" t="s">
        <v>41</v>
      </c>
      <c r="F1204" t="s">
        <v>42</v>
      </c>
      <c r="G1204" s="3">
        <v>7</v>
      </c>
      <c r="I1204" t="str">
        <f t="shared" si="54"/>
        <v>35-44</v>
      </c>
      <c r="J1204" t="str">
        <f t="shared" si="55"/>
        <v>Long Promotion gap</v>
      </c>
      <c r="K1204">
        <f t="shared" si="56"/>
        <v>0</v>
      </c>
    </row>
    <row r="1205" spans="1:11" x14ac:dyDescent="0.25">
      <c r="A1205" s="5">
        <v>5</v>
      </c>
      <c r="B1205" s="3">
        <v>33</v>
      </c>
      <c r="C1205" t="s">
        <v>43</v>
      </c>
      <c r="D1205" t="s">
        <v>35</v>
      </c>
      <c r="E1205" t="s">
        <v>61</v>
      </c>
      <c r="F1205" t="s">
        <v>42</v>
      </c>
      <c r="G1205" s="3">
        <v>3</v>
      </c>
      <c r="I1205" t="str">
        <f t="shared" si="54"/>
        <v>25-34</v>
      </c>
      <c r="J1205" t="str">
        <f t="shared" si="55"/>
        <v>Promoted in 1-3 years</v>
      </c>
      <c r="K1205">
        <f t="shared" si="56"/>
        <v>0</v>
      </c>
    </row>
    <row r="1206" spans="1:11" x14ac:dyDescent="0.25">
      <c r="A1206" s="5">
        <v>1997</v>
      </c>
      <c r="B1206" s="3">
        <v>38</v>
      </c>
      <c r="C1206" t="s">
        <v>43</v>
      </c>
      <c r="D1206" t="s">
        <v>35</v>
      </c>
      <c r="E1206" t="s">
        <v>61</v>
      </c>
      <c r="F1206" t="s">
        <v>36</v>
      </c>
      <c r="G1206" s="3">
        <v>7</v>
      </c>
      <c r="I1206" t="str">
        <f t="shared" si="54"/>
        <v>35-44</v>
      </c>
      <c r="J1206" t="str">
        <f t="shared" si="55"/>
        <v>Long Promotion gap</v>
      </c>
      <c r="K1206">
        <f t="shared" si="56"/>
        <v>0</v>
      </c>
    </row>
    <row r="1207" spans="1:11" x14ac:dyDescent="0.25">
      <c r="A1207" s="5">
        <v>663</v>
      </c>
      <c r="B1207" s="3">
        <v>43</v>
      </c>
      <c r="C1207" t="s">
        <v>43</v>
      </c>
      <c r="D1207" t="s">
        <v>70</v>
      </c>
      <c r="E1207" t="s">
        <v>52</v>
      </c>
      <c r="F1207" t="s">
        <v>36</v>
      </c>
      <c r="G1207" s="3">
        <v>4</v>
      </c>
      <c r="I1207" t="str">
        <f t="shared" si="54"/>
        <v>35-44</v>
      </c>
      <c r="J1207" t="str">
        <f t="shared" si="55"/>
        <v>Long Promotion gap</v>
      </c>
      <c r="K1207">
        <f t="shared" si="56"/>
        <v>0</v>
      </c>
    </row>
    <row r="1208" spans="1:11" x14ac:dyDescent="0.25">
      <c r="A1208" s="5">
        <v>1034</v>
      </c>
      <c r="B1208" s="3">
        <v>55</v>
      </c>
      <c r="C1208" t="s">
        <v>43</v>
      </c>
      <c r="D1208" t="s">
        <v>35</v>
      </c>
      <c r="E1208" t="s">
        <v>61</v>
      </c>
      <c r="F1208" t="s">
        <v>53</v>
      </c>
      <c r="G1208" s="3">
        <v>6</v>
      </c>
      <c r="I1208" t="str">
        <f t="shared" si="54"/>
        <v>55-60</v>
      </c>
      <c r="J1208" t="str">
        <f t="shared" si="55"/>
        <v>Long Promotion gap</v>
      </c>
      <c r="K1208">
        <f t="shared" si="56"/>
        <v>0</v>
      </c>
    </row>
    <row r="1209" spans="1:11" x14ac:dyDescent="0.25">
      <c r="A1209" s="5">
        <v>1297</v>
      </c>
      <c r="B1209" s="3">
        <v>51</v>
      </c>
      <c r="C1209" t="s">
        <v>43</v>
      </c>
      <c r="D1209" t="s">
        <v>67</v>
      </c>
      <c r="E1209" t="s">
        <v>41</v>
      </c>
      <c r="F1209" t="s">
        <v>42</v>
      </c>
      <c r="G1209" s="3">
        <v>7</v>
      </c>
      <c r="I1209" t="str">
        <f t="shared" si="54"/>
        <v>45-54</v>
      </c>
      <c r="J1209" t="str">
        <f t="shared" si="55"/>
        <v>Long Promotion gap</v>
      </c>
      <c r="K1209">
        <f t="shared" si="56"/>
        <v>0</v>
      </c>
    </row>
    <row r="1210" spans="1:11" x14ac:dyDescent="0.25">
      <c r="A1210" s="5">
        <v>532</v>
      </c>
      <c r="B1210" s="3">
        <v>56</v>
      </c>
      <c r="C1210" t="s">
        <v>43</v>
      </c>
      <c r="D1210" t="s">
        <v>49</v>
      </c>
      <c r="E1210" t="s">
        <v>61</v>
      </c>
      <c r="F1210" t="s">
        <v>50</v>
      </c>
      <c r="G1210" s="3">
        <v>7</v>
      </c>
      <c r="I1210" t="str">
        <f t="shared" si="54"/>
        <v>55-60</v>
      </c>
      <c r="J1210" t="str">
        <f t="shared" si="55"/>
        <v>Long Promotion gap</v>
      </c>
      <c r="K1210">
        <f t="shared" si="56"/>
        <v>0</v>
      </c>
    </row>
    <row r="1211" spans="1:11" x14ac:dyDescent="0.25">
      <c r="A1211" s="5">
        <v>8</v>
      </c>
      <c r="B1211" s="3">
        <v>32</v>
      </c>
      <c r="C1211" t="s">
        <v>43</v>
      </c>
      <c r="D1211" t="s">
        <v>67</v>
      </c>
      <c r="E1211" t="s">
        <v>41</v>
      </c>
      <c r="F1211" t="s">
        <v>42</v>
      </c>
      <c r="G1211" s="3">
        <v>3</v>
      </c>
      <c r="I1211" t="str">
        <f t="shared" si="54"/>
        <v>25-34</v>
      </c>
      <c r="J1211" t="str">
        <f t="shared" si="55"/>
        <v>Promoted in 1-3 years</v>
      </c>
      <c r="K1211">
        <f t="shared" si="56"/>
        <v>0</v>
      </c>
    </row>
    <row r="1212" spans="1:11" x14ac:dyDescent="0.25">
      <c r="A1212" s="5">
        <v>1918</v>
      </c>
      <c r="B1212" s="3">
        <v>26</v>
      </c>
      <c r="C1212" t="s">
        <v>43</v>
      </c>
      <c r="D1212" t="s">
        <v>49</v>
      </c>
      <c r="E1212" t="s">
        <v>61</v>
      </c>
      <c r="F1212" t="s">
        <v>36</v>
      </c>
      <c r="G1212" s="3">
        <v>7</v>
      </c>
      <c r="I1212" t="str">
        <f t="shared" si="54"/>
        <v>25-34</v>
      </c>
      <c r="J1212" t="str">
        <f t="shared" si="55"/>
        <v>Long Promotion gap</v>
      </c>
      <c r="K1212">
        <f t="shared" si="56"/>
        <v>0</v>
      </c>
    </row>
    <row r="1213" spans="1:11" x14ac:dyDescent="0.25">
      <c r="A1213" s="5">
        <v>1870</v>
      </c>
      <c r="B1213" s="3">
        <v>27</v>
      </c>
      <c r="C1213" t="s">
        <v>43</v>
      </c>
      <c r="D1213" t="s">
        <v>49</v>
      </c>
      <c r="E1213" t="s">
        <v>61</v>
      </c>
      <c r="F1213" t="s">
        <v>36</v>
      </c>
      <c r="G1213" s="3">
        <v>4</v>
      </c>
      <c r="I1213" t="str">
        <f t="shared" si="54"/>
        <v>25-34</v>
      </c>
      <c r="J1213" t="str">
        <f t="shared" si="55"/>
        <v>Long Promotion gap</v>
      </c>
      <c r="K1213">
        <f t="shared" si="56"/>
        <v>0</v>
      </c>
    </row>
    <row r="1214" spans="1:11" x14ac:dyDescent="0.25">
      <c r="A1214" s="5">
        <v>1392</v>
      </c>
      <c r="B1214" s="3">
        <v>41</v>
      </c>
      <c r="C1214" t="s">
        <v>43</v>
      </c>
      <c r="D1214" t="s">
        <v>49</v>
      </c>
      <c r="E1214" t="s">
        <v>52</v>
      </c>
      <c r="F1214" t="s">
        <v>53</v>
      </c>
      <c r="G1214" s="3">
        <v>3</v>
      </c>
      <c r="I1214" t="str">
        <f t="shared" si="54"/>
        <v>35-44</v>
      </c>
      <c r="J1214" t="str">
        <f t="shared" si="55"/>
        <v>Promoted in 1-3 years</v>
      </c>
      <c r="K1214">
        <f t="shared" si="56"/>
        <v>0</v>
      </c>
    </row>
    <row r="1215" spans="1:11" x14ac:dyDescent="0.25">
      <c r="A1215" s="5">
        <v>262</v>
      </c>
      <c r="B1215" s="3">
        <v>43</v>
      </c>
      <c r="C1215" t="s">
        <v>43</v>
      </c>
      <c r="D1215" t="s">
        <v>49</v>
      </c>
      <c r="E1215" t="s">
        <v>52</v>
      </c>
      <c r="F1215" t="s">
        <v>50</v>
      </c>
      <c r="G1215" s="3">
        <v>2</v>
      </c>
      <c r="I1215" t="str">
        <f t="shared" si="54"/>
        <v>35-44</v>
      </c>
      <c r="J1215" t="str">
        <f t="shared" si="55"/>
        <v>Promoted in 1-3 years</v>
      </c>
      <c r="K1215">
        <f t="shared" si="56"/>
        <v>0</v>
      </c>
    </row>
    <row r="1216" spans="1:11" x14ac:dyDescent="0.25">
      <c r="A1216" s="5">
        <v>902</v>
      </c>
      <c r="B1216" s="3">
        <v>43</v>
      </c>
      <c r="C1216" t="s">
        <v>43</v>
      </c>
      <c r="D1216" t="s">
        <v>49</v>
      </c>
      <c r="E1216" t="s">
        <v>61</v>
      </c>
      <c r="F1216" t="s">
        <v>36</v>
      </c>
      <c r="G1216" s="3">
        <v>2</v>
      </c>
      <c r="I1216" t="str">
        <f t="shared" si="54"/>
        <v>35-44</v>
      </c>
      <c r="J1216" t="str">
        <f t="shared" si="55"/>
        <v>Promoted in 1-3 years</v>
      </c>
      <c r="K1216">
        <f t="shared" si="56"/>
        <v>0</v>
      </c>
    </row>
    <row r="1217" spans="1:11" x14ac:dyDescent="0.25">
      <c r="A1217" s="5">
        <v>1941</v>
      </c>
      <c r="B1217" s="3">
        <v>49</v>
      </c>
      <c r="C1217" t="s">
        <v>43</v>
      </c>
      <c r="D1217" t="s">
        <v>64</v>
      </c>
      <c r="E1217" t="s">
        <v>61</v>
      </c>
      <c r="F1217" t="s">
        <v>42</v>
      </c>
      <c r="G1217" s="3">
        <v>4</v>
      </c>
      <c r="I1217" t="str">
        <f t="shared" si="54"/>
        <v>45-54</v>
      </c>
      <c r="J1217" t="str">
        <f t="shared" si="55"/>
        <v>Long Promotion gap</v>
      </c>
      <c r="K1217">
        <f t="shared" si="56"/>
        <v>0</v>
      </c>
    </row>
    <row r="1218" spans="1:11" x14ac:dyDescent="0.25">
      <c r="A1218" s="5">
        <v>390</v>
      </c>
      <c r="B1218" s="3">
        <v>26</v>
      </c>
      <c r="C1218" t="s">
        <v>43</v>
      </c>
      <c r="D1218" t="s">
        <v>67</v>
      </c>
      <c r="E1218" t="s">
        <v>61</v>
      </c>
      <c r="F1218" t="s">
        <v>36</v>
      </c>
      <c r="G1218" s="3">
        <v>3</v>
      </c>
      <c r="I1218" t="str">
        <f t="shared" si="54"/>
        <v>25-34</v>
      </c>
      <c r="J1218" t="str">
        <f t="shared" si="55"/>
        <v>Promoted in 1-3 years</v>
      </c>
      <c r="K1218">
        <f t="shared" si="56"/>
        <v>0</v>
      </c>
    </row>
    <row r="1219" spans="1:11" x14ac:dyDescent="0.25">
      <c r="A1219" s="5">
        <v>148</v>
      </c>
      <c r="B1219" s="3">
        <v>54</v>
      </c>
      <c r="C1219" t="s">
        <v>43</v>
      </c>
      <c r="D1219" t="s">
        <v>49</v>
      </c>
      <c r="E1219" t="s">
        <v>41</v>
      </c>
      <c r="F1219" t="s">
        <v>42</v>
      </c>
      <c r="G1219" s="3">
        <v>4</v>
      </c>
      <c r="I1219" t="str">
        <f t="shared" ref="I1219:I1282" si="57">IF(B1219&lt;=24, "18-24", IF(B1219&lt;=34,"25-34", IF(B1219&lt;=44,"35-44", IF(B1219&lt;=54,"45-54", IF(B1219&lt;=60, "55-60")))))</f>
        <v>45-54</v>
      </c>
      <c r="J1219" t="str">
        <f t="shared" ref="J1219:J1282" si="58">IF(G1219&lt;=0,"Recently promoted",IF(G1219&lt;=3,"Promoted in 1-3 years","Long Promotion gap"))</f>
        <v>Long Promotion gap</v>
      </c>
      <c r="K1219">
        <f t="shared" ref="K1219:K1282" si="59">IF(C1219="Yes", 1, 0)</f>
        <v>0</v>
      </c>
    </row>
    <row r="1220" spans="1:11" x14ac:dyDescent="0.25">
      <c r="A1220" s="5">
        <v>70</v>
      </c>
      <c r="B1220" s="3">
        <v>35</v>
      </c>
      <c r="C1220" t="s">
        <v>43</v>
      </c>
      <c r="D1220" t="s">
        <v>67</v>
      </c>
      <c r="E1220" t="s">
        <v>61</v>
      </c>
      <c r="F1220" t="s">
        <v>36</v>
      </c>
      <c r="G1220" s="3">
        <v>2</v>
      </c>
      <c r="I1220" t="str">
        <f t="shared" si="57"/>
        <v>35-44</v>
      </c>
      <c r="J1220" t="str">
        <f t="shared" si="58"/>
        <v>Promoted in 1-3 years</v>
      </c>
      <c r="K1220">
        <f t="shared" si="59"/>
        <v>0</v>
      </c>
    </row>
    <row r="1221" spans="1:11" x14ac:dyDescent="0.25">
      <c r="A1221" s="5">
        <v>1948</v>
      </c>
      <c r="B1221" s="3">
        <v>31</v>
      </c>
      <c r="C1221" t="s">
        <v>43</v>
      </c>
      <c r="D1221" t="s">
        <v>67</v>
      </c>
      <c r="E1221" t="s">
        <v>52</v>
      </c>
      <c r="F1221" t="s">
        <v>36</v>
      </c>
      <c r="G1221" s="3">
        <v>2</v>
      </c>
      <c r="I1221" t="str">
        <f t="shared" si="57"/>
        <v>25-34</v>
      </c>
      <c r="J1221" t="str">
        <f t="shared" si="58"/>
        <v>Promoted in 1-3 years</v>
      </c>
      <c r="K1221">
        <f t="shared" si="59"/>
        <v>0</v>
      </c>
    </row>
    <row r="1222" spans="1:11" x14ac:dyDescent="0.25">
      <c r="A1222" s="5">
        <v>333</v>
      </c>
      <c r="B1222" s="3">
        <v>32</v>
      </c>
      <c r="C1222" t="s">
        <v>43</v>
      </c>
      <c r="D1222" t="s">
        <v>35</v>
      </c>
      <c r="E1222" t="s">
        <v>61</v>
      </c>
      <c r="F1222" t="s">
        <v>42</v>
      </c>
      <c r="G1222" s="3">
        <v>2</v>
      </c>
      <c r="I1222" t="str">
        <f t="shared" si="57"/>
        <v>25-34</v>
      </c>
      <c r="J1222" t="str">
        <f t="shared" si="58"/>
        <v>Promoted in 1-3 years</v>
      </c>
      <c r="K1222">
        <f t="shared" si="59"/>
        <v>0</v>
      </c>
    </row>
    <row r="1223" spans="1:11" x14ac:dyDescent="0.25">
      <c r="A1223" s="5">
        <v>1858</v>
      </c>
      <c r="B1223" s="3">
        <v>28</v>
      </c>
      <c r="C1223" t="s">
        <v>43</v>
      </c>
      <c r="D1223" t="s">
        <v>67</v>
      </c>
      <c r="E1223" t="s">
        <v>52</v>
      </c>
      <c r="F1223" t="s">
        <v>36</v>
      </c>
      <c r="G1223" s="3">
        <v>2</v>
      </c>
      <c r="I1223" t="str">
        <f t="shared" si="57"/>
        <v>25-34</v>
      </c>
      <c r="J1223" t="str">
        <f t="shared" si="58"/>
        <v>Promoted in 1-3 years</v>
      </c>
      <c r="K1223">
        <f t="shared" si="59"/>
        <v>0</v>
      </c>
    </row>
    <row r="1224" spans="1:11" x14ac:dyDescent="0.25">
      <c r="A1224" s="5">
        <v>1552</v>
      </c>
      <c r="B1224" s="3">
        <v>40</v>
      </c>
      <c r="C1224" t="s">
        <v>43</v>
      </c>
      <c r="D1224" t="s">
        <v>67</v>
      </c>
      <c r="E1224" t="s">
        <v>52</v>
      </c>
      <c r="F1224" t="s">
        <v>42</v>
      </c>
      <c r="G1224" s="3">
        <v>2</v>
      </c>
      <c r="I1224" t="str">
        <f t="shared" si="57"/>
        <v>35-44</v>
      </c>
      <c r="J1224" t="str">
        <f t="shared" si="58"/>
        <v>Promoted in 1-3 years</v>
      </c>
      <c r="K1224">
        <f t="shared" si="59"/>
        <v>0</v>
      </c>
    </row>
    <row r="1225" spans="1:11" x14ac:dyDescent="0.25">
      <c r="A1225" s="5">
        <v>1746</v>
      </c>
      <c r="B1225" s="3">
        <v>24</v>
      </c>
      <c r="C1225" t="s">
        <v>43</v>
      </c>
      <c r="D1225" t="s">
        <v>49</v>
      </c>
      <c r="E1225" t="s">
        <v>61</v>
      </c>
      <c r="F1225" t="s">
        <v>36</v>
      </c>
      <c r="G1225" s="3">
        <v>2</v>
      </c>
      <c r="I1225" t="str">
        <f t="shared" si="57"/>
        <v>18-24</v>
      </c>
      <c r="J1225" t="str">
        <f t="shared" si="58"/>
        <v>Promoted in 1-3 years</v>
      </c>
      <c r="K1225">
        <f t="shared" si="59"/>
        <v>0</v>
      </c>
    </row>
    <row r="1226" spans="1:11" x14ac:dyDescent="0.25">
      <c r="A1226" s="5">
        <v>792</v>
      </c>
      <c r="B1226" s="3">
        <v>26</v>
      </c>
      <c r="C1226" t="s">
        <v>43</v>
      </c>
      <c r="D1226" t="s">
        <v>67</v>
      </c>
      <c r="E1226" t="s">
        <v>52</v>
      </c>
      <c r="F1226" t="s">
        <v>36</v>
      </c>
      <c r="G1226" s="3">
        <v>2</v>
      </c>
      <c r="I1226" t="str">
        <f t="shared" si="57"/>
        <v>25-34</v>
      </c>
      <c r="J1226" t="str">
        <f t="shared" si="58"/>
        <v>Promoted in 1-3 years</v>
      </c>
      <c r="K1226">
        <f t="shared" si="59"/>
        <v>0</v>
      </c>
    </row>
    <row r="1227" spans="1:11" x14ac:dyDescent="0.25">
      <c r="A1227" s="5">
        <v>1060</v>
      </c>
      <c r="B1227" s="3">
        <v>38</v>
      </c>
      <c r="C1227" t="s">
        <v>43</v>
      </c>
      <c r="D1227" t="s">
        <v>35</v>
      </c>
      <c r="E1227" t="s">
        <v>61</v>
      </c>
      <c r="F1227" t="s">
        <v>36</v>
      </c>
      <c r="G1227" s="3">
        <v>2</v>
      </c>
      <c r="I1227" t="str">
        <f t="shared" si="57"/>
        <v>35-44</v>
      </c>
      <c r="J1227" t="str">
        <f t="shared" si="58"/>
        <v>Promoted in 1-3 years</v>
      </c>
      <c r="K1227">
        <f t="shared" si="59"/>
        <v>0</v>
      </c>
    </row>
    <row r="1228" spans="1:11" x14ac:dyDescent="0.25">
      <c r="A1228" s="5">
        <v>1801</v>
      </c>
      <c r="B1228" s="3">
        <v>46</v>
      </c>
      <c r="C1228" t="s">
        <v>43</v>
      </c>
      <c r="D1228" t="s">
        <v>67</v>
      </c>
      <c r="E1228" t="s">
        <v>41</v>
      </c>
      <c r="F1228" t="s">
        <v>42</v>
      </c>
      <c r="G1228" s="3">
        <v>2</v>
      </c>
      <c r="I1228" t="str">
        <f t="shared" si="57"/>
        <v>45-54</v>
      </c>
      <c r="J1228" t="str">
        <f t="shared" si="58"/>
        <v>Promoted in 1-3 years</v>
      </c>
      <c r="K1228">
        <f t="shared" si="59"/>
        <v>0</v>
      </c>
    </row>
    <row r="1229" spans="1:11" x14ac:dyDescent="0.25">
      <c r="A1229" s="5">
        <v>754</v>
      </c>
      <c r="B1229" s="3">
        <v>43</v>
      </c>
      <c r="C1229" t="s">
        <v>43</v>
      </c>
      <c r="D1229" t="s">
        <v>49</v>
      </c>
      <c r="E1229" t="s">
        <v>61</v>
      </c>
      <c r="F1229" t="s">
        <v>36</v>
      </c>
      <c r="G1229" s="3">
        <v>2</v>
      </c>
      <c r="I1229" t="str">
        <f t="shared" si="57"/>
        <v>35-44</v>
      </c>
      <c r="J1229" t="str">
        <f t="shared" si="58"/>
        <v>Promoted in 1-3 years</v>
      </c>
      <c r="K1229">
        <f t="shared" si="59"/>
        <v>0</v>
      </c>
    </row>
    <row r="1230" spans="1:11" x14ac:dyDescent="0.25">
      <c r="A1230" s="5">
        <v>399</v>
      </c>
      <c r="B1230" s="3">
        <v>31</v>
      </c>
      <c r="C1230" t="s">
        <v>43</v>
      </c>
      <c r="D1230" t="s">
        <v>49</v>
      </c>
      <c r="E1230" t="s">
        <v>52</v>
      </c>
      <c r="F1230" t="s">
        <v>36</v>
      </c>
      <c r="G1230" s="3">
        <v>2</v>
      </c>
      <c r="I1230" t="str">
        <f t="shared" si="57"/>
        <v>25-34</v>
      </c>
      <c r="J1230" t="str">
        <f t="shared" si="58"/>
        <v>Promoted in 1-3 years</v>
      </c>
      <c r="K1230">
        <f t="shared" si="59"/>
        <v>0</v>
      </c>
    </row>
    <row r="1231" spans="1:11" x14ac:dyDescent="0.25">
      <c r="A1231" s="5">
        <v>1837</v>
      </c>
      <c r="B1231" s="3">
        <v>58</v>
      </c>
      <c r="C1231" t="s">
        <v>43</v>
      </c>
      <c r="D1231" t="s">
        <v>35</v>
      </c>
      <c r="E1231" t="s">
        <v>61</v>
      </c>
      <c r="F1231" t="s">
        <v>42</v>
      </c>
      <c r="G1231" s="3">
        <v>2</v>
      </c>
      <c r="I1231" t="str">
        <f t="shared" si="57"/>
        <v>55-60</v>
      </c>
      <c r="J1231" t="str">
        <f t="shared" si="58"/>
        <v>Promoted in 1-3 years</v>
      </c>
      <c r="K1231">
        <f t="shared" si="59"/>
        <v>0</v>
      </c>
    </row>
    <row r="1232" spans="1:11" x14ac:dyDescent="0.25">
      <c r="A1232" s="5">
        <v>1135</v>
      </c>
      <c r="B1232" s="3">
        <v>31</v>
      </c>
      <c r="C1232" t="s">
        <v>43</v>
      </c>
      <c r="D1232" t="s">
        <v>49</v>
      </c>
      <c r="E1232" t="s">
        <v>61</v>
      </c>
      <c r="F1232" t="s">
        <v>36</v>
      </c>
      <c r="G1232" s="3">
        <v>2</v>
      </c>
      <c r="I1232" t="str">
        <f t="shared" si="57"/>
        <v>25-34</v>
      </c>
      <c r="J1232" t="str">
        <f t="shared" si="58"/>
        <v>Promoted in 1-3 years</v>
      </c>
      <c r="K1232">
        <f t="shared" si="59"/>
        <v>0</v>
      </c>
    </row>
    <row r="1233" spans="1:11" x14ac:dyDescent="0.25">
      <c r="A1233" s="5">
        <v>274</v>
      </c>
      <c r="B1233" s="3">
        <v>27</v>
      </c>
      <c r="C1233" t="s">
        <v>43</v>
      </c>
      <c r="D1233" t="s">
        <v>64</v>
      </c>
      <c r="E1233" t="s">
        <v>61</v>
      </c>
      <c r="F1233" t="s">
        <v>36</v>
      </c>
      <c r="G1233" s="3">
        <v>2</v>
      </c>
      <c r="I1233" t="str">
        <f t="shared" si="57"/>
        <v>25-34</v>
      </c>
      <c r="J1233" t="str">
        <f t="shared" si="58"/>
        <v>Promoted in 1-3 years</v>
      </c>
      <c r="K1233">
        <f t="shared" si="59"/>
        <v>0</v>
      </c>
    </row>
    <row r="1234" spans="1:11" x14ac:dyDescent="0.25">
      <c r="A1234" s="5">
        <v>632</v>
      </c>
      <c r="B1234" s="3">
        <v>24</v>
      </c>
      <c r="C1234" t="s">
        <v>43</v>
      </c>
      <c r="D1234" t="s">
        <v>49</v>
      </c>
      <c r="E1234" t="s">
        <v>61</v>
      </c>
      <c r="F1234" t="s">
        <v>53</v>
      </c>
      <c r="G1234" s="3">
        <v>2</v>
      </c>
      <c r="I1234" t="str">
        <f t="shared" si="57"/>
        <v>18-24</v>
      </c>
      <c r="J1234" t="str">
        <f t="shared" si="58"/>
        <v>Promoted in 1-3 years</v>
      </c>
      <c r="K1234">
        <f t="shared" si="59"/>
        <v>0</v>
      </c>
    </row>
    <row r="1235" spans="1:11" x14ac:dyDescent="0.25">
      <c r="A1235" s="5">
        <v>218</v>
      </c>
      <c r="B1235" s="3">
        <v>27</v>
      </c>
      <c r="C1235" t="s">
        <v>43</v>
      </c>
      <c r="D1235" t="s">
        <v>49</v>
      </c>
      <c r="E1235" t="s">
        <v>52</v>
      </c>
      <c r="F1235" t="s">
        <v>36</v>
      </c>
      <c r="G1235" s="3">
        <v>2</v>
      </c>
      <c r="I1235" t="str">
        <f t="shared" si="57"/>
        <v>25-34</v>
      </c>
      <c r="J1235" t="str">
        <f t="shared" si="58"/>
        <v>Promoted in 1-3 years</v>
      </c>
      <c r="K1235">
        <f t="shared" si="59"/>
        <v>0</v>
      </c>
    </row>
    <row r="1236" spans="1:11" x14ac:dyDescent="0.25">
      <c r="A1236" s="5">
        <v>1496</v>
      </c>
      <c r="B1236" s="3">
        <v>44</v>
      </c>
      <c r="C1236" t="s">
        <v>43</v>
      </c>
      <c r="D1236" t="s">
        <v>64</v>
      </c>
      <c r="E1236" t="s">
        <v>41</v>
      </c>
      <c r="F1236" t="s">
        <v>42</v>
      </c>
      <c r="G1236" s="3">
        <v>2</v>
      </c>
      <c r="I1236" t="str">
        <f t="shared" si="57"/>
        <v>35-44</v>
      </c>
      <c r="J1236" t="str">
        <f t="shared" si="58"/>
        <v>Promoted in 1-3 years</v>
      </c>
      <c r="K1236">
        <f t="shared" si="59"/>
        <v>0</v>
      </c>
    </row>
    <row r="1237" spans="1:11" x14ac:dyDescent="0.25">
      <c r="A1237" s="5">
        <v>174</v>
      </c>
      <c r="B1237" s="3">
        <v>50</v>
      </c>
      <c r="C1237" t="s">
        <v>43</v>
      </c>
      <c r="D1237" t="s">
        <v>49</v>
      </c>
      <c r="E1237" t="s">
        <v>41</v>
      </c>
      <c r="F1237" t="s">
        <v>42</v>
      </c>
      <c r="G1237" s="3">
        <v>2</v>
      </c>
      <c r="I1237" t="str">
        <f t="shared" si="57"/>
        <v>45-54</v>
      </c>
      <c r="J1237" t="str">
        <f t="shared" si="58"/>
        <v>Promoted in 1-3 years</v>
      </c>
      <c r="K1237">
        <f t="shared" si="59"/>
        <v>0</v>
      </c>
    </row>
    <row r="1238" spans="1:11" x14ac:dyDescent="0.25">
      <c r="A1238" s="5">
        <v>1412</v>
      </c>
      <c r="B1238" s="3">
        <v>35</v>
      </c>
      <c r="C1238" t="s">
        <v>43</v>
      </c>
      <c r="D1238" t="s">
        <v>67</v>
      </c>
      <c r="E1238" t="s">
        <v>41</v>
      </c>
      <c r="F1238" t="s">
        <v>42</v>
      </c>
      <c r="G1238" s="3">
        <v>2</v>
      </c>
      <c r="I1238" t="str">
        <f t="shared" si="57"/>
        <v>35-44</v>
      </c>
      <c r="J1238" t="str">
        <f t="shared" si="58"/>
        <v>Promoted in 1-3 years</v>
      </c>
      <c r="K1238">
        <f t="shared" si="59"/>
        <v>0</v>
      </c>
    </row>
    <row r="1239" spans="1:11" x14ac:dyDescent="0.25">
      <c r="A1239" s="5">
        <v>1812</v>
      </c>
      <c r="B1239" s="3">
        <v>39</v>
      </c>
      <c r="C1239" t="s">
        <v>43</v>
      </c>
      <c r="D1239" t="s">
        <v>49</v>
      </c>
      <c r="E1239" t="s">
        <v>52</v>
      </c>
      <c r="F1239" t="s">
        <v>36</v>
      </c>
      <c r="G1239" s="3">
        <v>2</v>
      </c>
      <c r="I1239" t="str">
        <f t="shared" si="57"/>
        <v>35-44</v>
      </c>
      <c r="J1239" t="str">
        <f t="shared" si="58"/>
        <v>Promoted in 1-3 years</v>
      </c>
      <c r="K1239">
        <f t="shared" si="59"/>
        <v>0</v>
      </c>
    </row>
    <row r="1240" spans="1:11" x14ac:dyDescent="0.25">
      <c r="A1240" s="5">
        <v>23</v>
      </c>
      <c r="B1240" s="3">
        <v>53</v>
      </c>
      <c r="C1240" t="s">
        <v>43</v>
      </c>
      <c r="D1240" t="s">
        <v>35</v>
      </c>
      <c r="E1240" t="s">
        <v>61</v>
      </c>
      <c r="F1240" t="s">
        <v>42</v>
      </c>
      <c r="G1240" s="3">
        <v>3</v>
      </c>
      <c r="I1240" t="str">
        <f t="shared" si="57"/>
        <v>45-54</v>
      </c>
      <c r="J1240" t="str">
        <f t="shared" si="58"/>
        <v>Promoted in 1-3 years</v>
      </c>
      <c r="K1240">
        <f t="shared" si="59"/>
        <v>0</v>
      </c>
    </row>
    <row r="1241" spans="1:11" x14ac:dyDescent="0.25">
      <c r="A1241" s="5">
        <v>734</v>
      </c>
      <c r="B1241" s="3">
        <v>41</v>
      </c>
      <c r="C1241" t="s">
        <v>43</v>
      </c>
      <c r="D1241" t="s">
        <v>49</v>
      </c>
      <c r="E1241" t="s">
        <v>61</v>
      </c>
      <c r="F1241" t="s">
        <v>36</v>
      </c>
      <c r="G1241" s="3">
        <v>2</v>
      </c>
      <c r="I1241" t="str">
        <f t="shared" si="57"/>
        <v>35-44</v>
      </c>
      <c r="J1241" t="str">
        <f t="shared" si="58"/>
        <v>Promoted in 1-3 years</v>
      </c>
      <c r="K1241">
        <f t="shared" si="59"/>
        <v>0</v>
      </c>
    </row>
    <row r="1242" spans="1:11" x14ac:dyDescent="0.25">
      <c r="A1242" s="5">
        <v>1267</v>
      </c>
      <c r="B1242" s="3">
        <v>44</v>
      </c>
      <c r="C1242" t="s">
        <v>43</v>
      </c>
      <c r="D1242" t="s">
        <v>49</v>
      </c>
      <c r="E1242" t="s">
        <v>61</v>
      </c>
      <c r="F1242" t="s">
        <v>36</v>
      </c>
      <c r="G1242" s="3">
        <v>3</v>
      </c>
      <c r="I1242" t="str">
        <f t="shared" si="57"/>
        <v>35-44</v>
      </c>
      <c r="J1242" t="str">
        <f t="shared" si="58"/>
        <v>Promoted in 1-3 years</v>
      </c>
      <c r="K1242">
        <f t="shared" si="59"/>
        <v>0</v>
      </c>
    </row>
    <row r="1243" spans="1:11" x14ac:dyDescent="0.25">
      <c r="A1243" s="5">
        <v>731</v>
      </c>
      <c r="B1243" s="3">
        <v>41</v>
      </c>
      <c r="C1243" t="s">
        <v>43</v>
      </c>
      <c r="D1243" t="s">
        <v>35</v>
      </c>
      <c r="E1243" t="s">
        <v>52</v>
      </c>
      <c r="F1243" t="s">
        <v>50</v>
      </c>
      <c r="G1243" s="3">
        <v>12</v>
      </c>
      <c r="I1243" t="str">
        <f t="shared" si="57"/>
        <v>35-44</v>
      </c>
      <c r="J1243" t="str">
        <f t="shared" si="58"/>
        <v>Long Promotion gap</v>
      </c>
      <c r="K1243">
        <f t="shared" si="59"/>
        <v>0</v>
      </c>
    </row>
    <row r="1244" spans="1:11" x14ac:dyDescent="0.25">
      <c r="A1244" s="5">
        <v>1293</v>
      </c>
      <c r="B1244" s="3">
        <v>43</v>
      </c>
      <c r="C1244" t="s">
        <v>43</v>
      </c>
      <c r="D1244" t="s">
        <v>35</v>
      </c>
      <c r="E1244" t="s">
        <v>41</v>
      </c>
      <c r="F1244" t="s">
        <v>42</v>
      </c>
      <c r="G1244" s="3">
        <v>15</v>
      </c>
      <c r="I1244" t="str">
        <f t="shared" si="57"/>
        <v>35-44</v>
      </c>
      <c r="J1244" t="str">
        <f t="shared" si="58"/>
        <v>Long Promotion gap</v>
      </c>
      <c r="K1244">
        <f t="shared" si="59"/>
        <v>0</v>
      </c>
    </row>
    <row r="1245" spans="1:11" x14ac:dyDescent="0.25">
      <c r="A1245" s="5">
        <v>1740</v>
      </c>
      <c r="B1245" s="3">
        <v>40</v>
      </c>
      <c r="C1245" t="s">
        <v>43</v>
      </c>
      <c r="D1245" t="s">
        <v>35</v>
      </c>
      <c r="E1245" t="s">
        <v>41</v>
      </c>
      <c r="F1245" t="s">
        <v>42</v>
      </c>
      <c r="G1245" s="3">
        <v>12</v>
      </c>
      <c r="I1245" t="str">
        <f t="shared" si="57"/>
        <v>35-44</v>
      </c>
      <c r="J1245" t="str">
        <f t="shared" si="58"/>
        <v>Long Promotion gap</v>
      </c>
      <c r="K1245">
        <f t="shared" si="59"/>
        <v>0</v>
      </c>
    </row>
    <row r="1246" spans="1:11" x14ac:dyDescent="0.25">
      <c r="A1246" s="5">
        <v>81</v>
      </c>
      <c r="B1246" s="3">
        <v>59</v>
      </c>
      <c r="C1246" t="s">
        <v>43</v>
      </c>
      <c r="D1246" t="s">
        <v>49</v>
      </c>
      <c r="E1246" t="s">
        <v>41</v>
      </c>
      <c r="F1246" t="s">
        <v>42</v>
      </c>
      <c r="G1246" s="3">
        <v>7</v>
      </c>
      <c r="I1246" t="str">
        <f t="shared" si="57"/>
        <v>55-60</v>
      </c>
      <c r="J1246" t="str">
        <f t="shared" si="58"/>
        <v>Long Promotion gap</v>
      </c>
      <c r="K1246">
        <f t="shared" si="59"/>
        <v>0</v>
      </c>
    </row>
    <row r="1247" spans="1:11" x14ac:dyDescent="0.25">
      <c r="A1247" s="5">
        <v>1975</v>
      </c>
      <c r="B1247" s="3">
        <v>39</v>
      </c>
      <c r="C1247" t="s">
        <v>43</v>
      </c>
      <c r="D1247" t="s">
        <v>35</v>
      </c>
      <c r="E1247" t="s">
        <v>41</v>
      </c>
      <c r="F1247" t="s">
        <v>42</v>
      </c>
      <c r="G1247" s="3">
        <v>11</v>
      </c>
      <c r="I1247" t="str">
        <f t="shared" si="57"/>
        <v>35-44</v>
      </c>
      <c r="J1247" t="str">
        <f t="shared" si="58"/>
        <v>Long Promotion gap</v>
      </c>
      <c r="K1247">
        <f t="shared" si="59"/>
        <v>0</v>
      </c>
    </row>
    <row r="1248" spans="1:11" x14ac:dyDescent="0.25">
      <c r="A1248" s="5">
        <v>2056</v>
      </c>
      <c r="B1248" s="3">
        <v>39</v>
      </c>
      <c r="C1248" t="s">
        <v>43</v>
      </c>
      <c r="D1248" t="s">
        <v>64</v>
      </c>
      <c r="E1248" t="s">
        <v>61</v>
      </c>
      <c r="F1248" t="s">
        <v>36</v>
      </c>
      <c r="G1248" s="3">
        <v>9</v>
      </c>
      <c r="I1248" t="str">
        <f t="shared" si="57"/>
        <v>35-44</v>
      </c>
      <c r="J1248" t="str">
        <f t="shared" si="58"/>
        <v>Long Promotion gap</v>
      </c>
      <c r="K1248">
        <f t="shared" si="59"/>
        <v>0</v>
      </c>
    </row>
    <row r="1249" spans="1:11" x14ac:dyDescent="0.25">
      <c r="A1249" s="5">
        <v>851</v>
      </c>
      <c r="B1249" s="3">
        <v>51</v>
      </c>
      <c r="C1249" t="s">
        <v>43</v>
      </c>
      <c r="D1249" t="s">
        <v>35</v>
      </c>
      <c r="E1249" t="s">
        <v>61</v>
      </c>
      <c r="F1249" t="s">
        <v>36</v>
      </c>
      <c r="G1249" s="3">
        <v>4</v>
      </c>
      <c r="I1249" t="str">
        <f t="shared" si="57"/>
        <v>45-54</v>
      </c>
      <c r="J1249" t="str">
        <f t="shared" si="58"/>
        <v>Long Promotion gap</v>
      </c>
      <c r="K1249">
        <f t="shared" si="59"/>
        <v>0</v>
      </c>
    </row>
    <row r="1250" spans="1:11" x14ac:dyDescent="0.25">
      <c r="A1250" s="5">
        <v>1863</v>
      </c>
      <c r="B1250" s="3">
        <v>46</v>
      </c>
      <c r="C1250" t="s">
        <v>43</v>
      </c>
      <c r="D1250" t="s">
        <v>49</v>
      </c>
      <c r="E1250" t="s">
        <v>52</v>
      </c>
      <c r="F1250" t="s">
        <v>36</v>
      </c>
      <c r="G1250" s="3">
        <v>2</v>
      </c>
      <c r="I1250" t="str">
        <f t="shared" si="57"/>
        <v>45-54</v>
      </c>
      <c r="J1250" t="str">
        <f t="shared" si="58"/>
        <v>Promoted in 1-3 years</v>
      </c>
      <c r="K1250">
        <f t="shared" si="59"/>
        <v>0</v>
      </c>
    </row>
    <row r="1251" spans="1:11" x14ac:dyDescent="0.25">
      <c r="A1251" s="5">
        <v>625</v>
      </c>
      <c r="B1251" s="3">
        <v>41</v>
      </c>
      <c r="C1251" t="s">
        <v>43</v>
      </c>
      <c r="D1251" t="s">
        <v>70</v>
      </c>
      <c r="E1251" t="s">
        <v>61</v>
      </c>
      <c r="F1251" t="s">
        <v>36</v>
      </c>
      <c r="G1251" s="3">
        <v>11</v>
      </c>
      <c r="I1251" t="str">
        <f t="shared" si="57"/>
        <v>35-44</v>
      </c>
      <c r="J1251" t="str">
        <f t="shared" si="58"/>
        <v>Long Promotion gap</v>
      </c>
      <c r="K1251">
        <f t="shared" si="59"/>
        <v>0</v>
      </c>
    </row>
    <row r="1252" spans="1:11" x14ac:dyDescent="0.25">
      <c r="A1252" s="5">
        <v>857</v>
      </c>
      <c r="B1252" s="3">
        <v>36</v>
      </c>
      <c r="C1252" t="s">
        <v>43</v>
      </c>
      <c r="D1252" t="s">
        <v>67</v>
      </c>
      <c r="E1252" t="s">
        <v>61</v>
      </c>
      <c r="F1252" t="s">
        <v>36</v>
      </c>
      <c r="G1252" s="3">
        <v>4</v>
      </c>
      <c r="I1252" t="str">
        <f t="shared" si="57"/>
        <v>35-44</v>
      </c>
      <c r="J1252" t="str">
        <f t="shared" si="58"/>
        <v>Long Promotion gap</v>
      </c>
      <c r="K1252">
        <f t="shared" si="59"/>
        <v>0</v>
      </c>
    </row>
    <row r="1253" spans="1:11" x14ac:dyDescent="0.25">
      <c r="A1253" s="5">
        <v>981</v>
      </c>
      <c r="B1253" s="3">
        <v>53</v>
      </c>
      <c r="C1253" t="s">
        <v>43</v>
      </c>
      <c r="D1253" t="s">
        <v>67</v>
      </c>
      <c r="E1253" t="s">
        <v>52</v>
      </c>
      <c r="F1253" t="s">
        <v>36</v>
      </c>
      <c r="G1253" s="3">
        <v>15</v>
      </c>
      <c r="I1253" t="str">
        <f t="shared" si="57"/>
        <v>45-54</v>
      </c>
      <c r="J1253" t="str">
        <f t="shared" si="58"/>
        <v>Long Promotion gap</v>
      </c>
      <c r="K1253">
        <f t="shared" si="59"/>
        <v>0</v>
      </c>
    </row>
    <row r="1254" spans="1:11" x14ac:dyDescent="0.25">
      <c r="A1254" s="5">
        <v>307</v>
      </c>
      <c r="B1254" s="3">
        <v>38</v>
      </c>
      <c r="C1254" t="s">
        <v>43</v>
      </c>
      <c r="D1254" t="s">
        <v>49</v>
      </c>
      <c r="E1254" t="s">
        <v>52</v>
      </c>
      <c r="F1254" t="s">
        <v>53</v>
      </c>
      <c r="G1254" s="3">
        <v>5</v>
      </c>
      <c r="I1254" t="str">
        <f t="shared" si="57"/>
        <v>35-44</v>
      </c>
      <c r="J1254" t="str">
        <f t="shared" si="58"/>
        <v>Long Promotion gap</v>
      </c>
      <c r="K1254">
        <f t="shared" si="59"/>
        <v>0</v>
      </c>
    </row>
    <row r="1255" spans="1:11" x14ac:dyDescent="0.25">
      <c r="A1255" s="5">
        <v>182</v>
      </c>
      <c r="B1255" s="3">
        <v>39</v>
      </c>
      <c r="C1255" t="s">
        <v>43</v>
      </c>
      <c r="D1255" t="s">
        <v>35</v>
      </c>
      <c r="E1255" t="s">
        <v>61</v>
      </c>
      <c r="F1255" t="s">
        <v>36</v>
      </c>
      <c r="G1255" s="3">
        <v>5</v>
      </c>
      <c r="I1255" t="str">
        <f t="shared" si="57"/>
        <v>35-44</v>
      </c>
      <c r="J1255" t="str">
        <f t="shared" si="58"/>
        <v>Long Promotion gap</v>
      </c>
      <c r="K1255">
        <f t="shared" si="59"/>
        <v>0</v>
      </c>
    </row>
    <row r="1256" spans="1:11" x14ac:dyDescent="0.25">
      <c r="A1256" s="5">
        <v>100</v>
      </c>
      <c r="B1256" s="3">
        <v>35</v>
      </c>
      <c r="C1256" t="s">
        <v>43</v>
      </c>
      <c r="D1256" t="s">
        <v>35</v>
      </c>
      <c r="E1256" t="s">
        <v>41</v>
      </c>
      <c r="F1256" t="s">
        <v>42</v>
      </c>
      <c r="G1256" s="3">
        <v>2</v>
      </c>
      <c r="I1256" t="str">
        <f t="shared" si="57"/>
        <v>35-44</v>
      </c>
      <c r="J1256" t="str">
        <f t="shared" si="58"/>
        <v>Promoted in 1-3 years</v>
      </c>
      <c r="K1256">
        <f t="shared" si="59"/>
        <v>0</v>
      </c>
    </row>
    <row r="1257" spans="1:11" x14ac:dyDescent="0.25">
      <c r="A1257" s="5">
        <v>1995</v>
      </c>
      <c r="B1257" s="3">
        <v>38</v>
      </c>
      <c r="C1257" t="s">
        <v>43</v>
      </c>
      <c r="D1257" t="s">
        <v>35</v>
      </c>
      <c r="E1257" t="s">
        <v>61</v>
      </c>
      <c r="F1257" t="s">
        <v>53</v>
      </c>
      <c r="G1257" s="3">
        <v>5</v>
      </c>
      <c r="I1257" t="str">
        <f t="shared" si="57"/>
        <v>35-44</v>
      </c>
      <c r="J1257" t="str">
        <f t="shared" si="58"/>
        <v>Long Promotion gap</v>
      </c>
      <c r="K1257">
        <f t="shared" si="59"/>
        <v>0</v>
      </c>
    </row>
    <row r="1258" spans="1:11" x14ac:dyDescent="0.25">
      <c r="A1258" s="5">
        <v>2016</v>
      </c>
      <c r="B1258" s="3">
        <v>32</v>
      </c>
      <c r="C1258" t="s">
        <v>43</v>
      </c>
      <c r="D1258" t="s">
        <v>35</v>
      </c>
      <c r="E1258" t="s">
        <v>61</v>
      </c>
      <c r="F1258" t="s">
        <v>53</v>
      </c>
      <c r="G1258" s="3">
        <v>5</v>
      </c>
      <c r="I1258" t="str">
        <f t="shared" si="57"/>
        <v>25-34</v>
      </c>
      <c r="J1258" t="str">
        <f t="shared" si="58"/>
        <v>Long Promotion gap</v>
      </c>
      <c r="K1258">
        <f t="shared" si="59"/>
        <v>0</v>
      </c>
    </row>
    <row r="1259" spans="1:11" x14ac:dyDescent="0.25">
      <c r="A1259" s="5">
        <v>1710</v>
      </c>
      <c r="B1259" s="3">
        <v>36</v>
      </c>
      <c r="C1259" t="s">
        <v>43</v>
      </c>
      <c r="D1259" t="s">
        <v>35</v>
      </c>
      <c r="E1259" t="s">
        <v>41</v>
      </c>
      <c r="F1259" t="s">
        <v>42</v>
      </c>
      <c r="G1259" s="3">
        <v>6</v>
      </c>
      <c r="I1259" t="str">
        <f t="shared" si="57"/>
        <v>35-44</v>
      </c>
      <c r="J1259" t="str">
        <f t="shared" si="58"/>
        <v>Long Promotion gap</v>
      </c>
      <c r="K1259">
        <f t="shared" si="59"/>
        <v>0</v>
      </c>
    </row>
    <row r="1260" spans="1:11" x14ac:dyDescent="0.25">
      <c r="A1260" s="5">
        <v>1527</v>
      </c>
      <c r="B1260" s="3">
        <v>46</v>
      </c>
      <c r="C1260" t="s">
        <v>43</v>
      </c>
      <c r="D1260" t="s">
        <v>49</v>
      </c>
      <c r="E1260" t="s">
        <v>61</v>
      </c>
      <c r="F1260" t="s">
        <v>36</v>
      </c>
      <c r="G1260" s="3">
        <v>5</v>
      </c>
      <c r="I1260" t="str">
        <f t="shared" si="57"/>
        <v>45-54</v>
      </c>
      <c r="J1260" t="str">
        <f t="shared" si="58"/>
        <v>Long Promotion gap</v>
      </c>
      <c r="K1260">
        <f t="shared" si="59"/>
        <v>0</v>
      </c>
    </row>
    <row r="1261" spans="1:11" x14ac:dyDescent="0.25">
      <c r="A1261" s="5">
        <v>420</v>
      </c>
      <c r="B1261" s="3">
        <v>32</v>
      </c>
      <c r="C1261" t="s">
        <v>43</v>
      </c>
      <c r="D1261" t="s">
        <v>49</v>
      </c>
      <c r="E1261" t="s">
        <v>61</v>
      </c>
      <c r="F1261" t="s">
        <v>36</v>
      </c>
      <c r="G1261" s="3">
        <v>4</v>
      </c>
      <c r="I1261" t="str">
        <f t="shared" si="57"/>
        <v>25-34</v>
      </c>
      <c r="J1261" t="str">
        <f t="shared" si="58"/>
        <v>Long Promotion gap</v>
      </c>
      <c r="K1261">
        <f t="shared" si="59"/>
        <v>0</v>
      </c>
    </row>
    <row r="1262" spans="1:11" x14ac:dyDescent="0.25">
      <c r="A1262" s="5">
        <v>1478</v>
      </c>
      <c r="B1262" s="3">
        <v>34</v>
      </c>
      <c r="C1262" t="s">
        <v>43</v>
      </c>
      <c r="D1262" t="s">
        <v>49</v>
      </c>
      <c r="E1262" t="s">
        <v>41</v>
      </c>
      <c r="F1262" t="s">
        <v>42</v>
      </c>
      <c r="G1262" s="3">
        <v>3</v>
      </c>
      <c r="I1262" t="str">
        <f t="shared" si="57"/>
        <v>25-34</v>
      </c>
      <c r="J1262" t="str">
        <f t="shared" si="58"/>
        <v>Promoted in 1-3 years</v>
      </c>
      <c r="K1262">
        <f t="shared" si="59"/>
        <v>0</v>
      </c>
    </row>
    <row r="1263" spans="1:11" x14ac:dyDescent="0.25">
      <c r="A1263" s="5">
        <v>1453</v>
      </c>
      <c r="B1263" s="3">
        <v>31</v>
      </c>
      <c r="C1263" t="s">
        <v>43</v>
      </c>
      <c r="D1263" t="s">
        <v>67</v>
      </c>
      <c r="E1263" t="s">
        <v>52</v>
      </c>
      <c r="F1263" t="s">
        <v>36</v>
      </c>
      <c r="G1263" s="3">
        <v>9</v>
      </c>
      <c r="I1263" t="str">
        <f t="shared" si="57"/>
        <v>25-34</v>
      </c>
      <c r="J1263" t="str">
        <f t="shared" si="58"/>
        <v>Long Promotion gap</v>
      </c>
      <c r="K1263">
        <f t="shared" si="59"/>
        <v>0</v>
      </c>
    </row>
    <row r="1264" spans="1:11" x14ac:dyDescent="0.25">
      <c r="A1264" s="5">
        <v>436</v>
      </c>
      <c r="B1264" s="3">
        <v>32</v>
      </c>
      <c r="C1264" t="s">
        <v>43</v>
      </c>
      <c r="D1264" t="s">
        <v>67</v>
      </c>
      <c r="E1264" t="s">
        <v>61</v>
      </c>
      <c r="F1264" t="s">
        <v>42</v>
      </c>
      <c r="G1264" s="3">
        <v>11</v>
      </c>
      <c r="I1264" t="str">
        <f t="shared" si="57"/>
        <v>25-34</v>
      </c>
      <c r="J1264" t="str">
        <f t="shared" si="58"/>
        <v>Long Promotion gap</v>
      </c>
      <c r="K1264">
        <f t="shared" si="59"/>
        <v>0</v>
      </c>
    </row>
    <row r="1265" spans="1:11" x14ac:dyDescent="0.25">
      <c r="A1265" s="5">
        <v>1039</v>
      </c>
      <c r="B1265" s="3">
        <v>44</v>
      </c>
      <c r="C1265" t="s">
        <v>43</v>
      </c>
      <c r="D1265" t="s">
        <v>49</v>
      </c>
      <c r="E1265" t="s">
        <v>61</v>
      </c>
      <c r="F1265" t="s">
        <v>36</v>
      </c>
      <c r="G1265" s="3">
        <v>11</v>
      </c>
      <c r="I1265" t="str">
        <f t="shared" si="57"/>
        <v>35-44</v>
      </c>
      <c r="J1265" t="str">
        <f t="shared" si="58"/>
        <v>Long Promotion gap</v>
      </c>
      <c r="K1265">
        <f t="shared" si="59"/>
        <v>0</v>
      </c>
    </row>
    <row r="1266" spans="1:11" x14ac:dyDescent="0.25">
      <c r="A1266" s="5">
        <v>215</v>
      </c>
      <c r="B1266" s="3">
        <v>40</v>
      </c>
      <c r="C1266" t="s">
        <v>43</v>
      </c>
      <c r="D1266" t="s">
        <v>35</v>
      </c>
      <c r="E1266" t="s">
        <v>61</v>
      </c>
      <c r="F1266" t="s">
        <v>36</v>
      </c>
      <c r="G1266" s="3">
        <v>2</v>
      </c>
      <c r="I1266" t="str">
        <f t="shared" si="57"/>
        <v>35-44</v>
      </c>
      <c r="J1266" t="str">
        <f t="shared" si="58"/>
        <v>Promoted in 1-3 years</v>
      </c>
      <c r="K1266">
        <f t="shared" si="59"/>
        <v>0</v>
      </c>
    </row>
    <row r="1267" spans="1:11" x14ac:dyDescent="0.25">
      <c r="A1267" s="5">
        <v>1784</v>
      </c>
      <c r="B1267" s="3">
        <v>31</v>
      </c>
      <c r="C1267" t="s">
        <v>43</v>
      </c>
      <c r="D1267" t="s">
        <v>35</v>
      </c>
      <c r="E1267" t="s">
        <v>61</v>
      </c>
      <c r="F1267" t="s">
        <v>53</v>
      </c>
      <c r="G1267" s="3">
        <v>5</v>
      </c>
      <c r="I1267" t="str">
        <f t="shared" si="57"/>
        <v>25-34</v>
      </c>
      <c r="J1267" t="str">
        <f t="shared" si="58"/>
        <v>Long Promotion gap</v>
      </c>
      <c r="K1267">
        <f t="shared" si="59"/>
        <v>0</v>
      </c>
    </row>
    <row r="1268" spans="1:11" x14ac:dyDescent="0.25">
      <c r="A1268" s="5">
        <v>1124</v>
      </c>
      <c r="B1268" s="3">
        <v>46</v>
      </c>
      <c r="C1268" t="s">
        <v>43</v>
      </c>
      <c r="D1268" t="s">
        <v>64</v>
      </c>
      <c r="E1268" t="s">
        <v>61</v>
      </c>
      <c r="F1268" t="s">
        <v>36</v>
      </c>
      <c r="G1268" s="3">
        <v>4</v>
      </c>
      <c r="I1268" t="str">
        <f t="shared" si="57"/>
        <v>45-54</v>
      </c>
      <c r="J1268" t="str">
        <f t="shared" si="58"/>
        <v>Long Promotion gap</v>
      </c>
      <c r="K1268">
        <f t="shared" si="59"/>
        <v>0</v>
      </c>
    </row>
    <row r="1269" spans="1:11" x14ac:dyDescent="0.25">
      <c r="A1269" s="5">
        <v>406</v>
      </c>
      <c r="B1269" s="3">
        <v>35</v>
      </c>
      <c r="C1269" t="s">
        <v>43</v>
      </c>
      <c r="D1269" t="s">
        <v>49</v>
      </c>
      <c r="E1269" t="s">
        <v>61</v>
      </c>
      <c r="F1269" t="s">
        <v>53</v>
      </c>
      <c r="G1269" s="3">
        <v>6</v>
      </c>
      <c r="I1269" t="str">
        <f t="shared" si="57"/>
        <v>35-44</v>
      </c>
      <c r="J1269" t="str">
        <f t="shared" si="58"/>
        <v>Long Promotion gap</v>
      </c>
      <c r="K1269">
        <f t="shared" si="59"/>
        <v>0</v>
      </c>
    </row>
    <row r="1270" spans="1:11" x14ac:dyDescent="0.25">
      <c r="A1270" s="5">
        <v>600</v>
      </c>
      <c r="B1270" s="3">
        <v>35</v>
      </c>
      <c r="C1270" t="s">
        <v>43</v>
      </c>
      <c r="D1270" t="s">
        <v>49</v>
      </c>
      <c r="E1270" t="s">
        <v>61</v>
      </c>
      <c r="F1270" t="s">
        <v>42</v>
      </c>
      <c r="G1270" s="3">
        <v>6</v>
      </c>
      <c r="I1270" t="str">
        <f t="shared" si="57"/>
        <v>35-44</v>
      </c>
      <c r="J1270" t="str">
        <f t="shared" si="58"/>
        <v>Long Promotion gap</v>
      </c>
      <c r="K1270">
        <f t="shared" si="59"/>
        <v>0</v>
      </c>
    </row>
    <row r="1271" spans="1:11" x14ac:dyDescent="0.25">
      <c r="A1271" s="5">
        <v>121</v>
      </c>
      <c r="B1271" s="3">
        <v>30</v>
      </c>
      <c r="C1271" t="s">
        <v>43</v>
      </c>
      <c r="D1271" t="s">
        <v>67</v>
      </c>
      <c r="E1271" t="s">
        <v>52</v>
      </c>
      <c r="F1271" t="s">
        <v>50</v>
      </c>
      <c r="G1271" s="3">
        <v>2</v>
      </c>
      <c r="I1271" t="str">
        <f t="shared" si="57"/>
        <v>25-34</v>
      </c>
      <c r="J1271" t="str">
        <f t="shared" si="58"/>
        <v>Promoted in 1-3 years</v>
      </c>
      <c r="K1271">
        <f t="shared" si="59"/>
        <v>0</v>
      </c>
    </row>
    <row r="1272" spans="1:11" x14ac:dyDescent="0.25">
      <c r="A1272" s="5">
        <v>184</v>
      </c>
      <c r="B1272" s="3">
        <v>30</v>
      </c>
      <c r="C1272" t="s">
        <v>43</v>
      </c>
      <c r="D1272" t="s">
        <v>49</v>
      </c>
      <c r="E1272" t="s">
        <v>61</v>
      </c>
      <c r="F1272" t="s">
        <v>42</v>
      </c>
      <c r="G1272" s="3">
        <v>4</v>
      </c>
      <c r="I1272" t="str">
        <f t="shared" si="57"/>
        <v>25-34</v>
      </c>
      <c r="J1272" t="str">
        <f t="shared" si="58"/>
        <v>Long Promotion gap</v>
      </c>
      <c r="K1272">
        <f t="shared" si="59"/>
        <v>0</v>
      </c>
    </row>
    <row r="1273" spans="1:11" x14ac:dyDescent="0.25">
      <c r="A1273" s="5">
        <v>1986</v>
      </c>
      <c r="B1273" s="3">
        <v>40</v>
      </c>
      <c r="C1273" t="s">
        <v>43</v>
      </c>
      <c r="D1273" t="s">
        <v>67</v>
      </c>
      <c r="E1273" t="s">
        <v>61</v>
      </c>
      <c r="F1273" t="s">
        <v>36</v>
      </c>
      <c r="G1273" s="3">
        <v>5</v>
      </c>
      <c r="I1273" t="str">
        <f t="shared" si="57"/>
        <v>35-44</v>
      </c>
      <c r="J1273" t="str">
        <f t="shared" si="58"/>
        <v>Long Promotion gap</v>
      </c>
      <c r="K1273">
        <f t="shared" si="59"/>
        <v>0</v>
      </c>
    </row>
    <row r="1274" spans="1:11" x14ac:dyDescent="0.25">
      <c r="A1274" s="5">
        <v>125</v>
      </c>
      <c r="B1274" s="3">
        <v>32</v>
      </c>
      <c r="C1274" t="s">
        <v>43</v>
      </c>
      <c r="D1274" t="s">
        <v>35</v>
      </c>
      <c r="E1274" t="s">
        <v>41</v>
      </c>
      <c r="F1274" t="s">
        <v>42</v>
      </c>
      <c r="G1274" s="3">
        <v>5</v>
      </c>
      <c r="I1274" t="str">
        <f t="shared" si="57"/>
        <v>25-34</v>
      </c>
      <c r="J1274" t="str">
        <f t="shared" si="58"/>
        <v>Long Promotion gap</v>
      </c>
      <c r="K1274">
        <f t="shared" si="59"/>
        <v>0</v>
      </c>
    </row>
    <row r="1275" spans="1:11" x14ac:dyDescent="0.25">
      <c r="A1275" s="5">
        <v>1794</v>
      </c>
      <c r="B1275" s="3">
        <v>37</v>
      </c>
      <c r="C1275" t="s">
        <v>43</v>
      </c>
      <c r="D1275" t="s">
        <v>67</v>
      </c>
      <c r="E1275" t="s">
        <v>52</v>
      </c>
      <c r="F1275" t="s">
        <v>42</v>
      </c>
      <c r="G1275" s="3">
        <v>4</v>
      </c>
      <c r="I1275" t="str">
        <f t="shared" si="57"/>
        <v>35-44</v>
      </c>
      <c r="J1275" t="str">
        <f t="shared" si="58"/>
        <v>Long Promotion gap</v>
      </c>
      <c r="K1275">
        <f t="shared" si="59"/>
        <v>0</v>
      </c>
    </row>
    <row r="1276" spans="1:11" x14ac:dyDescent="0.25">
      <c r="A1276" s="5">
        <v>228</v>
      </c>
      <c r="B1276" s="3">
        <v>30</v>
      </c>
      <c r="C1276" t="s">
        <v>43</v>
      </c>
      <c r="D1276" t="s">
        <v>49</v>
      </c>
      <c r="E1276" t="s">
        <v>61</v>
      </c>
      <c r="F1276" t="s">
        <v>36</v>
      </c>
      <c r="G1276" s="3">
        <v>7</v>
      </c>
      <c r="I1276" t="str">
        <f t="shared" si="57"/>
        <v>25-34</v>
      </c>
      <c r="J1276" t="str">
        <f t="shared" si="58"/>
        <v>Long Promotion gap</v>
      </c>
      <c r="K1276">
        <f t="shared" si="59"/>
        <v>0</v>
      </c>
    </row>
    <row r="1277" spans="1:11" x14ac:dyDescent="0.25">
      <c r="A1277" s="5">
        <v>1356</v>
      </c>
      <c r="B1277" s="3">
        <v>34</v>
      </c>
      <c r="C1277" t="s">
        <v>43</v>
      </c>
      <c r="D1277" t="s">
        <v>67</v>
      </c>
      <c r="E1277" t="s">
        <v>41</v>
      </c>
      <c r="F1277" t="s">
        <v>42</v>
      </c>
      <c r="G1277" s="3">
        <v>9</v>
      </c>
      <c r="I1277" t="str">
        <f t="shared" si="57"/>
        <v>25-34</v>
      </c>
      <c r="J1277" t="str">
        <f t="shared" si="58"/>
        <v>Long Promotion gap</v>
      </c>
      <c r="K1277">
        <f t="shared" si="59"/>
        <v>0</v>
      </c>
    </row>
    <row r="1278" spans="1:11" x14ac:dyDescent="0.25">
      <c r="A1278" s="5">
        <v>621</v>
      </c>
      <c r="B1278" s="3">
        <v>34</v>
      </c>
      <c r="C1278" t="s">
        <v>43</v>
      </c>
      <c r="D1278" t="s">
        <v>35</v>
      </c>
      <c r="E1278" t="s">
        <v>41</v>
      </c>
      <c r="F1278" t="s">
        <v>42</v>
      </c>
      <c r="G1278" s="3">
        <v>5</v>
      </c>
      <c r="I1278" t="str">
        <f t="shared" si="57"/>
        <v>25-34</v>
      </c>
      <c r="J1278" t="str">
        <f t="shared" si="58"/>
        <v>Long Promotion gap</v>
      </c>
      <c r="K1278">
        <f t="shared" si="59"/>
        <v>0</v>
      </c>
    </row>
    <row r="1279" spans="1:11" x14ac:dyDescent="0.25">
      <c r="A1279" s="5">
        <v>1708</v>
      </c>
      <c r="B1279" s="3">
        <v>41</v>
      </c>
      <c r="C1279" t="s">
        <v>43</v>
      </c>
      <c r="D1279" t="s">
        <v>49</v>
      </c>
      <c r="E1279" t="s">
        <v>41</v>
      </c>
      <c r="F1279" t="s">
        <v>42</v>
      </c>
      <c r="G1279" s="3">
        <v>8</v>
      </c>
      <c r="I1279" t="str">
        <f t="shared" si="57"/>
        <v>35-44</v>
      </c>
      <c r="J1279" t="str">
        <f t="shared" si="58"/>
        <v>Long Promotion gap</v>
      </c>
      <c r="K1279">
        <f t="shared" si="59"/>
        <v>0</v>
      </c>
    </row>
    <row r="1280" spans="1:11" x14ac:dyDescent="0.25">
      <c r="A1280" s="5">
        <v>1706</v>
      </c>
      <c r="B1280" s="3">
        <v>43</v>
      </c>
      <c r="C1280" t="s">
        <v>43</v>
      </c>
      <c r="D1280" t="s">
        <v>49</v>
      </c>
      <c r="E1280" t="s">
        <v>61</v>
      </c>
      <c r="F1280" t="s">
        <v>36</v>
      </c>
      <c r="G1280" s="3">
        <v>8</v>
      </c>
      <c r="I1280" t="str">
        <f t="shared" si="57"/>
        <v>35-44</v>
      </c>
      <c r="J1280" t="str">
        <f t="shared" si="58"/>
        <v>Long Promotion gap</v>
      </c>
      <c r="K1280">
        <f t="shared" si="59"/>
        <v>0</v>
      </c>
    </row>
    <row r="1281" spans="1:11" x14ac:dyDescent="0.25">
      <c r="A1281" s="5">
        <v>513</v>
      </c>
      <c r="B1281" s="3">
        <v>36</v>
      </c>
      <c r="C1281" t="s">
        <v>43</v>
      </c>
      <c r="D1281" t="s">
        <v>67</v>
      </c>
      <c r="E1281" t="s">
        <v>61</v>
      </c>
      <c r="F1281" t="s">
        <v>53</v>
      </c>
      <c r="G1281" s="3">
        <v>9</v>
      </c>
      <c r="I1281" t="str">
        <f t="shared" si="57"/>
        <v>35-44</v>
      </c>
      <c r="J1281" t="str">
        <f t="shared" si="58"/>
        <v>Long Promotion gap</v>
      </c>
      <c r="K1281">
        <f t="shared" si="59"/>
        <v>0</v>
      </c>
    </row>
    <row r="1282" spans="1:11" x14ac:dyDescent="0.25">
      <c r="A1282" s="5">
        <v>1535</v>
      </c>
      <c r="B1282" s="3">
        <v>34</v>
      </c>
      <c r="C1282" t="s">
        <v>43</v>
      </c>
      <c r="D1282" t="s">
        <v>49</v>
      </c>
      <c r="E1282" t="s">
        <v>61</v>
      </c>
      <c r="F1282" t="s">
        <v>42</v>
      </c>
      <c r="G1282" s="3">
        <v>8</v>
      </c>
      <c r="I1282" t="str">
        <f t="shared" si="57"/>
        <v>25-34</v>
      </c>
      <c r="J1282" t="str">
        <f t="shared" si="58"/>
        <v>Long Promotion gap</v>
      </c>
      <c r="K1282">
        <f t="shared" si="59"/>
        <v>0</v>
      </c>
    </row>
    <row r="1283" spans="1:11" x14ac:dyDescent="0.25">
      <c r="A1283" s="5">
        <v>1138</v>
      </c>
      <c r="B1283" s="3">
        <v>49</v>
      </c>
      <c r="C1283" t="s">
        <v>43</v>
      </c>
      <c r="D1283" t="s">
        <v>35</v>
      </c>
      <c r="E1283" t="s">
        <v>61</v>
      </c>
      <c r="F1283" t="s">
        <v>36</v>
      </c>
      <c r="G1283" s="3">
        <v>2</v>
      </c>
      <c r="I1283" t="str">
        <f t="shared" ref="I1283:I1346" si="60">IF(B1283&lt;=24, "18-24", IF(B1283&lt;=34,"25-34", IF(B1283&lt;=44,"35-44", IF(B1283&lt;=54,"45-54", IF(B1283&lt;=60, "55-60")))))</f>
        <v>45-54</v>
      </c>
      <c r="J1283" t="str">
        <f t="shared" ref="J1283:J1346" si="61">IF(G1283&lt;=0,"Recently promoted",IF(G1283&lt;=3,"Promoted in 1-3 years","Long Promotion gap"))</f>
        <v>Promoted in 1-3 years</v>
      </c>
      <c r="K1283">
        <f t="shared" ref="K1283:K1346" si="62">IF(C1283="Yes", 1, 0)</f>
        <v>0</v>
      </c>
    </row>
    <row r="1284" spans="1:11" x14ac:dyDescent="0.25">
      <c r="A1284" s="5">
        <v>1070</v>
      </c>
      <c r="B1284" s="3">
        <v>54</v>
      </c>
      <c r="C1284" t="s">
        <v>43</v>
      </c>
      <c r="D1284" t="s">
        <v>35</v>
      </c>
      <c r="E1284" t="s">
        <v>61</v>
      </c>
      <c r="F1284" t="s">
        <v>36</v>
      </c>
      <c r="G1284" s="3">
        <v>7</v>
      </c>
      <c r="I1284" t="str">
        <f t="shared" si="60"/>
        <v>45-54</v>
      </c>
      <c r="J1284" t="str">
        <f t="shared" si="61"/>
        <v>Long Promotion gap</v>
      </c>
      <c r="K1284">
        <f t="shared" si="62"/>
        <v>0</v>
      </c>
    </row>
    <row r="1285" spans="1:11" x14ac:dyDescent="0.25">
      <c r="A1285" s="5">
        <v>698</v>
      </c>
      <c r="B1285" s="3">
        <v>54</v>
      </c>
      <c r="C1285" t="s">
        <v>43</v>
      </c>
      <c r="D1285" t="s">
        <v>35</v>
      </c>
      <c r="E1285" t="s">
        <v>61</v>
      </c>
      <c r="F1285" t="s">
        <v>36</v>
      </c>
      <c r="G1285" s="3">
        <v>7</v>
      </c>
      <c r="I1285" t="str">
        <f t="shared" si="60"/>
        <v>45-54</v>
      </c>
      <c r="J1285" t="str">
        <f t="shared" si="61"/>
        <v>Long Promotion gap</v>
      </c>
      <c r="K1285">
        <f t="shared" si="62"/>
        <v>0</v>
      </c>
    </row>
    <row r="1286" spans="1:11" x14ac:dyDescent="0.25">
      <c r="A1286" s="5">
        <v>2024</v>
      </c>
      <c r="B1286" s="3">
        <v>36</v>
      </c>
      <c r="C1286" t="s">
        <v>43</v>
      </c>
      <c r="D1286" t="s">
        <v>49</v>
      </c>
      <c r="E1286" t="s">
        <v>61</v>
      </c>
      <c r="F1286" t="s">
        <v>53</v>
      </c>
      <c r="G1286" s="3">
        <v>3</v>
      </c>
      <c r="I1286" t="str">
        <f t="shared" si="60"/>
        <v>35-44</v>
      </c>
      <c r="J1286" t="str">
        <f t="shared" si="61"/>
        <v>Promoted in 1-3 years</v>
      </c>
      <c r="K1286">
        <f t="shared" si="62"/>
        <v>0</v>
      </c>
    </row>
    <row r="1287" spans="1:11" x14ac:dyDescent="0.25">
      <c r="A1287" s="5">
        <v>595</v>
      </c>
      <c r="B1287" s="3">
        <v>48</v>
      </c>
      <c r="C1287" t="s">
        <v>43</v>
      </c>
      <c r="D1287" t="s">
        <v>70</v>
      </c>
      <c r="E1287" t="s">
        <v>61</v>
      </c>
      <c r="F1287" t="s">
        <v>36</v>
      </c>
      <c r="G1287" s="3">
        <v>6</v>
      </c>
      <c r="I1287" t="str">
        <f t="shared" si="60"/>
        <v>45-54</v>
      </c>
      <c r="J1287" t="str">
        <f t="shared" si="61"/>
        <v>Long Promotion gap</v>
      </c>
      <c r="K1287">
        <f t="shared" si="62"/>
        <v>0</v>
      </c>
    </row>
    <row r="1288" spans="1:11" x14ac:dyDescent="0.25">
      <c r="A1288" s="5">
        <v>1582</v>
      </c>
      <c r="B1288" s="3">
        <v>38</v>
      </c>
      <c r="C1288" t="s">
        <v>43</v>
      </c>
      <c r="D1288" t="s">
        <v>49</v>
      </c>
      <c r="E1288" t="s">
        <v>61</v>
      </c>
      <c r="F1288" t="s">
        <v>36</v>
      </c>
      <c r="G1288" s="3">
        <v>7</v>
      </c>
      <c r="I1288" t="str">
        <f t="shared" si="60"/>
        <v>35-44</v>
      </c>
      <c r="J1288" t="str">
        <f t="shared" si="61"/>
        <v>Long Promotion gap</v>
      </c>
      <c r="K1288">
        <f t="shared" si="62"/>
        <v>0</v>
      </c>
    </row>
    <row r="1289" spans="1:11" x14ac:dyDescent="0.25">
      <c r="A1289" s="5">
        <v>35</v>
      </c>
      <c r="B1289" s="3">
        <v>42</v>
      </c>
      <c r="C1289" t="s">
        <v>43</v>
      </c>
      <c r="D1289" t="s">
        <v>35</v>
      </c>
      <c r="E1289" t="s">
        <v>61</v>
      </c>
      <c r="F1289" t="s">
        <v>36</v>
      </c>
      <c r="G1289" s="3">
        <v>4</v>
      </c>
      <c r="I1289" t="str">
        <f t="shared" si="60"/>
        <v>35-44</v>
      </c>
      <c r="J1289" t="str">
        <f t="shared" si="61"/>
        <v>Long Promotion gap</v>
      </c>
      <c r="K1289">
        <f t="shared" si="62"/>
        <v>0</v>
      </c>
    </row>
    <row r="1290" spans="1:11" x14ac:dyDescent="0.25">
      <c r="A1290" s="5">
        <v>416</v>
      </c>
      <c r="B1290" s="3">
        <v>31</v>
      </c>
      <c r="C1290" t="s">
        <v>43</v>
      </c>
      <c r="D1290" t="s">
        <v>49</v>
      </c>
      <c r="E1290" t="s">
        <v>61</v>
      </c>
      <c r="F1290" t="s">
        <v>36</v>
      </c>
      <c r="G1290" s="3">
        <v>7</v>
      </c>
      <c r="I1290" t="str">
        <f t="shared" si="60"/>
        <v>25-34</v>
      </c>
      <c r="J1290" t="str">
        <f t="shared" si="61"/>
        <v>Long Promotion gap</v>
      </c>
      <c r="K1290">
        <f t="shared" si="62"/>
        <v>0</v>
      </c>
    </row>
    <row r="1291" spans="1:11" x14ac:dyDescent="0.25">
      <c r="A1291" s="5">
        <v>1548</v>
      </c>
      <c r="B1291" s="3">
        <v>40</v>
      </c>
      <c r="C1291" t="s">
        <v>43</v>
      </c>
      <c r="D1291" t="s">
        <v>67</v>
      </c>
      <c r="E1291" t="s">
        <v>61</v>
      </c>
      <c r="F1291" t="s">
        <v>42</v>
      </c>
      <c r="G1291" s="3">
        <v>7</v>
      </c>
      <c r="I1291" t="str">
        <f t="shared" si="60"/>
        <v>35-44</v>
      </c>
      <c r="J1291" t="str">
        <f t="shared" si="61"/>
        <v>Long Promotion gap</v>
      </c>
      <c r="K1291">
        <f t="shared" si="62"/>
        <v>0</v>
      </c>
    </row>
    <row r="1292" spans="1:11" x14ac:dyDescent="0.25">
      <c r="A1292" s="5">
        <v>606</v>
      </c>
      <c r="B1292" s="3">
        <v>45</v>
      </c>
      <c r="C1292" t="s">
        <v>43</v>
      </c>
      <c r="D1292" t="s">
        <v>49</v>
      </c>
      <c r="E1292" t="s">
        <v>61</v>
      </c>
      <c r="F1292" t="s">
        <v>36</v>
      </c>
      <c r="G1292" s="3">
        <v>3</v>
      </c>
      <c r="I1292" t="str">
        <f t="shared" si="60"/>
        <v>45-54</v>
      </c>
      <c r="J1292" t="str">
        <f t="shared" si="61"/>
        <v>Promoted in 1-3 years</v>
      </c>
      <c r="K1292">
        <f t="shared" si="62"/>
        <v>0</v>
      </c>
    </row>
    <row r="1293" spans="1:11" x14ac:dyDescent="0.25">
      <c r="A1293" s="5">
        <v>760</v>
      </c>
      <c r="B1293" s="3">
        <v>39</v>
      </c>
      <c r="C1293" t="s">
        <v>43</v>
      </c>
      <c r="D1293" t="s">
        <v>49</v>
      </c>
      <c r="E1293" t="s">
        <v>61</v>
      </c>
      <c r="F1293" t="s">
        <v>36</v>
      </c>
      <c r="G1293" s="3">
        <v>3</v>
      </c>
      <c r="I1293" t="str">
        <f t="shared" si="60"/>
        <v>35-44</v>
      </c>
      <c r="J1293" t="str">
        <f t="shared" si="61"/>
        <v>Promoted in 1-3 years</v>
      </c>
      <c r="K1293">
        <f t="shared" si="62"/>
        <v>0</v>
      </c>
    </row>
    <row r="1294" spans="1:11" x14ac:dyDescent="0.25">
      <c r="A1294" s="5">
        <v>1557</v>
      </c>
      <c r="B1294" s="3">
        <v>48</v>
      </c>
      <c r="C1294" t="s">
        <v>43</v>
      </c>
      <c r="D1294" t="s">
        <v>35</v>
      </c>
      <c r="E1294" t="s">
        <v>52</v>
      </c>
      <c r="F1294" t="s">
        <v>36</v>
      </c>
      <c r="G1294" s="3">
        <v>7</v>
      </c>
      <c r="I1294" t="str">
        <f t="shared" si="60"/>
        <v>45-54</v>
      </c>
      <c r="J1294" t="str">
        <f t="shared" si="61"/>
        <v>Long Promotion gap</v>
      </c>
      <c r="K1294">
        <f t="shared" si="62"/>
        <v>0</v>
      </c>
    </row>
    <row r="1295" spans="1:11" x14ac:dyDescent="0.25">
      <c r="A1295" s="5">
        <v>783</v>
      </c>
      <c r="B1295" s="3">
        <v>45</v>
      </c>
      <c r="C1295" t="s">
        <v>43</v>
      </c>
      <c r="D1295" t="s">
        <v>67</v>
      </c>
      <c r="E1295" t="s">
        <v>41</v>
      </c>
      <c r="F1295" t="s">
        <v>42</v>
      </c>
      <c r="G1295" s="3">
        <v>3</v>
      </c>
      <c r="I1295" t="str">
        <f t="shared" si="60"/>
        <v>45-54</v>
      </c>
      <c r="J1295" t="str">
        <f t="shared" si="61"/>
        <v>Promoted in 1-3 years</v>
      </c>
      <c r="K1295">
        <f t="shared" si="62"/>
        <v>0</v>
      </c>
    </row>
    <row r="1296" spans="1:11" x14ac:dyDescent="0.25">
      <c r="A1296" s="5">
        <v>1119</v>
      </c>
      <c r="B1296" s="3">
        <v>38</v>
      </c>
      <c r="C1296" t="s">
        <v>43</v>
      </c>
      <c r="D1296" t="s">
        <v>35</v>
      </c>
      <c r="E1296" t="s">
        <v>52</v>
      </c>
      <c r="F1296" t="s">
        <v>53</v>
      </c>
      <c r="G1296" s="3">
        <v>2</v>
      </c>
      <c r="I1296" t="str">
        <f t="shared" si="60"/>
        <v>35-44</v>
      </c>
      <c r="J1296" t="str">
        <f t="shared" si="61"/>
        <v>Promoted in 1-3 years</v>
      </c>
      <c r="K1296">
        <f t="shared" si="62"/>
        <v>0</v>
      </c>
    </row>
    <row r="1297" spans="1:11" x14ac:dyDescent="0.25">
      <c r="A1297" s="5">
        <v>476</v>
      </c>
      <c r="B1297" s="3">
        <v>26</v>
      </c>
      <c r="C1297" t="s">
        <v>43</v>
      </c>
      <c r="D1297" t="s">
        <v>49</v>
      </c>
      <c r="E1297" t="s">
        <v>61</v>
      </c>
      <c r="F1297" t="s">
        <v>36</v>
      </c>
      <c r="G1297" s="3">
        <v>7</v>
      </c>
      <c r="I1297" t="str">
        <f t="shared" si="60"/>
        <v>25-34</v>
      </c>
      <c r="J1297" t="str">
        <f t="shared" si="61"/>
        <v>Long Promotion gap</v>
      </c>
      <c r="K1297">
        <f t="shared" si="62"/>
        <v>0</v>
      </c>
    </row>
    <row r="1298" spans="1:11" x14ac:dyDescent="0.25">
      <c r="A1298" s="5">
        <v>1588</v>
      </c>
      <c r="B1298" s="3">
        <v>39</v>
      </c>
      <c r="C1298" t="s">
        <v>43</v>
      </c>
      <c r="D1298" t="s">
        <v>49</v>
      </c>
      <c r="E1298" t="s">
        <v>61</v>
      </c>
      <c r="F1298" t="s">
        <v>36</v>
      </c>
      <c r="G1298" s="3">
        <v>7</v>
      </c>
      <c r="I1298" t="str">
        <f t="shared" si="60"/>
        <v>35-44</v>
      </c>
      <c r="J1298" t="str">
        <f t="shared" si="61"/>
        <v>Long Promotion gap</v>
      </c>
      <c r="K1298">
        <f t="shared" si="62"/>
        <v>0</v>
      </c>
    </row>
    <row r="1299" spans="1:11" x14ac:dyDescent="0.25">
      <c r="A1299" s="5">
        <v>1338</v>
      </c>
      <c r="B1299" s="3">
        <v>56</v>
      </c>
      <c r="C1299" t="s">
        <v>43</v>
      </c>
      <c r="D1299" t="s">
        <v>35</v>
      </c>
      <c r="E1299" t="s">
        <v>41</v>
      </c>
      <c r="F1299" t="s">
        <v>42</v>
      </c>
      <c r="G1299" s="3">
        <v>7</v>
      </c>
      <c r="I1299" t="str">
        <f t="shared" si="60"/>
        <v>55-60</v>
      </c>
      <c r="J1299" t="str">
        <f t="shared" si="61"/>
        <v>Long Promotion gap</v>
      </c>
      <c r="K1299">
        <f t="shared" si="62"/>
        <v>0</v>
      </c>
    </row>
    <row r="1300" spans="1:11" x14ac:dyDescent="0.25">
      <c r="A1300" s="5">
        <v>1066</v>
      </c>
      <c r="B1300" s="3">
        <v>40</v>
      </c>
      <c r="C1300" t="s">
        <v>43</v>
      </c>
      <c r="D1300" t="s">
        <v>49</v>
      </c>
      <c r="E1300" t="s">
        <v>61</v>
      </c>
      <c r="F1300" t="s">
        <v>36</v>
      </c>
      <c r="G1300" s="3">
        <v>7</v>
      </c>
      <c r="I1300" t="str">
        <f t="shared" si="60"/>
        <v>35-44</v>
      </c>
      <c r="J1300" t="str">
        <f t="shared" si="61"/>
        <v>Long Promotion gap</v>
      </c>
      <c r="K1300">
        <f t="shared" si="62"/>
        <v>0</v>
      </c>
    </row>
    <row r="1301" spans="1:11" x14ac:dyDescent="0.25">
      <c r="A1301" s="5">
        <v>363</v>
      </c>
      <c r="B1301" s="3">
        <v>46</v>
      </c>
      <c r="C1301" t="s">
        <v>43</v>
      </c>
      <c r="D1301" t="s">
        <v>49</v>
      </c>
      <c r="E1301" t="s">
        <v>61</v>
      </c>
      <c r="F1301" t="s">
        <v>36</v>
      </c>
      <c r="G1301" s="3">
        <v>7</v>
      </c>
      <c r="I1301" t="str">
        <f t="shared" si="60"/>
        <v>45-54</v>
      </c>
      <c r="J1301" t="str">
        <f t="shared" si="61"/>
        <v>Long Promotion gap</v>
      </c>
      <c r="K1301">
        <f t="shared" si="62"/>
        <v>0</v>
      </c>
    </row>
    <row r="1302" spans="1:11" x14ac:dyDescent="0.25">
      <c r="A1302" s="5">
        <v>941</v>
      </c>
      <c r="B1302" s="3">
        <v>31</v>
      </c>
      <c r="C1302" t="s">
        <v>43</v>
      </c>
      <c r="D1302" t="s">
        <v>35</v>
      </c>
      <c r="E1302" t="s">
        <v>61</v>
      </c>
      <c r="F1302" t="s">
        <v>42</v>
      </c>
      <c r="G1302" s="3">
        <v>5</v>
      </c>
      <c r="I1302" t="str">
        <f t="shared" si="60"/>
        <v>25-34</v>
      </c>
      <c r="J1302" t="str">
        <f t="shared" si="61"/>
        <v>Long Promotion gap</v>
      </c>
      <c r="K1302">
        <f t="shared" si="62"/>
        <v>0</v>
      </c>
    </row>
    <row r="1303" spans="1:11" x14ac:dyDescent="0.25">
      <c r="A1303" s="5">
        <v>1403</v>
      </c>
      <c r="B1303" s="3">
        <v>27</v>
      </c>
      <c r="C1303" t="s">
        <v>43</v>
      </c>
      <c r="D1303" t="s">
        <v>49</v>
      </c>
      <c r="E1303" t="s">
        <v>61</v>
      </c>
      <c r="F1303" t="s">
        <v>42</v>
      </c>
      <c r="G1303" s="3">
        <v>4</v>
      </c>
      <c r="I1303" t="str">
        <f t="shared" si="60"/>
        <v>25-34</v>
      </c>
      <c r="J1303" t="str">
        <f t="shared" si="61"/>
        <v>Long Promotion gap</v>
      </c>
      <c r="K1303">
        <f t="shared" si="62"/>
        <v>0</v>
      </c>
    </row>
    <row r="1304" spans="1:11" x14ac:dyDescent="0.25">
      <c r="A1304" s="5">
        <v>533</v>
      </c>
      <c r="B1304" s="3">
        <v>30</v>
      </c>
      <c r="C1304" t="s">
        <v>43</v>
      </c>
      <c r="D1304" t="s">
        <v>49</v>
      </c>
      <c r="E1304" t="s">
        <v>41</v>
      </c>
      <c r="F1304" t="s">
        <v>42</v>
      </c>
      <c r="G1304" s="3">
        <v>4</v>
      </c>
      <c r="I1304" t="str">
        <f t="shared" si="60"/>
        <v>25-34</v>
      </c>
      <c r="J1304" t="str">
        <f t="shared" si="61"/>
        <v>Long Promotion gap</v>
      </c>
      <c r="K1304">
        <f t="shared" si="62"/>
        <v>0</v>
      </c>
    </row>
    <row r="1305" spans="1:11" x14ac:dyDescent="0.25">
      <c r="A1305" s="5">
        <v>2013</v>
      </c>
      <c r="B1305" s="3">
        <v>32</v>
      </c>
      <c r="C1305" t="s">
        <v>43</v>
      </c>
      <c r="D1305" t="s">
        <v>35</v>
      </c>
      <c r="E1305" t="s">
        <v>61</v>
      </c>
      <c r="F1305" t="s">
        <v>36</v>
      </c>
      <c r="G1305" s="3">
        <v>2</v>
      </c>
      <c r="I1305" t="str">
        <f t="shared" si="60"/>
        <v>25-34</v>
      </c>
      <c r="J1305" t="str">
        <f t="shared" si="61"/>
        <v>Promoted in 1-3 years</v>
      </c>
      <c r="K1305">
        <f t="shared" si="62"/>
        <v>0</v>
      </c>
    </row>
    <row r="1306" spans="1:11" x14ac:dyDescent="0.25">
      <c r="A1306" s="5">
        <v>1657</v>
      </c>
      <c r="B1306" s="3">
        <v>20</v>
      </c>
      <c r="C1306" t="s">
        <v>43</v>
      </c>
      <c r="D1306" t="s">
        <v>49</v>
      </c>
      <c r="E1306" t="s">
        <v>41</v>
      </c>
      <c r="F1306" t="s">
        <v>42</v>
      </c>
      <c r="G1306" s="3">
        <v>2</v>
      </c>
      <c r="I1306" t="str">
        <f t="shared" si="60"/>
        <v>18-24</v>
      </c>
      <c r="J1306" t="str">
        <f t="shared" si="61"/>
        <v>Promoted in 1-3 years</v>
      </c>
      <c r="K1306">
        <f t="shared" si="62"/>
        <v>0</v>
      </c>
    </row>
    <row r="1307" spans="1:11" x14ac:dyDescent="0.25">
      <c r="A1307" s="5">
        <v>1226</v>
      </c>
      <c r="B1307" s="3">
        <v>20</v>
      </c>
      <c r="C1307" t="s">
        <v>43</v>
      </c>
      <c r="D1307" t="s">
        <v>49</v>
      </c>
      <c r="E1307" t="s">
        <v>41</v>
      </c>
      <c r="F1307" t="s">
        <v>42</v>
      </c>
      <c r="G1307" s="3">
        <v>2</v>
      </c>
      <c r="I1307" t="str">
        <f t="shared" si="60"/>
        <v>18-24</v>
      </c>
      <c r="J1307" t="str">
        <f t="shared" si="61"/>
        <v>Promoted in 1-3 years</v>
      </c>
      <c r="K1307">
        <f t="shared" si="62"/>
        <v>0</v>
      </c>
    </row>
    <row r="1308" spans="1:11" x14ac:dyDescent="0.25">
      <c r="A1308" s="5">
        <v>1683</v>
      </c>
      <c r="B1308" s="3">
        <v>44</v>
      </c>
      <c r="C1308" t="s">
        <v>43</v>
      </c>
      <c r="D1308" t="s">
        <v>49</v>
      </c>
      <c r="E1308" t="s">
        <v>52</v>
      </c>
      <c r="F1308" t="s">
        <v>50</v>
      </c>
      <c r="G1308" s="3">
        <v>2</v>
      </c>
      <c r="I1308" t="str">
        <f t="shared" si="60"/>
        <v>35-44</v>
      </c>
      <c r="J1308" t="str">
        <f t="shared" si="61"/>
        <v>Promoted in 1-3 years</v>
      </c>
      <c r="K1308">
        <f t="shared" si="62"/>
        <v>0</v>
      </c>
    </row>
    <row r="1309" spans="1:11" x14ac:dyDescent="0.25">
      <c r="A1309" s="5">
        <v>712</v>
      </c>
      <c r="B1309" s="3">
        <v>48</v>
      </c>
      <c r="C1309" t="s">
        <v>43</v>
      </c>
      <c r="D1309" t="s">
        <v>64</v>
      </c>
      <c r="E1309" t="s">
        <v>61</v>
      </c>
      <c r="F1309" t="s">
        <v>42</v>
      </c>
      <c r="G1309" s="3">
        <v>2</v>
      </c>
      <c r="I1309" t="str">
        <f t="shared" si="60"/>
        <v>45-54</v>
      </c>
      <c r="J1309" t="str">
        <f t="shared" si="61"/>
        <v>Promoted in 1-3 years</v>
      </c>
      <c r="K1309">
        <f t="shared" si="62"/>
        <v>0</v>
      </c>
    </row>
    <row r="1310" spans="1:11" x14ac:dyDescent="0.25">
      <c r="A1310" s="5">
        <v>1466</v>
      </c>
      <c r="B1310" s="3">
        <v>48</v>
      </c>
      <c r="C1310" t="s">
        <v>43</v>
      </c>
      <c r="D1310" t="s">
        <v>49</v>
      </c>
      <c r="E1310" t="s">
        <v>52</v>
      </c>
      <c r="F1310" t="s">
        <v>50</v>
      </c>
      <c r="G1310" s="3">
        <v>2</v>
      </c>
      <c r="I1310" t="str">
        <f t="shared" si="60"/>
        <v>45-54</v>
      </c>
      <c r="J1310" t="str">
        <f t="shared" si="61"/>
        <v>Promoted in 1-3 years</v>
      </c>
      <c r="K1310">
        <f t="shared" si="62"/>
        <v>0</v>
      </c>
    </row>
    <row r="1311" spans="1:11" x14ac:dyDescent="0.25">
      <c r="A1311" s="5">
        <v>183</v>
      </c>
      <c r="B1311" s="3">
        <v>25</v>
      </c>
      <c r="C1311" t="s">
        <v>43</v>
      </c>
      <c r="D1311" t="s">
        <v>49</v>
      </c>
      <c r="E1311" t="s">
        <v>61</v>
      </c>
      <c r="F1311" t="s">
        <v>42</v>
      </c>
      <c r="G1311" s="3">
        <v>2</v>
      </c>
      <c r="I1311" t="str">
        <f t="shared" si="60"/>
        <v>25-34</v>
      </c>
      <c r="J1311" t="str">
        <f t="shared" si="61"/>
        <v>Promoted in 1-3 years</v>
      </c>
      <c r="K1311">
        <f t="shared" si="62"/>
        <v>0</v>
      </c>
    </row>
    <row r="1312" spans="1:11" x14ac:dyDescent="0.25">
      <c r="A1312" s="5">
        <v>766</v>
      </c>
      <c r="B1312" s="3">
        <v>29</v>
      </c>
      <c r="C1312" t="s">
        <v>43</v>
      </c>
      <c r="D1312" t="s">
        <v>49</v>
      </c>
      <c r="E1312" t="s">
        <v>52</v>
      </c>
      <c r="F1312" t="s">
        <v>53</v>
      </c>
      <c r="G1312" s="3">
        <v>2</v>
      </c>
      <c r="I1312" t="str">
        <f t="shared" si="60"/>
        <v>25-34</v>
      </c>
      <c r="J1312" t="str">
        <f t="shared" si="61"/>
        <v>Promoted in 1-3 years</v>
      </c>
      <c r="K1312">
        <f t="shared" si="62"/>
        <v>0</v>
      </c>
    </row>
    <row r="1313" spans="1:11" x14ac:dyDescent="0.25">
      <c r="A1313" s="5">
        <v>374</v>
      </c>
      <c r="B1313" s="3">
        <v>55</v>
      </c>
      <c r="C1313" t="s">
        <v>43</v>
      </c>
      <c r="D1313" t="s">
        <v>49</v>
      </c>
      <c r="E1313" t="s">
        <v>41</v>
      </c>
      <c r="F1313" t="s">
        <v>42</v>
      </c>
      <c r="G1313" s="3">
        <v>3</v>
      </c>
      <c r="I1313" t="str">
        <f t="shared" si="60"/>
        <v>55-60</v>
      </c>
      <c r="J1313" t="str">
        <f t="shared" si="61"/>
        <v>Promoted in 1-3 years</v>
      </c>
      <c r="K1313">
        <f t="shared" si="62"/>
        <v>0</v>
      </c>
    </row>
    <row r="1314" spans="1:11" x14ac:dyDescent="0.25">
      <c r="A1314" s="5">
        <v>259</v>
      </c>
      <c r="B1314" s="3">
        <v>52</v>
      </c>
      <c r="C1314" t="s">
        <v>43</v>
      </c>
      <c r="D1314" t="s">
        <v>35</v>
      </c>
      <c r="E1314" t="s">
        <v>61</v>
      </c>
      <c r="F1314" t="s">
        <v>36</v>
      </c>
      <c r="G1314" s="3">
        <v>11</v>
      </c>
      <c r="I1314" t="str">
        <f t="shared" si="60"/>
        <v>45-54</v>
      </c>
      <c r="J1314" t="str">
        <f t="shared" si="61"/>
        <v>Long Promotion gap</v>
      </c>
      <c r="K1314">
        <f t="shared" si="62"/>
        <v>0</v>
      </c>
    </row>
    <row r="1315" spans="1:11" x14ac:dyDescent="0.25">
      <c r="A1315" s="5">
        <v>549</v>
      </c>
      <c r="B1315" s="3">
        <v>60</v>
      </c>
      <c r="C1315" t="s">
        <v>43</v>
      </c>
      <c r="D1315" t="s">
        <v>49</v>
      </c>
      <c r="E1315" t="s">
        <v>61</v>
      </c>
      <c r="F1315" t="s">
        <v>42</v>
      </c>
      <c r="G1315" s="3">
        <v>11</v>
      </c>
      <c r="I1315" t="str">
        <f t="shared" si="60"/>
        <v>55-60</v>
      </c>
      <c r="J1315" t="str">
        <f t="shared" si="61"/>
        <v>Long Promotion gap</v>
      </c>
      <c r="K1315">
        <f t="shared" si="62"/>
        <v>0</v>
      </c>
    </row>
    <row r="1316" spans="1:11" x14ac:dyDescent="0.25">
      <c r="A1316" s="5">
        <v>569</v>
      </c>
      <c r="B1316" s="3">
        <v>50</v>
      </c>
      <c r="C1316" t="s">
        <v>43</v>
      </c>
      <c r="D1316" t="s">
        <v>35</v>
      </c>
      <c r="E1316" t="s">
        <v>61</v>
      </c>
      <c r="F1316" t="s">
        <v>36</v>
      </c>
      <c r="G1316" s="3">
        <v>15</v>
      </c>
      <c r="I1316" t="str">
        <f t="shared" si="60"/>
        <v>45-54</v>
      </c>
      <c r="J1316" t="str">
        <f t="shared" si="61"/>
        <v>Long Promotion gap</v>
      </c>
      <c r="K1316">
        <f t="shared" si="62"/>
        <v>0</v>
      </c>
    </row>
    <row r="1317" spans="1:11" x14ac:dyDescent="0.25">
      <c r="A1317" s="5">
        <v>80</v>
      </c>
      <c r="B1317" s="3">
        <v>50</v>
      </c>
      <c r="C1317" t="s">
        <v>43</v>
      </c>
      <c r="D1317" t="s">
        <v>67</v>
      </c>
      <c r="E1317" t="s">
        <v>52</v>
      </c>
      <c r="F1317" t="s">
        <v>36</v>
      </c>
      <c r="G1317" s="3">
        <v>13</v>
      </c>
      <c r="I1317" t="str">
        <f t="shared" si="60"/>
        <v>45-54</v>
      </c>
      <c r="J1317" t="str">
        <f t="shared" si="61"/>
        <v>Long Promotion gap</v>
      </c>
      <c r="K1317">
        <f t="shared" si="62"/>
        <v>0</v>
      </c>
    </row>
    <row r="1318" spans="1:11" x14ac:dyDescent="0.25">
      <c r="A1318" s="5">
        <v>820</v>
      </c>
      <c r="B1318" s="3">
        <v>47</v>
      </c>
      <c r="C1318" t="s">
        <v>43</v>
      </c>
      <c r="D1318" t="s">
        <v>67</v>
      </c>
      <c r="E1318" t="s">
        <v>61</v>
      </c>
      <c r="F1318" t="s">
        <v>36</v>
      </c>
      <c r="G1318" s="3">
        <v>3</v>
      </c>
      <c r="I1318" t="str">
        <f t="shared" si="60"/>
        <v>45-54</v>
      </c>
      <c r="J1318" t="str">
        <f t="shared" si="61"/>
        <v>Promoted in 1-3 years</v>
      </c>
      <c r="K1318">
        <f t="shared" si="62"/>
        <v>0</v>
      </c>
    </row>
    <row r="1319" spans="1:11" x14ac:dyDescent="0.25">
      <c r="A1319" s="5">
        <v>520</v>
      </c>
      <c r="B1319" s="3">
        <v>43</v>
      </c>
      <c r="C1319" t="s">
        <v>43</v>
      </c>
      <c r="D1319" t="s">
        <v>49</v>
      </c>
      <c r="E1319" t="s">
        <v>52</v>
      </c>
      <c r="F1319" t="s">
        <v>36</v>
      </c>
      <c r="G1319" s="3">
        <v>3</v>
      </c>
      <c r="I1319" t="str">
        <f t="shared" si="60"/>
        <v>35-44</v>
      </c>
      <c r="J1319" t="str">
        <f t="shared" si="61"/>
        <v>Promoted in 1-3 years</v>
      </c>
      <c r="K1319">
        <f t="shared" si="62"/>
        <v>0</v>
      </c>
    </row>
    <row r="1320" spans="1:11" x14ac:dyDescent="0.25">
      <c r="A1320" s="5">
        <v>1288</v>
      </c>
      <c r="B1320" s="3">
        <v>44</v>
      </c>
      <c r="C1320" t="s">
        <v>43</v>
      </c>
      <c r="D1320" t="s">
        <v>67</v>
      </c>
      <c r="E1320" t="s">
        <v>52</v>
      </c>
      <c r="F1320" t="s">
        <v>53</v>
      </c>
      <c r="G1320" s="3">
        <v>14</v>
      </c>
      <c r="I1320" t="str">
        <f t="shared" si="60"/>
        <v>35-44</v>
      </c>
      <c r="J1320" t="str">
        <f t="shared" si="61"/>
        <v>Long Promotion gap</v>
      </c>
      <c r="K1320">
        <f t="shared" si="62"/>
        <v>0</v>
      </c>
    </row>
    <row r="1321" spans="1:11" x14ac:dyDescent="0.25">
      <c r="A1321" s="5">
        <v>254</v>
      </c>
      <c r="B1321" s="3">
        <v>55</v>
      </c>
      <c r="C1321" t="s">
        <v>43</v>
      </c>
      <c r="D1321" t="s">
        <v>35</v>
      </c>
      <c r="E1321" t="s">
        <v>41</v>
      </c>
      <c r="F1321" t="s">
        <v>42</v>
      </c>
      <c r="G1321" s="3">
        <v>2</v>
      </c>
      <c r="I1321" t="str">
        <f t="shared" si="60"/>
        <v>55-60</v>
      </c>
      <c r="J1321" t="str">
        <f t="shared" si="61"/>
        <v>Promoted in 1-3 years</v>
      </c>
      <c r="K1321">
        <f t="shared" si="62"/>
        <v>0</v>
      </c>
    </row>
    <row r="1322" spans="1:11" x14ac:dyDescent="0.25">
      <c r="A1322" s="5">
        <v>36</v>
      </c>
      <c r="B1322" s="3">
        <v>44</v>
      </c>
      <c r="C1322" t="s">
        <v>43</v>
      </c>
      <c r="D1322" t="s">
        <v>35</v>
      </c>
      <c r="E1322" t="s">
        <v>61</v>
      </c>
      <c r="F1322" t="s">
        <v>36</v>
      </c>
      <c r="G1322" s="3">
        <v>5</v>
      </c>
      <c r="I1322" t="str">
        <f t="shared" si="60"/>
        <v>35-44</v>
      </c>
      <c r="J1322" t="str">
        <f t="shared" si="61"/>
        <v>Long Promotion gap</v>
      </c>
      <c r="K1322">
        <f t="shared" si="62"/>
        <v>0</v>
      </c>
    </row>
    <row r="1323" spans="1:11" x14ac:dyDescent="0.25">
      <c r="A1323" s="5">
        <v>2031</v>
      </c>
      <c r="B1323" s="3">
        <v>42</v>
      </c>
      <c r="C1323" t="s">
        <v>43</v>
      </c>
      <c r="D1323" t="s">
        <v>49</v>
      </c>
      <c r="E1323" t="s">
        <v>61</v>
      </c>
      <c r="F1323" t="s">
        <v>42</v>
      </c>
      <c r="G1323" s="3">
        <v>4</v>
      </c>
      <c r="I1323" t="str">
        <f t="shared" si="60"/>
        <v>35-44</v>
      </c>
      <c r="J1323" t="str">
        <f t="shared" si="61"/>
        <v>Long Promotion gap</v>
      </c>
      <c r="K1323">
        <f t="shared" si="62"/>
        <v>0</v>
      </c>
    </row>
    <row r="1324" spans="1:11" x14ac:dyDescent="0.25">
      <c r="A1324" s="5">
        <v>319</v>
      </c>
      <c r="B1324" s="3">
        <v>42</v>
      </c>
      <c r="C1324" t="s">
        <v>43</v>
      </c>
      <c r="D1324" t="s">
        <v>67</v>
      </c>
      <c r="E1324" t="s">
        <v>61</v>
      </c>
      <c r="F1324" t="s">
        <v>42</v>
      </c>
      <c r="G1324" s="3">
        <v>11</v>
      </c>
      <c r="I1324" t="str">
        <f t="shared" si="60"/>
        <v>35-44</v>
      </c>
      <c r="J1324" t="str">
        <f t="shared" si="61"/>
        <v>Long Promotion gap</v>
      </c>
      <c r="K1324">
        <f t="shared" si="62"/>
        <v>0</v>
      </c>
    </row>
    <row r="1325" spans="1:11" x14ac:dyDescent="0.25">
      <c r="A1325" s="5">
        <v>1867</v>
      </c>
      <c r="B1325" s="3">
        <v>48</v>
      </c>
      <c r="C1325" t="s">
        <v>43</v>
      </c>
      <c r="D1325" t="s">
        <v>49</v>
      </c>
      <c r="E1325" t="s">
        <v>61</v>
      </c>
      <c r="F1325" t="s">
        <v>42</v>
      </c>
      <c r="G1325" s="3">
        <v>12</v>
      </c>
      <c r="I1325" t="str">
        <f t="shared" si="60"/>
        <v>45-54</v>
      </c>
      <c r="J1325" t="str">
        <f t="shared" si="61"/>
        <v>Long Promotion gap</v>
      </c>
      <c r="K1325">
        <f t="shared" si="62"/>
        <v>0</v>
      </c>
    </row>
    <row r="1326" spans="1:11" x14ac:dyDescent="0.25">
      <c r="A1326" s="5">
        <v>1109</v>
      </c>
      <c r="B1326" s="3">
        <v>42</v>
      </c>
      <c r="C1326" t="s">
        <v>43</v>
      </c>
      <c r="D1326" t="s">
        <v>67</v>
      </c>
      <c r="E1326" t="s">
        <v>61</v>
      </c>
      <c r="F1326" t="s">
        <v>36</v>
      </c>
      <c r="G1326" s="3">
        <v>13</v>
      </c>
      <c r="I1326" t="str">
        <f t="shared" si="60"/>
        <v>35-44</v>
      </c>
      <c r="J1326" t="str">
        <f t="shared" si="61"/>
        <v>Long Promotion gap</v>
      </c>
      <c r="K1326">
        <f t="shared" si="62"/>
        <v>0</v>
      </c>
    </row>
    <row r="1327" spans="1:11" x14ac:dyDescent="0.25">
      <c r="A1327" s="5">
        <v>1827</v>
      </c>
      <c r="B1327" s="3">
        <v>47</v>
      </c>
      <c r="C1327" t="s">
        <v>43</v>
      </c>
      <c r="D1327" t="s">
        <v>49</v>
      </c>
      <c r="E1327" t="s">
        <v>52</v>
      </c>
      <c r="F1327" t="s">
        <v>36</v>
      </c>
      <c r="G1327" s="3">
        <v>14</v>
      </c>
      <c r="I1327" t="str">
        <f t="shared" si="60"/>
        <v>45-54</v>
      </c>
      <c r="J1327" t="str">
        <f t="shared" si="61"/>
        <v>Long Promotion gap</v>
      </c>
      <c r="K1327">
        <f t="shared" si="62"/>
        <v>0</v>
      </c>
    </row>
    <row r="1328" spans="1:11" x14ac:dyDescent="0.25">
      <c r="A1328" s="5">
        <v>1026</v>
      </c>
      <c r="B1328" s="3">
        <v>39</v>
      </c>
      <c r="C1328" t="s">
        <v>43</v>
      </c>
      <c r="D1328" t="s">
        <v>64</v>
      </c>
      <c r="E1328" t="s">
        <v>61</v>
      </c>
      <c r="F1328" t="s">
        <v>36</v>
      </c>
      <c r="G1328" s="3">
        <v>11</v>
      </c>
      <c r="I1328" t="str">
        <f t="shared" si="60"/>
        <v>35-44</v>
      </c>
      <c r="J1328" t="str">
        <f t="shared" si="61"/>
        <v>Long Promotion gap</v>
      </c>
      <c r="K1328">
        <f t="shared" si="62"/>
        <v>0</v>
      </c>
    </row>
    <row r="1329" spans="1:11" x14ac:dyDescent="0.25">
      <c r="A1329" s="5">
        <v>1719</v>
      </c>
      <c r="B1329" s="3">
        <v>45</v>
      </c>
      <c r="C1329" t="s">
        <v>43</v>
      </c>
      <c r="D1329" t="s">
        <v>67</v>
      </c>
      <c r="E1329" t="s">
        <v>41</v>
      </c>
      <c r="F1329" t="s">
        <v>42</v>
      </c>
      <c r="G1329" s="3">
        <v>8</v>
      </c>
      <c r="I1329" t="str">
        <f t="shared" si="60"/>
        <v>45-54</v>
      </c>
      <c r="J1329" t="str">
        <f t="shared" si="61"/>
        <v>Long Promotion gap</v>
      </c>
      <c r="K1329">
        <f t="shared" si="62"/>
        <v>0</v>
      </c>
    </row>
    <row r="1330" spans="1:11" x14ac:dyDescent="0.25">
      <c r="A1330" s="5">
        <v>429</v>
      </c>
      <c r="B1330" s="3">
        <v>39</v>
      </c>
      <c r="C1330" t="s">
        <v>43</v>
      </c>
      <c r="D1330" t="s">
        <v>64</v>
      </c>
      <c r="E1330" t="s">
        <v>61</v>
      </c>
      <c r="F1330" t="s">
        <v>42</v>
      </c>
      <c r="G1330" s="3">
        <v>11</v>
      </c>
      <c r="I1330" t="str">
        <f t="shared" si="60"/>
        <v>35-44</v>
      </c>
      <c r="J1330" t="str">
        <f t="shared" si="61"/>
        <v>Long Promotion gap</v>
      </c>
      <c r="K1330">
        <f t="shared" si="62"/>
        <v>0</v>
      </c>
    </row>
    <row r="1331" spans="1:11" x14ac:dyDescent="0.25">
      <c r="A1331" s="5">
        <v>352</v>
      </c>
      <c r="B1331" s="3">
        <v>40</v>
      </c>
      <c r="C1331" t="s">
        <v>43</v>
      </c>
      <c r="D1331" t="s">
        <v>67</v>
      </c>
      <c r="E1331" t="s">
        <v>52</v>
      </c>
      <c r="F1331" t="s">
        <v>36</v>
      </c>
      <c r="G1331" s="3">
        <v>3</v>
      </c>
      <c r="I1331" t="str">
        <f t="shared" si="60"/>
        <v>35-44</v>
      </c>
      <c r="J1331" t="str">
        <f t="shared" si="61"/>
        <v>Promoted in 1-3 years</v>
      </c>
      <c r="K1331">
        <f t="shared" si="62"/>
        <v>0</v>
      </c>
    </row>
    <row r="1332" spans="1:11" x14ac:dyDescent="0.25">
      <c r="A1332" s="5">
        <v>1422</v>
      </c>
      <c r="B1332" s="3">
        <v>54</v>
      </c>
      <c r="C1332" t="s">
        <v>43</v>
      </c>
      <c r="D1332" t="s">
        <v>49</v>
      </c>
      <c r="E1332" t="s">
        <v>41</v>
      </c>
      <c r="F1332" t="s">
        <v>42</v>
      </c>
      <c r="G1332" s="3">
        <v>12</v>
      </c>
      <c r="I1332" t="str">
        <f t="shared" si="60"/>
        <v>45-54</v>
      </c>
      <c r="J1332" t="str">
        <f t="shared" si="61"/>
        <v>Long Promotion gap</v>
      </c>
      <c r="K1332">
        <f t="shared" si="62"/>
        <v>0</v>
      </c>
    </row>
    <row r="1333" spans="1:11" x14ac:dyDescent="0.25">
      <c r="A1333" s="5">
        <v>162</v>
      </c>
      <c r="B1333" s="3">
        <v>51</v>
      </c>
      <c r="C1333" t="s">
        <v>43</v>
      </c>
      <c r="D1333" t="s">
        <v>49</v>
      </c>
      <c r="E1333" t="s">
        <v>41</v>
      </c>
      <c r="F1333" t="s">
        <v>42</v>
      </c>
      <c r="G1333" s="3">
        <v>15</v>
      </c>
      <c r="I1333" t="str">
        <f t="shared" si="60"/>
        <v>45-54</v>
      </c>
      <c r="J1333" t="str">
        <f t="shared" si="61"/>
        <v>Long Promotion gap</v>
      </c>
      <c r="K1333">
        <f t="shared" si="62"/>
        <v>0</v>
      </c>
    </row>
    <row r="1334" spans="1:11" x14ac:dyDescent="0.25">
      <c r="A1334" s="5">
        <v>253</v>
      </c>
      <c r="B1334" s="3">
        <v>40</v>
      </c>
      <c r="C1334" t="s">
        <v>43</v>
      </c>
      <c r="D1334" t="s">
        <v>64</v>
      </c>
      <c r="E1334" t="s">
        <v>61</v>
      </c>
      <c r="F1334" t="s">
        <v>36</v>
      </c>
      <c r="G1334" s="3">
        <v>9</v>
      </c>
      <c r="I1334" t="str">
        <f t="shared" si="60"/>
        <v>35-44</v>
      </c>
      <c r="J1334" t="str">
        <f t="shared" si="61"/>
        <v>Long Promotion gap</v>
      </c>
      <c r="K1334">
        <f t="shared" si="62"/>
        <v>0</v>
      </c>
    </row>
    <row r="1335" spans="1:11" x14ac:dyDescent="0.25">
      <c r="A1335" s="5">
        <v>1128</v>
      </c>
      <c r="B1335" s="3">
        <v>40</v>
      </c>
      <c r="C1335" t="s">
        <v>43</v>
      </c>
      <c r="D1335" t="s">
        <v>49</v>
      </c>
      <c r="E1335" t="s">
        <v>41</v>
      </c>
      <c r="F1335" t="s">
        <v>42</v>
      </c>
      <c r="G1335" s="3">
        <v>4</v>
      </c>
      <c r="I1335" t="str">
        <f t="shared" si="60"/>
        <v>35-44</v>
      </c>
      <c r="J1335" t="str">
        <f t="shared" si="61"/>
        <v>Long Promotion gap</v>
      </c>
      <c r="K1335">
        <f t="shared" si="62"/>
        <v>0</v>
      </c>
    </row>
    <row r="1336" spans="1:11" x14ac:dyDescent="0.25">
      <c r="A1336" s="5">
        <v>372</v>
      </c>
      <c r="B1336" s="3">
        <v>45</v>
      </c>
      <c r="C1336" t="s">
        <v>43</v>
      </c>
      <c r="D1336" t="s">
        <v>67</v>
      </c>
      <c r="E1336" t="s">
        <v>61</v>
      </c>
      <c r="F1336" t="s">
        <v>42</v>
      </c>
      <c r="G1336" s="3">
        <v>4</v>
      </c>
      <c r="I1336" t="str">
        <f t="shared" si="60"/>
        <v>45-54</v>
      </c>
      <c r="J1336" t="str">
        <f t="shared" si="61"/>
        <v>Long Promotion gap</v>
      </c>
      <c r="K1336">
        <f t="shared" si="62"/>
        <v>0</v>
      </c>
    </row>
    <row r="1337" spans="1:11" x14ac:dyDescent="0.25">
      <c r="A1337" s="5">
        <v>601</v>
      </c>
      <c r="B1337" s="3">
        <v>40</v>
      </c>
      <c r="C1337" t="s">
        <v>43</v>
      </c>
      <c r="D1337" t="s">
        <v>49</v>
      </c>
      <c r="E1337" t="s">
        <v>41</v>
      </c>
      <c r="F1337" t="s">
        <v>42</v>
      </c>
      <c r="G1337" s="3">
        <v>5</v>
      </c>
      <c r="I1337" t="str">
        <f t="shared" si="60"/>
        <v>35-44</v>
      </c>
      <c r="J1337" t="str">
        <f t="shared" si="61"/>
        <v>Long Promotion gap</v>
      </c>
      <c r="K1337">
        <f t="shared" si="62"/>
        <v>0</v>
      </c>
    </row>
    <row r="1338" spans="1:11" x14ac:dyDescent="0.25">
      <c r="A1338" s="5">
        <v>1523</v>
      </c>
      <c r="B1338" s="3">
        <v>44</v>
      </c>
      <c r="C1338" t="s">
        <v>43</v>
      </c>
      <c r="D1338" t="s">
        <v>49</v>
      </c>
      <c r="E1338" t="s">
        <v>61</v>
      </c>
      <c r="F1338" t="s">
        <v>36</v>
      </c>
      <c r="G1338" s="3">
        <v>14</v>
      </c>
      <c r="I1338" t="str">
        <f t="shared" si="60"/>
        <v>35-44</v>
      </c>
      <c r="J1338" t="str">
        <f t="shared" si="61"/>
        <v>Long Promotion gap</v>
      </c>
      <c r="K1338">
        <f t="shared" si="62"/>
        <v>0</v>
      </c>
    </row>
    <row r="1339" spans="1:11" x14ac:dyDescent="0.25">
      <c r="A1339" s="5">
        <v>1443</v>
      </c>
      <c r="B1339" s="3">
        <v>47</v>
      </c>
      <c r="C1339" t="s">
        <v>43</v>
      </c>
      <c r="D1339" t="s">
        <v>35</v>
      </c>
      <c r="E1339" t="s">
        <v>61</v>
      </c>
      <c r="F1339" t="s">
        <v>53</v>
      </c>
      <c r="G1339" s="3">
        <v>5</v>
      </c>
      <c r="I1339" t="str">
        <f t="shared" si="60"/>
        <v>45-54</v>
      </c>
      <c r="J1339" t="str">
        <f t="shared" si="61"/>
        <v>Long Promotion gap</v>
      </c>
      <c r="K1339">
        <f t="shared" si="62"/>
        <v>0</v>
      </c>
    </row>
    <row r="1340" spans="1:11" x14ac:dyDescent="0.25">
      <c r="A1340" s="5">
        <v>716</v>
      </c>
      <c r="B1340" s="3">
        <v>50</v>
      </c>
      <c r="C1340" t="s">
        <v>43</v>
      </c>
      <c r="D1340" t="s">
        <v>64</v>
      </c>
      <c r="E1340" t="s">
        <v>61</v>
      </c>
      <c r="F1340" t="s">
        <v>50</v>
      </c>
      <c r="G1340" s="3">
        <v>3</v>
      </c>
      <c r="I1340" t="str">
        <f t="shared" si="60"/>
        <v>45-54</v>
      </c>
      <c r="J1340" t="str">
        <f t="shared" si="61"/>
        <v>Promoted in 1-3 years</v>
      </c>
      <c r="K1340">
        <f t="shared" si="62"/>
        <v>0</v>
      </c>
    </row>
    <row r="1341" spans="1:11" x14ac:dyDescent="0.25">
      <c r="A1341" s="5">
        <v>721</v>
      </c>
      <c r="B1341" s="3">
        <v>39</v>
      </c>
      <c r="C1341" t="s">
        <v>43</v>
      </c>
      <c r="D1341" t="s">
        <v>35</v>
      </c>
      <c r="E1341" t="s">
        <v>41</v>
      </c>
      <c r="F1341" t="s">
        <v>42</v>
      </c>
      <c r="G1341" s="3">
        <v>11</v>
      </c>
      <c r="I1341" t="str">
        <f t="shared" si="60"/>
        <v>35-44</v>
      </c>
      <c r="J1341" t="str">
        <f t="shared" si="61"/>
        <v>Long Promotion gap</v>
      </c>
      <c r="K1341">
        <f t="shared" si="62"/>
        <v>0</v>
      </c>
    </row>
    <row r="1342" spans="1:11" x14ac:dyDescent="0.25">
      <c r="A1342" s="5">
        <v>1373</v>
      </c>
      <c r="B1342" s="3">
        <v>56</v>
      </c>
      <c r="C1342" t="s">
        <v>43</v>
      </c>
      <c r="D1342" t="s">
        <v>49</v>
      </c>
      <c r="E1342" t="s">
        <v>61</v>
      </c>
      <c r="F1342" t="s">
        <v>36</v>
      </c>
      <c r="G1342" s="3">
        <v>15</v>
      </c>
      <c r="I1342" t="str">
        <f t="shared" si="60"/>
        <v>55-60</v>
      </c>
      <c r="J1342" t="str">
        <f t="shared" si="61"/>
        <v>Long Promotion gap</v>
      </c>
      <c r="K1342">
        <f t="shared" si="62"/>
        <v>0</v>
      </c>
    </row>
    <row r="1343" spans="1:11" x14ac:dyDescent="0.25">
      <c r="A1343" s="5">
        <v>1307</v>
      </c>
      <c r="B1343" s="3">
        <v>39</v>
      </c>
      <c r="C1343" t="s">
        <v>43</v>
      </c>
      <c r="D1343" t="s">
        <v>35</v>
      </c>
      <c r="E1343" t="s">
        <v>52</v>
      </c>
      <c r="F1343" t="s">
        <v>53</v>
      </c>
      <c r="G1343" s="3">
        <v>15</v>
      </c>
      <c r="I1343" t="str">
        <f t="shared" si="60"/>
        <v>35-44</v>
      </c>
      <c r="J1343" t="str">
        <f t="shared" si="61"/>
        <v>Long Promotion gap</v>
      </c>
      <c r="K1343">
        <f t="shared" si="62"/>
        <v>0</v>
      </c>
    </row>
    <row r="1344" spans="1:11" x14ac:dyDescent="0.25">
      <c r="A1344" s="5">
        <v>1892</v>
      </c>
      <c r="B1344" s="3">
        <v>40</v>
      </c>
      <c r="C1344" t="s">
        <v>43</v>
      </c>
      <c r="D1344" t="s">
        <v>35</v>
      </c>
      <c r="E1344" t="s">
        <v>52</v>
      </c>
      <c r="F1344" t="s">
        <v>36</v>
      </c>
      <c r="G1344" s="3">
        <v>11</v>
      </c>
      <c r="I1344" t="str">
        <f t="shared" si="60"/>
        <v>35-44</v>
      </c>
      <c r="J1344" t="str">
        <f t="shared" si="61"/>
        <v>Long Promotion gap</v>
      </c>
      <c r="K1344">
        <f t="shared" si="62"/>
        <v>0</v>
      </c>
    </row>
    <row r="1345" spans="1:11" x14ac:dyDescent="0.25">
      <c r="A1345" s="5">
        <v>1336</v>
      </c>
      <c r="B1345" s="3">
        <v>55</v>
      </c>
      <c r="C1345" t="s">
        <v>43</v>
      </c>
      <c r="D1345" t="s">
        <v>67</v>
      </c>
      <c r="E1345" t="s">
        <v>61</v>
      </c>
      <c r="F1345" t="s">
        <v>36</v>
      </c>
      <c r="G1345" s="3">
        <v>9</v>
      </c>
      <c r="I1345" t="str">
        <f t="shared" si="60"/>
        <v>55-60</v>
      </c>
      <c r="J1345" t="str">
        <f t="shared" si="61"/>
        <v>Long Promotion gap</v>
      </c>
      <c r="K1345">
        <f t="shared" si="62"/>
        <v>0</v>
      </c>
    </row>
    <row r="1346" spans="1:11" x14ac:dyDescent="0.25">
      <c r="A1346" s="5">
        <v>417</v>
      </c>
      <c r="B1346" s="3">
        <v>39</v>
      </c>
      <c r="C1346" t="s">
        <v>43</v>
      </c>
      <c r="D1346" t="s">
        <v>49</v>
      </c>
      <c r="E1346" t="s">
        <v>52</v>
      </c>
      <c r="F1346" t="s">
        <v>50</v>
      </c>
      <c r="G1346" s="3">
        <v>3</v>
      </c>
      <c r="I1346" t="str">
        <f t="shared" si="60"/>
        <v>35-44</v>
      </c>
      <c r="J1346" t="str">
        <f t="shared" si="61"/>
        <v>Promoted in 1-3 years</v>
      </c>
      <c r="K1346">
        <f t="shared" si="62"/>
        <v>0</v>
      </c>
    </row>
    <row r="1347" spans="1:11" x14ac:dyDescent="0.25">
      <c r="A1347" s="5">
        <v>515</v>
      </c>
      <c r="B1347" s="3">
        <v>37</v>
      </c>
      <c r="C1347" t="s">
        <v>43</v>
      </c>
      <c r="D1347" t="s">
        <v>49</v>
      </c>
      <c r="E1347" t="s">
        <v>52</v>
      </c>
      <c r="F1347" t="s">
        <v>36</v>
      </c>
      <c r="G1347" s="3">
        <v>12</v>
      </c>
      <c r="I1347" t="str">
        <f t="shared" ref="I1347:I1410" si="63">IF(B1347&lt;=24, "18-24", IF(B1347&lt;=34,"25-34", IF(B1347&lt;=44,"35-44", IF(B1347&lt;=54,"45-54", IF(B1347&lt;=60, "55-60")))))</f>
        <v>35-44</v>
      </c>
      <c r="J1347" t="str">
        <f t="shared" ref="J1347:J1410" si="64">IF(G1347&lt;=0,"Recently promoted",IF(G1347&lt;=3,"Promoted in 1-3 years","Long Promotion gap"))</f>
        <v>Long Promotion gap</v>
      </c>
      <c r="K1347">
        <f t="shared" ref="K1347:K1410" si="65">IF(C1347="Yes", 1, 0)</f>
        <v>0</v>
      </c>
    </row>
    <row r="1348" spans="1:11" x14ac:dyDescent="0.25">
      <c r="A1348" s="5">
        <v>957</v>
      </c>
      <c r="B1348" s="3">
        <v>41</v>
      </c>
      <c r="C1348" t="s">
        <v>43</v>
      </c>
      <c r="D1348" t="s">
        <v>49</v>
      </c>
      <c r="E1348" t="s">
        <v>41</v>
      </c>
      <c r="F1348" t="s">
        <v>42</v>
      </c>
      <c r="G1348" s="3">
        <v>2</v>
      </c>
      <c r="I1348" t="str">
        <f t="shared" si="63"/>
        <v>35-44</v>
      </c>
      <c r="J1348" t="str">
        <f t="shared" si="64"/>
        <v>Promoted in 1-3 years</v>
      </c>
      <c r="K1348">
        <f t="shared" si="65"/>
        <v>0</v>
      </c>
    </row>
    <row r="1349" spans="1:11" x14ac:dyDescent="0.25">
      <c r="A1349" s="5">
        <v>691</v>
      </c>
      <c r="B1349" s="3">
        <v>35</v>
      </c>
      <c r="C1349" t="s">
        <v>43</v>
      </c>
      <c r="D1349" t="s">
        <v>35</v>
      </c>
      <c r="E1349" t="s">
        <v>41</v>
      </c>
      <c r="F1349" t="s">
        <v>42</v>
      </c>
      <c r="G1349" s="3">
        <v>11</v>
      </c>
      <c r="I1349" t="str">
        <f t="shared" si="63"/>
        <v>35-44</v>
      </c>
      <c r="J1349" t="str">
        <f t="shared" si="64"/>
        <v>Long Promotion gap</v>
      </c>
      <c r="K1349">
        <f t="shared" si="65"/>
        <v>0</v>
      </c>
    </row>
    <row r="1350" spans="1:11" x14ac:dyDescent="0.25">
      <c r="A1350" s="5">
        <v>391</v>
      </c>
      <c r="B1350" s="3">
        <v>37</v>
      </c>
      <c r="C1350" t="s">
        <v>43</v>
      </c>
      <c r="D1350" t="s">
        <v>49</v>
      </c>
      <c r="E1350" t="s">
        <v>41</v>
      </c>
      <c r="F1350" t="s">
        <v>42</v>
      </c>
      <c r="G1350" s="3">
        <v>5</v>
      </c>
      <c r="I1350" t="str">
        <f t="shared" si="63"/>
        <v>35-44</v>
      </c>
      <c r="J1350" t="str">
        <f t="shared" si="64"/>
        <v>Long Promotion gap</v>
      </c>
      <c r="K1350">
        <f t="shared" si="65"/>
        <v>0</v>
      </c>
    </row>
    <row r="1351" spans="1:11" x14ac:dyDescent="0.25">
      <c r="A1351" s="5">
        <v>83</v>
      </c>
      <c r="B1351" s="3">
        <v>36</v>
      </c>
      <c r="C1351" t="s">
        <v>43</v>
      </c>
      <c r="D1351" t="s">
        <v>49</v>
      </c>
      <c r="E1351" t="s">
        <v>52</v>
      </c>
      <c r="F1351" t="s">
        <v>50</v>
      </c>
      <c r="G1351" s="3">
        <v>12</v>
      </c>
      <c r="I1351" t="str">
        <f t="shared" si="63"/>
        <v>35-44</v>
      </c>
      <c r="J1351" t="str">
        <f t="shared" si="64"/>
        <v>Long Promotion gap</v>
      </c>
      <c r="K1351">
        <f t="shared" si="65"/>
        <v>0</v>
      </c>
    </row>
    <row r="1352" spans="1:11" x14ac:dyDescent="0.25">
      <c r="A1352" s="5">
        <v>1014</v>
      </c>
      <c r="B1352" s="3">
        <v>35</v>
      </c>
      <c r="C1352" t="s">
        <v>43</v>
      </c>
      <c r="D1352" t="s">
        <v>35</v>
      </c>
      <c r="E1352" t="s">
        <v>52</v>
      </c>
      <c r="F1352" t="s">
        <v>36</v>
      </c>
      <c r="G1352" s="3">
        <v>10</v>
      </c>
      <c r="I1352" t="str">
        <f t="shared" si="63"/>
        <v>35-44</v>
      </c>
      <c r="J1352" t="str">
        <f t="shared" si="64"/>
        <v>Long Promotion gap</v>
      </c>
      <c r="K1352">
        <f t="shared" si="65"/>
        <v>0</v>
      </c>
    </row>
    <row r="1353" spans="1:11" x14ac:dyDescent="0.25">
      <c r="A1353" s="5">
        <v>1294</v>
      </c>
      <c r="B1353" s="3">
        <v>36</v>
      </c>
      <c r="C1353" t="s">
        <v>43</v>
      </c>
      <c r="D1353" t="s">
        <v>35</v>
      </c>
      <c r="E1353" t="s">
        <v>41</v>
      </c>
      <c r="F1353" t="s">
        <v>42</v>
      </c>
      <c r="G1353" s="3">
        <v>5</v>
      </c>
      <c r="I1353" t="str">
        <f t="shared" si="63"/>
        <v>35-44</v>
      </c>
      <c r="J1353" t="str">
        <f t="shared" si="64"/>
        <v>Long Promotion gap</v>
      </c>
      <c r="K1353">
        <f t="shared" si="65"/>
        <v>0</v>
      </c>
    </row>
    <row r="1354" spans="1:11" x14ac:dyDescent="0.25">
      <c r="A1354" s="5">
        <v>138</v>
      </c>
      <c r="B1354" s="3">
        <v>34</v>
      </c>
      <c r="C1354" t="s">
        <v>43</v>
      </c>
      <c r="D1354" t="s">
        <v>35</v>
      </c>
      <c r="E1354" t="s">
        <v>41</v>
      </c>
      <c r="F1354" t="s">
        <v>42</v>
      </c>
      <c r="G1354" s="3">
        <v>2</v>
      </c>
      <c r="I1354" t="str">
        <f t="shared" si="63"/>
        <v>25-34</v>
      </c>
      <c r="J1354" t="str">
        <f t="shared" si="64"/>
        <v>Promoted in 1-3 years</v>
      </c>
      <c r="K1354">
        <f t="shared" si="65"/>
        <v>0</v>
      </c>
    </row>
    <row r="1355" spans="1:11" x14ac:dyDescent="0.25">
      <c r="A1355" s="5">
        <v>924</v>
      </c>
      <c r="B1355" s="3">
        <v>36</v>
      </c>
      <c r="C1355" t="s">
        <v>43</v>
      </c>
      <c r="D1355" t="s">
        <v>64</v>
      </c>
      <c r="E1355" t="s">
        <v>61</v>
      </c>
      <c r="F1355" t="s">
        <v>36</v>
      </c>
      <c r="G1355" s="3">
        <v>4</v>
      </c>
      <c r="I1355" t="str">
        <f t="shared" si="63"/>
        <v>35-44</v>
      </c>
      <c r="J1355" t="str">
        <f t="shared" si="64"/>
        <v>Long Promotion gap</v>
      </c>
      <c r="K1355">
        <f t="shared" si="65"/>
        <v>0</v>
      </c>
    </row>
    <row r="1356" spans="1:11" x14ac:dyDescent="0.25">
      <c r="A1356" s="5">
        <v>1024</v>
      </c>
      <c r="B1356" s="3">
        <v>48</v>
      </c>
      <c r="C1356" t="s">
        <v>43</v>
      </c>
      <c r="D1356" t="s">
        <v>35</v>
      </c>
      <c r="E1356" t="s">
        <v>41</v>
      </c>
      <c r="F1356" t="s">
        <v>42</v>
      </c>
      <c r="G1356" s="3">
        <v>4</v>
      </c>
      <c r="I1356" t="str">
        <f t="shared" si="63"/>
        <v>45-54</v>
      </c>
      <c r="J1356" t="str">
        <f t="shared" si="64"/>
        <v>Long Promotion gap</v>
      </c>
      <c r="K1356">
        <f t="shared" si="65"/>
        <v>0</v>
      </c>
    </row>
    <row r="1357" spans="1:11" x14ac:dyDescent="0.25">
      <c r="A1357" s="5">
        <v>170</v>
      </c>
      <c r="B1357" s="3">
        <v>49</v>
      </c>
      <c r="C1357" t="s">
        <v>43</v>
      </c>
      <c r="D1357" t="s">
        <v>35</v>
      </c>
      <c r="E1357" t="s">
        <v>61</v>
      </c>
      <c r="F1357" t="s">
        <v>42</v>
      </c>
      <c r="G1357" s="3">
        <v>5</v>
      </c>
      <c r="I1357" t="str">
        <f t="shared" si="63"/>
        <v>45-54</v>
      </c>
      <c r="J1357" t="str">
        <f t="shared" si="64"/>
        <v>Long Promotion gap</v>
      </c>
      <c r="K1357">
        <f t="shared" si="65"/>
        <v>0</v>
      </c>
    </row>
    <row r="1358" spans="1:11" x14ac:dyDescent="0.25">
      <c r="A1358" s="5">
        <v>373</v>
      </c>
      <c r="B1358" s="3">
        <v>36</v>
      </c>
      <c r="C1358" t="s">
        <v>43</v>
      </c>
      <c r="D1358" t="s">
        <v>49</v>
      </c>
      <c r="E1358" t="s">
        <v>61</v>
      </c>
      <c r="F1358" t="s">
        <v>36</v>
      </c>
      <c r="G1358" s="3">
        <v>10</v>
      </c>
      <c r="I1358" t="str">
        <f t="shared" si="63"/>
        <v>35-44</v>
      </c>
      <c r="J1358" t="str">
        <f t="shared" si="64"/>
        <v>Long Promotion gap</v>
      </c>
      <c r="K1358">
        <f t="shared" si="65"/>
        <v>0</v>
      </c>
    </row>
    <row r="1359" spans="1:11" x14ac:dyDescent="0.25">
      <c r="A1359" s="5">
        <v>950</v>
      </c>
      <c r="B1359" s="3">
        <v>38</v>
      </c>
      <c r="C1359" t="s">
        <v>43</v>
      </c>
      <c r="D1359" t="s">
        <v>49</v>
      </c>
      <c r="E1359" t="s">
        <v>61</v>
      </c>
      <c r="F1359" t="s">
        <v>36</v>
      </c>
      <c r="G1359" s="3">
        <v>5</v>
      </c>
      <c r="I1359" t="str">
        <f t="shared" si="63"/>
        <v>35-44</v>
      </c>
      <c r="J1359" t="str">
        <f t="shared" si="64"/>
        <v>Long Promotion gap</v>
      </c>
      <c r="K1359">
        <f t="shared" si="65"/>
        <v>0</v>
      </c>
    </row>
    <row r="1360" spans="1:11" x14ac:dyDescent="0.25">
      <c r="A1360" s="5">
        <v>1661</v>
      </c>
      <c r="B1360" s="3">
        <v>49</v>
      </c>
      <c r="C1360" t="s">
        <v>43</v>
      </c>
      <c r="D1360" t="s">
        <v>64</v>
      </c>
      <c r="E1360" t="s">
        <v>61</v>
      </c>
      <c r="F1360" t="s">
        <v>36</v>
      </c>
      <c r="G1360" s="3">
        <v>2</v>
      </c>
      <c r="I1360" t="str">
        <f t="shared" si="63"/>
        <v>45-54</v>
      </c>
      <c r="J1360" t="str">
        <f t="shared" si="64"/>
        <v>Promoted in 1-3 years</v>
      </c>
      <c r="K1360">
        <f t="shared" si="65"/>
        <v>0</v>
      </c>
    </row>
    <row r="1361" spans="1:11" x14ac:dyDescent="0.25">
      <c r="A1361" s="5">
        <v>1696</v>
      </c>
      <c r="B1361" s="3">
        <v>34</v>
      </c>
      <c r="C1361" t="s">
        <v>43</v>
      </c>
      <c r="D1361" t="s">
        <v>67</v>
      </c>
      <c r="E1361" t="s">
        <v>61</v>
      </c>
      <c r="F1361" t="s">
        <v>36</v>
      </c>
      <c r="G1361" s="3">
        <v>4</v>
      </c>
      <c r="I1361" t="str">
        <f t="shared" si="63"/>
        <v>25-34</v>
      </c>
      <c r="J1361" t="str">
        <f t="shared" si="64"/>
        <v>Long Promotion gap</v>
      </c>
      <c r="K1361">
        <f t="shared" si="65"/>
        <v>0</v>
      </c>
    </row>
    <row r="1362" spans="1:11" x14ac:dyDescent="0.25">
      <c r="A1362" s="5">
        <v>1549</v>
      </c>
      <c r="B1362" s="3">
        <v>33</v>
      </c>
      <c r="C1362" t="s">
        <v>43</v>
      </c>
      <c r="D1362" t="s">
        <v>35</v>
      </c>
      <c r="E1362" t="s">
        <v>61</v>
      </c>
      <c r="F1362" t="s">
        <v>36</v>
      </c>
      <c r="G1362" s="3">
        <v>5</v>
      </c>
      <c r="I1362" t="str">
        <f t="shared" si="63"/>
        <v>25-34</v>
      </c>
      <c r="J1362" t="str">
        <f t="shared" si="64"/>
        <v>Long Promotion gap</v>
      </c>
      <c r="K1362">
        <f t="shared" si="65"/>
        <v>0</v>
      </c>
    </row>
    <row r="1363" spans="1:11" x14ac:dyDescent="0.25">
      <c r="A1363" s="5">
        <v>1196</v>
      </c>
      <c r="B1363" s="3">
        <v>37</v>
      </c>
      <c r="C1363" t="s">
        <v>43</v>
      </c>
      <c r="D1363" t="s">
        <v>49</v>
      </c>
      <c r="E1363" t="s">
        <v>61</v>
      </c>
      <c r="F1363" t="s">
        <v>36</v>
      </c>
      <c r="G1363" s="3">
        <v>3</v>
      </c>
      <c r="I1363" t="str">
        <f t="shared" si="63"/>
        <v>35-44</v>
      </c>
      <c r="J1363" t="str">
        <f t="shared" si="64"/>
        <v>Promoted in 1-3 years</v>
      </c>
      <c r="K1363">
        <f t="shared" si="65"/>
        <v>0</v>
      </c>
    </row>
    <row r="1364" spans="1:11" x14ac:dyDescent="0.25">
      <c r="A1364" s="5">
        <v>32</v>
      </c>
      <c r="B1364" s="3">
        <v>53</v>
      </c>
      <c r="C1364" t="s">
        <v>43</v>
      </c>
      <c r="D1364" t="s">
        <v>49</v>
      </c>
      <c r="E1364" t="s">
        <v>52</v>
      </c>
      <c r="F1364" t="s">
        <v>36</v>
      </c>
      <c r="G1364" s="3">
        <v>4</v>
      </c>
      <c r="I1364" t="str">
        <f t="shared" si="63"/>
        <v>45-54</v>
      </c>
      <c r="J1364" t="str">
        <f t="shared" si="64"/>
        <v>Long Promotion gap</v>
      </c>
      <c r="K1364">
        <f t="shared" si="65"/>
        <v>0</v>
      </c>
    </row>
    <row r="1365" spans="1:11" x14ac:dyDescent="0.25">
      <c r="A1365" s="5">
        <v>830</v>
      </c>
      <c r="B1365" s="3">
        <v>32</v>
      </c>
      <c r="C1365" t="s">
        <v>43</v>
      </c>
      <c r="D1365" t="s">
        <v>49</v>
      </c>
      <c r="E1365" t="s">
        <v>61</v>
      </c>
      <c r="F1365" t="s">
        <v>36</v>
      </c>
      <c r="G1365" s="3">
        <v>6</v>
      </c>
      <c r="I1365" t="str">
        <f t="shared" si="63"/>
        <v>25-34</v>
      </c>
      <c r="J1365" t="str">
        <f t="shared" si="64"/>
        <v>Long Promotion gap</v>
      </c>
      <c r="K1365">
        <f t="shared" si="65"/>
        <v>0</v>
      </c>
    </row>
    <row r="1366" spans="1:11" x14ac:dyDescent="0.25">
      <c r="A1366" s="5">
        <v>1383</v>
      </c>
      <c r="B1366" s="3">
        <v>34</v>
      </c>
      <c r="C1366" t="s">
        <v>43</v>
      </c>
      <c r="D1366" t="s">
        <v>35</v>
      </c>
      <c r="E1366" t="s">
        <v>41</v>
      </c>
      <c r="F1366" t="s">
        <v>42</v>
      </c>
      <c r="G1366" s="3">
        <v>4</v>
      </c>
      <c r="I1366" t="str">
        <f t="shared" si="63"/>
        <v>25-34</v>
      </c>
      <c r="J1366" t="str">
        <f t="shared" si="64"/>
        <v>Long Promotion gap</v>
      </c>
      <c r="K1366">
        <f t="shared" si="65"/>
        <v>0</v>
      </c>
    </row>
    <row r="1367" spans="1:11" x14ac:dyDescent="0.25">
      <c r="A1367" s="5">
        <v>1238</v>
      </c>
      <c r="B1367" s="3">
        <v>33</v>
      </c>
      <c r="C1367" t="s">
        <v>43</v>
      </c>
      <c r="D1367" t="s">
        <v>49</v>
      </c>
      <c r="E1367" t="s">
        <v>61</v>
      </c>
      <c r="F1367" t="s">
        <v>36</v>
      </c>
      <c r="G1367" s="3">
        <v>4</v>
      </c>
      <c r="I1367" t="str">
        <f t="shared" si="63"/>
        <v>25-34</v>
      </c>
      <c r="J1367" t="str">
        <f t="shared" si="64"/>
        <v>Long Promotion gap</v>
      </c>
      <c r="K1367">
        <f t="shared" si="65"/>
        <v>0</v>
      </c>
    </row>
    <row r="1368" spans="1:11" x14ac:dyDescent="0.25">
      <c r="A1368" s="5">
        <v>1698</v>
      </c>
      <c r="B1368" s="3">
        <v>33</v>
      </c>
      <c r="C1368" t="s">
        <v>43</v>
      </c>
      <c r="D1368" t="s">
        <v>49</v>
      </c>
      <c r="E1368" t="s">
        <v>61</v>
      </c>
      <c r="F1368" t="s">
        <v>50</v>
      </c>
      <c r="G1368" s="3">
        <v>2</v>
      </c>
      <c r="I1368" t="str">
        <f t="shared" si="63"/>
        <v>25-34</v>
      </c>
      <c r="J1368" t="str">
        <f t="shared" si="64"/>
        <v>Promoted in 1-3 years</v>
      </c>
      <c r="K1368">
        <f t="shared" si="65"/>
        <v>0</v>
      </c>
    </row>
    <row r="1369" spans="1:11" x14ac:dyDescent="0.25">
      <c r="A1369" s="5">
        <v>524</v>
      </c>
      <c r="B1369" s="3">
        <v>31</v>
      </c>
      <c r="C1369" t="s">
        <v>43</v>
      </c>
      <c r="D1369" t="s">
        <v>67</v>
      </c>
      <c r="E1369" t="s">
        <v>61</v>
      </c>
      <c r="F1369" t="s">
        <v>36</v>
      </c>
      <c r="G1369" s="3">
        <v>3</v>
      </c>
      <c r="I1369" t="str">
        <f t="shared" si="63"/>
        <v>25-34</v>
      </c>
      <c r="J1369" t="str">
        <f t="shared" si="64"/>
        <v>Promoted in 1-3 years</v>
      </c>
      <c r="K1369">
        <f t="shared" si="65"/>
        <v>0</v>
      </c>
    </row>
    <row r="1370" spans="1:11" x14ac:dyDescent="0.25">
      <c r="A1370" s="5">
        <v>1911</v>
      </c>
      <c r="B1370" s="3">
        <v>42</v>
      </c>
      <c r="C1370" t="s">
        <v>43</v>
      </c>
      <c r="D1370" t="s">
        <v>49</v>
      </c>
      <c r="E1370" t="s">
        <v>61</v>
      </c>
      <c r="F1370" t="s">
        <v>36</v>
      </c>
      <c r="G1370" s="3">
        <v>5</v>
      </c>
      <c r="I1370" t="str">
        <f t="shared" si="63"/>
        <v>35-44</v>
      </c>
      <c r="J1370" t="str">
        <f t="shared" si="64"/>
        <v>Long Promotion gap</v>
      </c>
      <c r="K1370">
        <f t="shared" si="65"/>
        <v>0</v>
      </c>
    </row>
    <row r="1371" spans="1:11" x14ac:dyDescent="0.25">
      <c r="A1371" s="5">
        <v>304</v>
      </c>
      <c r="B1371" s="3">
        <v>36</v>
      </c>
      <c r="C1371" t="s">
        <v>43</v>
      </c>
      <c r="D1371" t="s">
        <v>67</v>
      </c>
      <c r="E1371" t="s">
        <v>41</v>
      </c>
      <c r="F1371" t="s">
        <v>42</v>
      </c>
      <c r="G1371" s="3">
        <v>3</v>
      </c>
      <c r="I1371" t="str">
        <f t="shared" si="63"/>
        <v>35-44</v>
      </c>
      <c r="J1371" t="str">
        <f t="shared" si="64"/>
        <v>Promoted in 1-3 years</v>
      </c>
      <c r="K1371">
        <f t="shared" si="65"/>
        <v>0</v>
      </c>
    </row>
    <row r="1372" spans="1:11" x14ac:dyDescent="0.25">
      <c r="A1372" s="5">
        <v>817</v>
      </c>
      <c r="B1372" s="3">
        <v>33</v>
      </c>
      <c r="C1372" t="s">
        <v>43</v>
      </c>
      <c r="D1372" t="s">
        <v>49</v>
      </c>
      <c r="E1372" t="s">
        <v>61</v>
      </c>
      <c r="F1372" t="s">
        <v>42</v>
      </c>
      <c r="G1372" s="3">
        <v>3</v>
      </c>
      <c r="I1372" t="str">
        <f t="shared" si="63"/>
        <v>25-34</v>
      </c>
      <c r="J1372" t="str">
        <f t="shared" si="64"/>
        <v>Promoted in 1-3 years</v>
      </c>
      <c r="K1372">
        <f t="shared" si="65"/>
        <v>0</v>
      </c>
    </row>
    <row r="1373" spans="1:11" x14ac:dyDescent="0.25">
      <c r="A1373" s="5">
        <v>1790</v>
      </c>
      <c r="B1373" s="3">
        <v>36</v>
      </c>
      <c r="C1373" t="s">
        <v>43</v>
      </c>
      <c r="D1373" t="s">
        <v>49</v>
      </c>
      <c r="E1373" t="s">
        <v>61</v>
      </c>
      <c r="F1373" t="s">
        <v>36</v>
      </c>
      <c r="G1373" s="3">
        <v>5</v>
      </c>
      <c r="I1373" t="str">
        <f t="shared" si="63"/>
        <v>35-44</v>
      </c>
      <c r="J1373" t="str">
        <f t="shared" si="64"/>
        <v>Long Promotion gap</v>
      </c>
      <c r="K1373">
        <f t="shared" si="65"/>
        <v>0</v>
      </c>
    </row>
    <row r="1374" spans="1:11" x14ac:dyDescent="0.25">
      <c r="A1374" s="5">
        <v>28</v>
      </c>
      <c r="B1374" s="3">
        <v>34</v>
      </c>
      <c r="C1374" t="s">
        <v>43</v>
      </c>
      <c r="D1374" t="s">
        <v>35</v>
      </c>
      <c r="E1374" t="s">
        <v>41</v>
      </c>
      <c r="F1374" t="s">
        <v>42</v>
      </c>
      <c r="G1374" s="3">
        <v>2</v>
      </c>
      <c r="I1374" t="str">
        <f t="shared" si="63"/>
        <v>25-34</v>
      </c>
      <c r="J1374" t="str">
        <f t="shared" si="64"/>
        <v>Promoted in 1-3 years</v>
      </c>
      <c r="K1374">
        <f t="shared" si="65"/>
        <v>0</v>
      </c>
    </row>
    <row r="1375" spans="1:11" x14ac:dyDescent="0.25">
      <c r="A1375" s="5">
        <v>901</v>
      </c>
      <c r="B1375" s="3">
        <v>53</v>
      </c>
      <c r="C1375" t="s">
        <v>43</v>
      </c>
      <c r="D1375" t="s">
        <v>35</v>
      </c>
      <c r="E1375" t="s">
        <v>41</v>
      </c>
      <c r="F1375" t="s">
        <v>42</v>
      </c>
      <c r="G1375" s="3">
        <v>3</v>
      </c>
      <c r="I1375" t="str">
        <f t="shared" si="63"/>
        <v>45-54</v>
      </c>
      <c r="J1375" t="str">
        <f t="shared" si="64"/>
        <v>Promoted in 1-3 years</v>
      </c>
      <c r="K1375">
        <f t="shared" si="65"/>
        <v>0</v>
      </c>
    </row>
    <row r="1376" spans="1:11" x14ac:dyDescent="0.25">
      <c r="A1376" s="5">
        <v>461</v>
      </c>
      <c r="B1376" s="3">
        <v>38</v>
      </c>
      <c r="C1376" t="s">
        <v>43</v>
      </c>
      <c r="D1376" t="s">
        <v>67</v>
      </c>
      <c r="E1376" t="s">
        <v>52</v>
      </c>
      <c r="F1376" t="s">
        <v>36</v>
      </c>
      <c r="G1376" s="3">
        <v>2</v>
      </c>
      <c r="I1376" t="str">
        <f t="shared" si="63"/>
        <v>35-44</v>
      </c>
      <c r="J1376" t="str">
        <f t="shared" si="64"/>
        <v>Promoted in 1-3 years</v>
      </c>
      <c r="K1376">
        <f t="shared" si="65"/>
        <v>0</v>
      </c>
    </row>
    <row r="1377" spans="1:11" x14ac:dyDescent="0.25">
      <c r="A1377" s="5">
        <v>462</v>
      </c>
      <c r="B1377" s="3">
        <v>31</v>
      </c>
      <c r="C1377" t="s">
        <v>43</v>
      </c>
      <c r="D1377" t="s">
        <v>35</v>
      </c>
      <c r="E1377" t="s">
        <v>41</v>
      </c>
      <c r="F1377" t="s">
        <v>42</v>
      </c>
      <c r="G1377" s="3">
        <v>4</v>
      </c>
      <c r="I1377" t="str">
        <f t="shared" si="63"/>
        <v>25-34</v>
      </c>
      <c r="J1377" t="str">
        <f t="shared" si="64"/>
        <v>Long Promotion gap</v>
      </c>
      <c r="K1377">
        <f t="shared" si="65"/>
        <v>0</v>
      </c>
    </row>
    <row r="1378" spans="1:11" x14ac:dyDescent="0.25">
      <c r="A1378" s="5">
        <v>1529</v>
      </c>
      <c r="B1378" s="3">
        <v>35</v>
      </c>
      <c r="C1378" t="s">
        <v>43</v>
      </c>
      <c r="D1378" t="s">
        <v>49</v>
      </c>
      <c r="E1378" t="s">
        <v>41</v>
      </c>
      <c r="F1378" t="s">
        <v>42</v>
      </c>
      <c r="G1378" s="3">
        <v>3</v>
      </c>
      <c r="I1378" t="str">
        <f t="shared" si="63"/>
        <v>35-44</v>
      </c>
      <c r="J1378" t="str">
        <f t="shared" si="64"/>
        <v>Promoted in 1-3 years</v>
      </c>
      <c r="K1378">
        <f t="shared" si="65"/>
        <v>0</v>
      </c>
    </row>
    <row r="1379" spans="1:11" x14ac:dyDescent="0.25">
      <c r="A1379" s="5">
        <v>153</v>
      </c>
      <c r="B1379" s="3">
        <v>34</v>
      </c>
      <c r="C1379" t="s">
        <v>43</v>
      </c>
      <c r="D1379" t="s">
        <v>49</v>
      </c>
      <c r="E1379" t="s">
        <v>41</v>
      </c>
      <c r="F1379" t="s">
        <v>42</v>
      </c>
      <c r="G1379" s="3">
        <v>5</v>
      </c>
      <c r="I1379" t="str">
        <f t="shared" si="63"/>
        <v>25-34</v>
      </c>
      <c r="J1379" t="str">
        <f t="shared" si="64"/>
        <v>Long Promotion gap</v>
      </c>
      <c r="K1379">
        <f t="shared" si="65"/>
        <v>0</v>
      </c>
    </row>
    <row r="1380" spans="1:11" x14ac:dyDescent="0.25">
      <c r="A1380" s="5">
        <v>117</v>
      </c>
      <c r="B1380" s="3">
        <v>30</v>
      </c>
      <c r="C1380" t="s">
        <v>43</v>
      </c>
      <c r="D1380" t="s">
        <v>49</v>
      </c>
      <c r="E1380" t="s">
        <v>61</v>
      </c>
      <c r="F1380" t="s">
        <v>50</v>
      </c>
      <c r="G1380" s="3">
        <v>10</v>
      </c>
      <c r="I1380" t="str">
        <f t="shared" si="63"/>
        <v>25-34</v>
      </c>
      <c r="J1380" t="str">
        <f t="shared" si="64"/>
        <v>Long Promotion gap</v>
      </c>
      <c r="K1380">
        <f t="shared" si="65"/>
        <v>0</v>
      </c>
    </row>
    <row r="1381" spans="1:11" x14ac:dyDescent="0.25">
      <c r="A1381" s="5">
        <v>339</v>
      </c>
      <c r="B1381" s="3">
        <v>34</v>
      </c>
      <c r="C1381" t="s">
        <v>43</v>
      </c>
      <c r="D1381" t="s">
        <v>35</v>
      </c>
      <c r="E1381" t="s">
        <v>61</v>
      </c>
      <c r="F1381" t="s">
        <v>36</v>
      </c>
      <c r="G1381" s="3">
        <v>5</v>
      </c>
      <c r="I1381" t="str">
        <f t="shared" si="63"/>
        <v>25-34</v>
      </c>
      <c r="J1381" t="str">
        <f t="shared" si="64"/>
        <v>Long Promotion gap</v>
      </c>
      <c r="K1381">
        <f t="shared" si="65"/>
        <v>0</v>
      </c>
    </row>
    <row r="1382" spans="1:11" x14ac:dyDescent="0.25">
      <c r="A1382" s="5">
        <v>1658</v>
      </c>
      <c r="B1382" s="3">
        <v>34</v>
      </c>
      <c r="C1382" t="s">
        <v>43</v>
      </c>
      <c r="D1382" t="s">
        <v>49</v>
      </c>
      <c r="E1382" t="s">
        <v>52</v>
      </c>
      <c r="F1382" t="s">
        <v>36</v>
      </c>
      <c r="G1382" s="3">
        <v>7</v>
      </c>
      <c r="I1382" t="str">
        <f t="shared" si="63"/>
        <v>25-34</v>
      </c>
      <c r="J1382" t="str">
        <f t="shared" si="64"/>
        <v>Long Promotion gap</v>
      </c>
      <c r="K1382">
        <f t="shared" si="65"/>
        <v>0</v>
      </c>
    </row>
    <row r="1383" spans="1:11" x14ac:dyDescent="0.25">
      <c r="A1383" s="5">
        <v>1543</v>
      </c>
      <c r="B1383" s="3">
        <v>37</v>
      </c>
      <c r="C1383" t="s">
        <v>43</v>
      </c>
      <c r="D1383" t="s">
        <v>49</v>
      </c>
      <c r="E1383" t="s">
        <v>61</v>
      </c>
      <c r="F1383" t="s">
        <v>42</v>
      </c>
      <c r="G1383" s="3">
        <v>3</v>
      </c>
      <c r="I1383" t="str">
        <f t="shared" si="63"/>
        <v>35-44</v>
      </c>
      <c r="J1383" t="str">
        <f t="shared" si="64"/>
        <v>Promoted in 1-3 years</v>
      </c>
      <c r="K1383">
        <f t="shared" si="65"/>
        <v>0</v>
      </c>
    </row>
    <row r="1384" spans="1:11" x14ac:dyDescent="0.25">
      <c r="A1384" s="5">
        <v>689</v>
      </c>
      <c r="B1384" s="3">
        <v>37</v>
      </c>
      <c r="C1384" t="s">
        <v>43</v>
      </c>
      <c r="D1384" t="s">
        <v>49</v>
      </c>
      <c r="E1384" t="s">
        <v>61</v>
      </c>
      <c r="F1384" t="s">
        <v>36</v>
      </c>
      <c r="G1384" s="3">
        <v>7</v>
      </c>
      <c r="I1384" t="str">
        <f t="shared" si="63"/>
        <v>35-44</v>
      </c>
      <c r="J1384" t="str">
        <f t="shared" si="64"/>
        <v>Long Promotion gap</v>
      </c>
      <c r="K1384">
        <f t="shared" si="65"/>
        <v>0</v>
      </c>
    </row>
    <row r="1385" spans="1:11" x14ac:dyDescent="0.25">
      <c r="A1385" s="5">
        <v>1635</v>
      </c>
      <c r="B1385" s="3">
        <v>45</v>
      </c>
      <c r="C1385" t="s">
        <v>43</v>
      </c>
      <c r="D1385" t="s">
        <v>67</v>
      </c>
      <c r="E1385" t="s">
        <v>52</v>
      </c>
      <c r="F1385" t="s">
        <v>53</v>
      </c>
      <c r="G1385" s="3">
        <v>3</v>
      </c>
      <c r="I1385" t="str">
        <f t="shared" si="63"/>
        <v>45-54</v>
      </c>
      <c r="J1385" t="str">
        <f t="shared" si="64"/>
        <v>Promoted in 1-3 years</v>
      </c>
      <c r="K1385">
        <f t="shared" si="65"/>
        <v>0</v>
      </c>
    </row>
    <row r="1386" spans="1:11" x14ac:dyDescent="0.25">
      <c r="A1386" s="5">
        <v>20</v>
      </c>
      <c r="B1386" s="3">
        <v>29</v>
      </c>
      <c r="C1386" t="s">
        <v>43</v>
      </c>
      <c r="D1386" t="s">
        <v>35</v>
      </c>
      <c r="E1386" t="s">
        <v>52</v>
      </c>
      <c r="F1386" t="s">
        <v>36</v>
      </c>
      <c r="G1386" s="3">
        <v>8</v>
      </c>
      <c r="I1386" t="str">
        <f t="shared" si="63"/>
        <v>25-34</v>
      </c>
      <c r="J1386" t="str">
        <f t="shared" si="64"/>
        <v>Long Promotion gap</v>
      </c>
      <c r="K1386">
        <f t="shared" si="65"/>
        <v>0</v>
      </c>
    </row>
    <row r="1387" spans="1:11" x14ac:dyDescent="0.25">
      <c r="A1387" s="5">
        <v>1553</v>
      </c>
      <c r="B1387" s="3">
        <v>45</v>
      </c>
      <c r="C1387" t="s">
        <v>43</v>
      </c>
      <c r="D1387" t="s">
        <v>35</v>
      </c>
      <c r="E1387" t="s">
        <v>52</v>
      </c>
      <c r="F1387" t="s">
        <v>50</v>
      </c>
      <c r="G1387" s="3">
        <v>7</v>
      </c>
      <c r="I1387" t="str">
        <f t="shared" si="63"/>
        <v>45-54</v>
      </c>
      <c r="J1387" t="str">
        <f t="shared" si="64"/>
        <v>Long Promotion gap</v>
      </c>
      <c r="K1387">
        <f t="shared" si="65"/>
        <v>0</v>
      </c>
    </row>
    <row r="1388" spans="1:11" x14ac:dyDescent="0.25">
      <c r="A1388" s="5">
        <v>1224</v>
      </c>
      <c r="B1388" s="3">
        <v>30</v>
      </c>
      <c r="C1388" t="s">
        <v>43</v>
      </c>
      <c r="D1388" t="s">
        <v>35</v>
      </c>
      <c r="E1388" t="s">
        <v>52</v>
      </c>
      <c r="F1388" t="s">
        <v>50</v>
      </c>
      <c r="G1388" s="3">
        <v>8</v>
      </c>
      <c r="I1388" t="str">
        <f t="shared" si="63"/>
        <v>25-34</v>
      </c>
      <c r="J1388" t="str">
        <f t="shared" si="64"/>
        <v>Long Promotion gap</v>
      </c>
      <c r="K1388">
        <f t="shared" si="65"/>
        <v>0</v>
      </c>
    </row>
    <row r="1389" spans="1:11" x14ac:dyDescent="0.25">
      <c r="A1389" s="5">
        <v>683</v>
      </c>
      <c r="B1389" s="3">
        <v>34</v>
      </c>
      <c r="C1389" t="s">
        <v>43</v>
      </c>
      <c r="D1389" t="s">
        <v>70</v>
      </c>
      <c r="E1389" t="s">
        <v>61</v>
      </c>
      <c r="F1389" t="s">
        <v>36</v>
      </c>
      <c r="G1389" s="3">
        <v>8</v>
      </c>
      <c r="I1389" t="str">
        <f t="shared" si="63"/>
        <v>25-34</v>
      </c>
      <c r="J1389" t="str">
        <f t="shared" si="64"/>
        <v>Long Promotion gap</v>
      </c>
      <c r="K1389">
        <f t="shared" si="65"/>
        <v>0</v>
      </c>
    </row>
    <row r="1390" spans="1:11" x14ac:dyDescent="0.25">
      <c r="A1390" s="5">
        <v>104</v>
      </c>
      <c r="B1390" s="3">
        <v>30</v>
      </c>
      <c r="C1390" t="s">
        <v>43</v>
      </c>
      <c r="D1390" t="s">
        <v>64</v>
      </c>
      <c r="E1390" t="s">
        <v>61</v>
      </c>
      <c r="F1390" t="s">
        <v>53</v>
      </c>
      <c r="G1390" s="3">
        <v>3</v>
      </c>
      <c r="I1390" t="str">
        <f t="shared" si="63"/>
        <v>25-34</v>
      </c>
      <c r="J1390" t="str">
        <f t="shared" si="64"/>
        <v>Promoted in 1-3 years</v>
      </c>
      <c r="K1390">
        <f t="shared" si="65"/>
        <v>0</v>
      </c>
    </row>
    <row r="1391" spans="1:11" x14ac:dyDescent="0.25">
      <c r="A1391" s="5">
        <v>1798</v>
      </c>
      <c r="B1391" s="3">
        <v>33</v>
      </c>
      <c r="C1391" t="s">
        <v>43</v>
      </c>
      <c r="D1391" t="s">
        <v>35</v>
      </c>
      <c r="E1391" t="s">
        <v>61</v>
      </c>
      <c r="F1391" t="s">
        <v>36</v>
      </c>
      <c r="G1391" s="3">
        <v>7</v>
      </c>
      <c r="I1391" t="str">
        <f t="shared" si="63"/>
        <v>25-34</v>
      </c>
      <c r="J1391" t="str">
        <f t="shared" si="64"/>
        <v>Long Promotion gap</v>
      </c>
      <c r="K1391">
        <f t="shared" si="65"/>
        <v>0</v>
      </c>
    </row>
    <row r="1392" spans="1:11" x14ac:dyDescent="0.25">
      <c r="A1392" s="5">
        <v>452</v>
      </c>
      <c r="B1392" s="3">
        <v>45</v>
      </c>
      <c r="C1392" t="s">
        <v>43</v>
      </c>
      <c r="D1392" t="s">
        <v>35</v>
      </c>
      <c r="E1392" t="s">
        <v>61</v>
      </c>
      <c r="F1392" t="s">
        <v>53</v>
      </c>
      <c r="G1392" s="3">
        <v>9</v>
      </c>
      <c r="I1392" t="str">
        <f t="shared" si="63"/>
        <v>45-54</v>
      </c>
      <c r="J1392" t="str">
        <f t="shared" si="64"/>
        <v>Long Promotion gap</v>
      </c>
      <c r="K1392">
        <f t="shared" si="65"/>
        <v>0</v>
      </c>
    </row>
    <row r="1393" spans="1:11" x14ac:dyDescent="0.25">
      <c r="A1393" s="5">
        <v>1246</v>
      </c>
      <c r="B1393" s="3">
        <v>44</v>
      </c>
      <c r="C1393" t="s">
        <v>43</v>
      </c>
      <c r="D1393" t="s">
        <v>64</v>
      </c>
      <c r="E1393" t="s">
        <v>61</v>
      </c>
      <c r="F1393" t="s">
        <v>36</v>
      </c>
      <c r="G1393" s="3">
        <v>7</v>
      </c>
      <c r="I1393" t="str">
        <f t="shared" si="63"/>
        <v>35-44</v>
      </c>
      <c r="J1393" t="str">
        <f t="shared" si="64"/>
        <v>Long Promotion gap</v>
      </c>
      <c r="K1393">
        <f t="shared" si="65"/>
        <v>0</v>
      </c>
    </row>
    <row r="1394" spans="1:11" x14ac:dyDescent="0.25">
      <c r="A1394" s="5">
        <v>659</v>
      </c>
      <c r="B1394" s="3">
        <v>42</v>
      </c>
      <c r="C1394" t="s">
        <v>43</v>
      </c>
      <c r="D1394" t="s">
        <v>35</v>
      </c>
      <c r="E1394" t="s">
        <v>61</v>
      </c>
      <c r="F1394" t="s">
        <v>53</v>
      </c>
      <c r="G1394" s="3">
        <v>2</v>
      </c>
      <c r="I1394" t="str">
        <f t="shared" si="63"/>
        <v>35-44</v>
      </c>
      <c r="J1394" t="str">
        <f t="shared" si="64"/>
        <v>Promoted in 1-3 years</v>
      </c>
      <c r="K1394">
        <f t="shared" si="65"/>
        <v>0</v>
      </c>
    </row>
    <row r="1395" spans="1:11" x14ac:dyDescent="0.25">
      <c r="A1395" s="5">
        <v>1701</v>
      </c>
      <c r="B1395" s="3">
        <v>34</v>
      </c>
      <c r="C1395" t="s">
        <v>43</v>
      </c>
      <c r="D1395" t="s">
        <v>49</v>
      </c>
      <c r="E1395" t="s">
        <v>61</v>
      </c>
      <c r="F1395" t="s">
        <v>42</v>
      </c>
      <c r="G1395" s="3">
        <v>8</v>
      </c>
      <c r="I1395" t="str">
        <f t="shared" si="63"/>
        <v>25-34</v>
      </c>
      <c r="J1395" t="str">
        <f t="shared" si="64"/>
        <v>Long Promotion gap</v>
      </c>
      <c r="K1395">
        <f t="shared" si="65"/>
        <v>0</v>
      </c>
    </row>
    <row r="1396" spans="1:11" x14ac:dyDescent="0.25">
      <c r="A1396" s="5">
        <v>630</v>
      </c>
      <c r="B1396" s="3">
        <v>52</v>
      </c>
      <c r="C1396" t="s">
        <v>43</v>
      </c>
      <c r="D1396" t="s">
        <v>67</v>
      </c>
      <c r="E1396" t="s">
        <v>52</v>
      </c>
      <c r="F1396" t="s">
        <v>53</v>
      </c>
      <c r="G1396" s="3">
        <v>6</v>
      </c>
      <c r="I1396" t="str">
        <f t="shared" si="63"/>
        <v>45-54</v>
      </c>
      <c r="J1396" t="str">
        <f t="shared" si="64"/>
        <v>Long Promotion gap</v>
      </c>
      <c r="K1396">
        <f t="shared" si="65"/>
        <v>0</v>
      </c>
    </row>
    <row r="1397" spans="1:11" x14ac:dyDescent="0.25">
      <c r="A1397" s="5">
        <v>296</v>
      </c>
      <c r="B1397" s="3">
        <v>51</v>
      </c>
      <c r="C1397" t="s">
        <v>43</v>
      </c>
      <c r="D1397" t="s">
        <v>35</v>
      </c>
      <c r="E1397" t="s">
        <v>61</v>
      </c>
      <c r="F1397" t="s">
        <v>53</v>
      </c>
      <c r="G1397" s="3">
        <v>4</v>
      </c>
      <c r="I1397" t="str">
        <f t="shared" si="63"/>
        <v>45-54</v>
      </c>
      <c r="J1397" t="str">
        <f t="shared" si="64"/>
        <v>Long Promotion gap</v>
      </c>
      <c r="K1397">
        <f t="shared" si="65"/>
        <v>0</v>
      </c>
    </row>
    <row r="1398" spans="1:11" x14ac:dyDescent="0.25">
      <c r="A1398" s="5">
        <v>1346</v>
      </c>
      <c r="B1398" s="3">
        <v>40</v>
      </c>
      <c r="C1398" t="s">
        <v>43</v>
      </c>
      <c r="D1398" t="s">
        <v>49</v>
      </c>
      <c r="E1398" t="s">
        <v>41</v>
      </c>
      <c r="F1398" t="s">
        <v>42</v>
      </c>
      <c r="G1398" s="3">
        <v>8</v>
      </c>
      <c r="I1398" t="str">
        <f t="shared" si="63"/>
        <v>35-44</v>
      </c>
      <c r="J1398" t="str">
        <f t="shared" si="64"/>
        <v>Long Promotion gap</v>
      </c>
      <c r="K1398">
        <f t="shared" si="65"/>
        <v>0</v>
      </c>
    </row>
    <row r="1399" spans="1:11" x14ac:dyDescent="0.25">
      <c r="A1399" s="5">
        <v>1244</v>
      </c>
      <c r="B1399" s="3">
        <v>27</v>
      </c>
      <c r="C1399" t="s">
        <v>43</v>
      </c>
      <c r="D1399" t="s">
        <v>49</v>
      </c>
      <c r="E1399" t="s">
        <v>61</v>
      </c>
      <c r="F1399" t="s">
        <v>53</v>
      </c>
      <c r="G1399" s="3">
        <v>6</v>
      </c>
      <c r="I1399" t="str">
        <f t="shared" si="63"/>
        <v>25-34</v>
      </c>
      <c r="J1399" t="str">
        <f t="shared" si="64"/>
        <v>Long Promotion gap</v>
      </c>
      <c r="K1399">
        <f t="shared" si="65"/>
        <v>0</v>
      </c>
    </row>
    <row r="1400" spans="1:11" x14ac:dyDescent="0.25">
      <c r="A1400" s="5">
        <v>836</v>
      </c>
      <c r="B1400" s="3">
        <v>42</v>
      </c>
      <c r="C1400" t="s">
        <v>43</v>
      </c>
      <c r="D1400" t="s">
        <v>49</v>
      </c>
      <c r="E1400" t="s">
        <v>61</v>
      </c>
      <c r="F1400" t="s">
        <v>36</v>
      </c>
      <c r="G1400" s="3">
        <v>7</v>
      </c>
      <c r="I1400" t="str">
        <f t="shared" si="63"/>
        <v>35-44</v>
      </c>
      <c r="J1400" t="str">
        <f t="shared" si="64"/>
        <v>Long Promotion gap</v>
      </c>
      <c r="K1400">
        <f t="shared" si="65"/>
        <v>0</v>
      </c>
    </row>
    <row r="1401" spans="1:11" x14ac:dyDescent="0.25">
      <c r="A1401" s="5">
        <v>961</v>
      </c>
      <c r="B1401" s="3">
        <v>31</v>
      </c>
      <c r="C1401" t="s">
        <v>43</v>
      </c>
      <c r="D1401" t="s">
        <v>49</v>
      </c>
      <c r="E1401" t="s">
        <v>61</v>
      </c>
      <c r="F1401" t="s">
        <v>53</v>
      </c>
      <c r="G1401" s="3">
        <v>8</v>
      </c>
      <c r="I1401" t="str">
        <f t="shared" si="63"/>
        <v>25-34</v>
      </c>
      <c r="J1401" t="str">
        <f t="shared" si="64"/>
        <v>Long Promotion gap</v>
      </c>
      <c r="K1401">
        <f t="shared" si="65"/>
        <v>0</v>
      </c>
    </row>
    <row r="1402" spans="1:11" x14ac:dyDescent="0.25">
      <c r="A1402" s="5">
        <v>1311</v>
      </c>
      <c r="B1402" s="3">
        <v>30</v>
      </c>
      <c r="C1402" t="s">
        <v>43</v>
      </c>
      <c r="D1402" t="s">
        <v>49</v>
      </c>
      <c r="E1402" t="s">
        <v>61</v>
      </c>
      <c r="F1402" t="s">
        <v>36</v>
      </c>
      <c r="G1402" s="3">
        <v>6</v>
      </c>
      <c r="I1402" t="str">
        <f t="shared" si="63"/>
        <v>25-34</v>
      </c>
      <c r="J1402" t="str">
        <f t="shared" si="64"/>
        <v>Long Promotion gap</v>
      </c>
      <c r="K1402">
        <f t="shared" si="65"/>
        <v>0</v>
      </c>
    </row>
    <row r="1403" spans="1:11" x14ac:dyDescent="0.25">
      <c r="A1403" s="5">
        <v>1283</v>
      </c>
      <c r="B1403" s="3">
        <v>59</v>
      </c>
      <c r="C1403" t="s">
        <v>43</v>
      </c>
      <c r="D1403" t="s">
        <v>35</v>
      </c>
      <c r="E1403" t="s">
        <v>41</v>
      </c>
      <c r="F1403" t="s">
        <v>42</v>
      </c>
      <c r="G1403" s="3">
        <v>5</v>
      </c>
      <c r="I1403" t="str">
        <f t="shared" si="63"/>
        <v>55-60</v>
      </c>
      <c r="J1403" t="str">
        <f t="shared" si="64"/>
        <v>Long Promotion gap</v>
      </c>
      <c r="K1403">
        <f t="shared" si="65"/>
        <v>0</v>
      </c>
    </row>
    <row r="1404" spans="1:11" x14ac:dyDescent="0.25">
      <c r="A1404" s="5">
        <v>2009</v>
      </c>
      <c r="B1404" s="3">
        <v>33</v>
      </c>
      <c r="C1404" t="s">
        <v>43</v>
      </c>
      <c r="D1404" t="s">
        <v>67</v>
      </c>
      <c r="E1404" t="s">
        <v>61</v>
      </c>
      <c r="F1404" t="s">
        <v>36</v>
      </c>
      <c r="G1404" s="3">
        <v>8</v>
      </c>
      <c r="I1404" t="str">
        <f t="shared" si="63"/>
        <v>25-34</v>
      </c>
      <c r="J1404" t="str">
        <f t="shared" si="64"/>
        <v>Long Promotion gap</v>
      </c>
      <c r="K1404">
        <f t="shared" si="65"/>
        <v>0</v>
      </c>
    </row>
    <row r="1405" spans="1:11" x14ac:dyDescent="0.25">
      <c r="A1405" s="5">
        <v>1857</v>
      </c>
      <c r="B1405" s="3">
        <v>46</v>
      </c>
      <c r="C1405" t="s">
        <v>43</v>
      </c>
      <c r="D1405" t="s">
        <v>67</v>
      </c>
      <c r="E1405" t="s">
        <v>52</v>
      </c>
      <c r="F1405" t="s">
        <v>36</v>
      </c>
      <c r="G1405" s="3">
        <v>4</v>
      </c>
      <c r="I1405" t="str">
        <f t="shared" si="63"/>
        <v>45-54</v>
      </c>
      <c r="J1405" t="str">
        <f t="shared" si="64"/>
        <v>Long Promotion gap</v>
      </c>
      <c r="K1405">
        <f t="shared" si="65"/>
        <v>0</v>
      </c>
    </row>
    <row r="1406" spans="1:11" x14ac:dyDescent="0.25">
      <c r="A1406" s="5">
        <v>351</v>
      </c>
      <c r="B1406" s="3">
        <v>42</v>
      </c>
      <c r="C1406" t="s">
        <v>43</v>
      </c>
      <c r="D1406" t="s">
        <v>49</v>
      </c>
      <c r="E1406" t="s">
        <v>52</v>
      </c>
      <c r="F1406" t="s">
        <v>36</v>
      </c>
      <c r="G1406" s="3">
        <v>7</v>
      </c>
      <c r="I1406" t="str">
        <f t="shared" si="63"/>
        <v>35-44</v>
      </c>
      <c r="J1406" t="str">
        <f t="shared" si="64"/>
        <v>Long Promotion gap</v>
      </c>
      <c r="K1406">
        <f t="shared" si="65"/>
        <v>0</v>
      </c>
    </row>
    <row r="1407" spans="1:11" x14ac:dyDescent="0.25">
      <c r="A1407" s="5">
        <v>976</v>
      </c>
      <c r="B1407" s="3">
        <v>52</v>
      </c>
      <c r="C1407" t="s">
        <v>43</v>
      </c>
      <c r="D1407" t="s">
        <v>67</v>
      </c>
      <c r="E1407" t="s">
        <v>61</v>
      </c>
      <c r="F1407" t="s">
        <v>36</v>
      </c>
      <c r="G1407" s="3">
        <v>7</v>
      </c>
      <c r="I1407" t="str">
        <f t="shared" si="63"/>
        <v>45-54</v>
      </c>
      <c r="J1407" t="str">
        <f t="shared" si="64"/>
        <v>Long Promotion gap</v>
      </c>
      <c r="K1407">
        <f t="shared" si="65"/>
        <v>0</v>
      </c>
    </row>
    <row r="1408" spans="1:11" x14ac:dyDescent="0.25">
      <c r="A1408" s="5">
        <v>335</v>
      </c>
      <c r="B1408" s="3">
        <v>40</v>
      </c>
      <c r="C1408" t="s">
        <v>43</v>
      </c>
      <c r="D1408" t="s">
        <v>67</v>
      </c>
      <c r="E1408" t="s">
        <v>52</v>
      </c>
      <c r="F1408" t="s">
        <v>53</v>
      </c>
      <c r="G1408" s="3">
        <v>4</v>
      </c>
      <c r="I1408" t="str">
        <f t="shared" si="63"/>
        <v>35-44</v>
      </c>
      <c r="J1408" t="str">
        <f t="shared" si="64"/>
        <v>Long Promotion gap</v>
      </c>
      <c r="K1408">
        <f t="shared" si="65"/>
        <v>0</v>
      </c>
    </row>
    <row r="1409" spans="1:11" x14ac:dyDescent="0.25">
      <c r="A1409" s="5">
        <v>1888</v>
      </c>
      <c r="B1409" s="3">
        <v>45</v>
      </c>
      <c r="C1409" t="s">
        <v>43</v>
      </c>
      <c r="D1409" t="s">
        <v>67</v>
      </c>
      <c r="E1409" t="s">
        <v>61</v>
      </c>
      <c r="F1409" t="s">
        <v>53</v>
      </c>
      <c r="G1409" s="3">
        <v>3</v>
      </c>
      <c r="I1409" t="str">
        <f t="shared" si="63"/>
        <v>45-54</v>
      </c>
      <c r="J1409" t="str">
        <f t="shared" si="64"/>
        <v>Promoted in 1-3 years</v>
      </c>
      <c r="K1409">
        <f t="shared" si="65"/>
        <v>0</v>
      </c>
    </row>
    <row r="1410" spans="1:11" x14ac:dyDescent="0.25">
      <c r="A1410" s="5">
        <v>966</v>
      </c>
      <c r="B1410" s="3">
        <v>32</v>
      </c>
      <c r="C1410" t="s">
        <v>43</v>
      </c>
      <c r="D1410" t="s">
        <v>35</v>
      </c>
      <c r="E1410" t="s">
        <v>61</v>
      </c>
      <c r="F1410" t="s">
        <v>36</v>
      </c>
      <c r="G1410" s="3">
        <v>6</v>
      </c>
      <c r="I1410" t="str">
        <f t="shared" si="63"/>
        <v>25-34</v>
      </c>
      <c r="J1410" t="str">
        <f t="shared" si="64"/>
        <v>Long Promotion gap</v>
      </c>
      <c r="K1410">
        <f t="shared" si="65"/>
        <v>0</v>
      </c>
    </row>
    <row r="1411" spans="1:11" x14ac:dyDescent="0.25">
      <c r="A1411" s="5">
        <v>717</v>
      </c>
      <c r="B1411" s="3">
        <v>34</v>
      </c>
      <c r="C1411" t="s">
        <v>43</v>
      </c>
      <c r="D1411" t="s">
        <v>49</v>
      </c>
      <c r="E1411" t="s">
        <v>41</v>
      </c>
      <c r="F1411" t="s">
        <v>42</v>
      </c>
      <c r="G1411" s="3">
        <v>7</v>
      </c>
      <c r="I1411" t="str">
        <f t="shared" ref="I1411:I1471" si="66">IF(B1411&lt;=24, "18-24", IF(B1411&lt;=34,"25-34", IF(B1411&lt;=44,"35-44", IF(B1411&lt;=54,"45-54", IF(B1411&lt;=60, "55-60")))))</f>
        <v>25-34</v>
      </c>
      <c r="J1411" t="str">
        <f t="shared" ref="J1411:J1471" si="67">IF(G1411&lt;=0,"Recently promoted",IF(G1411&lt;=3,"Promoted in 1-3 years","Long Promotion gap"))</f>
        <v>Long Promotion gap</v>
      </c>
      <c r="K1411">
        <f t="shared" ref="K1411:K1471" si="68">IF(C1411="Yes", 1, 0)</f>
        <v>0</v>
      </c>
    </row>
    <row r="1412" spans="1:11" x14ac:dyDescent="0.25">
      <c r="A1412" s="5">
        <v>397</v>
      </c>
      <c r="B1412" s="3">
        <v>36</v>
      </c>
      <c r="C1412" t="s">
        <v>43</v>
      </c>
      <c r="D1412" t="s">
        <v>49</v>
      </c>
      <c r="E1412" t="s">
        <v>41</v>
      </c>
      <c r="F1412" t="s">
        <v>42</v>
      </c>
      <c r="G1412" s="3">
        <v>7</v>
      </c>
      <c r="I1412" t="str">
        <f t="shared" si="66"/>
        <v>35-44</v>
      </c>
      <c r="J1412" t="str">
        <f t="shared" si="67"/>
        <v>Long Promotion gap</v>
      </c>
      <c r="K1412">
        <f t="shared" si="68"/>
        <v>0</v>
      </c>
    </row>
    <row r="1413" spans="1:11" x14ac:dyDescent="0.25">
      <c r="A1413" s="5">
        <v>1118</v>
      </c>
      <c r="B1413" s="3">
        <v>52</v>
      </c>
      <c r="C1413" t="s">
        <v>43</v>
      </c>
      <c r="D1413" t="s">
        <v>35</v>
      </c>
      <c r="E1413" t="s">
        <v>41</v>
      </c>
      <c r="F1413" t="s">
        <v>42</v>
      </c>
      <c r="G1413" s="3">
        <v>4</v>
      </c>
      <c r="I1413" t="str">
        <f t="shared" si="66"/>
        <v>45-54</v>
      </c>
      <c r="J1413" t="str">
        <f t="shared" si="67"/>
        <v>Long Promotion gap</v>
      </c>
      <c r="K1413">
        <f t="shared" si="68"/>
        <v>0</v>
      </c>
    </row>
    <row r="1414" spans="1:11" x14ac:dyDescent="0.25">
      <c r="A1414" s="5">
        <v>1377</v>
      </c>
      <c r="B1414" s="3">
        <v>34</v>
      </c>
      <c r="C1414" t="s">
        <v>43</v>
      </c>
      <c r="D1414" t="s">
        <v>49</v>
      </c>
      <c r="E1414" t="s">
        <v>61</v>
      </c>
      <c r="F1414" t="s">
        <v>53</v>
      </c>
      <c r="G1414" s="3">
        <v>7</v>
      </c>
      <c r="I1414" t="str">
        <f t="shared" si="66"/>
        <v>25-34</v>
      </c>
      <c r="J1414" t="str">
        <f t="shared" si="67"/>
        <v>Long Promotion gap</v>
      </c>
      <c r="K1414">
        <f t="shared" si="68"/>
        <v>0</v>
      </c>
    </row>
    <row r="1415" spans="1:11" x14ac:dyDescent="0.25">
      <c r="A1415" s="5">
        <v>913</v>
      </c>
      <c r="B1415" s="3">
        <v>44</v>
      </c>
      <c r="C1415" t="s">
        <v>43</v>
      </c>
      <c r="D1415" t="s">
        <v>67</v>
      </c>
      <c r="E1415" t="s">
        <v>61</v>
      </c>
      <c r="F1415" t="s">
        <v>42</v>
      </c>
      <c r="G1415" s="3">
        <v>7</v>
      </c>
      <c r="I1415" t="str">
        <f t="shared" si="66"/>
        <v>35-44</v>
      </c>
      <c r="J1415" t="str">
        <f t="shared" si="67"/>
        <v>Long Promotion gap</v>
      </c>
      <c r="K1415">
        <f t="shared" si="68"/>
        <v>0</v>
      </c>
    </row>
    <row r="1416" spans="1:11" x14ac:dyDescent="0.25">
      <c r="A1416" s="5">
        <v>1640</v>
      </c>
      <c r="B1416" s="3">
        <v>37</v>
      </c>
      <c r="C1416" t="s">
        <v>43</v>
      </c>
      <c r="D1416" t="s">
        <v>49</v>
      </c>
      <c r="E1416" t="s">
        <v>61</v>
      </c>
      <c r="F1416" t="s">
        <v>36</v>
      </c>
      <c r="G1416" s="3">
        <v>7</v>
      </c>
      <c r="I1416" t="str">
        <f t="shared" si="66"/>
        <v>35-44</v>
      </c>
      <c r="J1416" t="str">
        <f t="shared" si="67"/>
        <v>Long Promotion gap</v>
      </c>
      <c r="K1416">
        <f t="shared" si="68"/>
        <v>0</v>
      </c>
    </row>
    <row r="1417" spans="1:11" x14ac:dyDescent="0.25">
      <c r="A1417" s="5">
        <v>1703</v>
      </c>
      <c r="B1417" s="3">
        <v>44</v>
      </c>
      <c r="C1417" t="s">
        <v>43</v>
      </c>
      <c r="D1417" t="s">
        <v>49</v>
      </c>
      <c r="E1417" t="s">
        <v>61</v>
      </c>
      <c r="F1417" t="s">
        <v>36</v>
      </c>
      <c r="G1417" s="3">
        <v>6</v>
      </c>
      <c r="I1417" t="str">
        <f t="shared" si="66"/>
        <v>35-44</v>
      </c>
      <c r="J1417" t="str">
        <f t="shared" si="67"/>
        <v>Long Promotion gap</v>
      </c>
      <c r="K1417">
        <f t="shared" si="68"/>
        <v>0</v>
      </c>
    </row>
    <row r="1418" spans="1:11" x14ac:dyDescent="0.25">
      <c r="A1418" s="5">
        <v>1061</v>
      </c>
      <c r="B1418" s="3">
        <v>50</v>
      </c>
      <c r="C1418" t="s">
        <v>43</v>
      </c>
      <c r="D1418" t="s">
        <v>35</v>
      </c>
      <c r="E1418" t="s">
        <v>61</v>
      </c>
      <c r="F1418" t="s">
        <v>36</v>
      </c>
      <c r="G1418" s="3">
        <v>7</v>
      </c>
      <c r="I1418" t="str">
        <f t="shared" si="66"/>
        <v>45-54</v>
      </c>
      <c r="J1418" t="str">
        <f t="shared" si="67"/>
        <v>Long Promotion gap</v>
      </c>
      <c r="K1418">
        <f t="shared" si="68"/>
        <v>0</v>
      </c>
    </row>
    <row r="1419" spans="1:11" x14ac:dyDescent="0.25">
      <c r="A1419" s="5">
        <v>1952</v>
      </c>
      <c r="B1419" s="3">
        <v>26</v>
      </c>
      <c r="C1419" t="s">
        <v>43</v>
      </c>
      <c r="D1419" t="s">
        <v>49</v>
      </c>
      <c r="E1419" t="s">
        <v>41</v>
      </c>
      <c r="F1419" t="s">
        <v>42</v>
      </c>
      <c r="G1419" s="3">
        <v>7</v>
      </c>
      <c r="I1419" t="str">
        <f t="shared" si="66"/>
        <v>25-34</v>
      </c>
      <c r="J1419" t="str">
        <f t="shared" si="67"/>
        <v>Long Promotion gap</v>
      </c>
      <c r="K1419">
        <f t="shared" si="68"/>
        <v>0</v>
      </c>
    </row>
    <row r="1420" spans="1:11" x14ac:dyDescent="0.25">
      <c r="A1420" s="5">
        <v>1555</v>
      </c>
      <c r="B1420" s="3">
        <v>32</v>
      </c>
      <c r="C1420" t="s">
        <v>43</v>
      </c>
      <c r="D1420" t="s">
        <v>67</v>
      </c>
      <c r="E1420" t="s">
        <v>61</v>
      </c>
      <c r="F1420" t="s">
        <v>36</v>
      </c>
      <c r="G1420" s="3">
        <v>2</v>
      </c>
      <c r="I1420" t="str">
        <f t="shared" si="66"/>
        <v>25-34</v>
      </c>
      <c r="J1420" t="str">
        <f t="shared" si="67"/>
        <v>Promoted in 1-3 years</v>
      </c>
      <c r="K1420">
        <f t="shared" si="68"/>
        <v>0</v>
      </c>
    </row>
    <row r="1421" spans="1:11" x14ac:dyDescent="0.25">
      <c r="A1421" s="5">
        <v>281</v>
      </c>
      <c r="B1421" s="3">
        <v>40</v>
      </c>
      <c r="C1421" t="s">
        <v>43</v>
      </c>
      <c r="D1421" t="s">
        <v>67</v>
      </c>
      <c r="E1421" t="s">
        <v>61</v>
      </c>
      <c r="F1421" t="s">
        <v>36</v>
      </c>
      <c r="G1421" s="3">
        <v>3</v>
      </c>
      <c r="I1421" t="str">
        <f t="shared" si="66"/>
        <v>35-44</v>
      </c>
      <c r="J1421" t="str">
        <f t="shared" si="67"/>
        <v>Promoted in 1-3 years</v>
      </c>
      <c r="K1421">
        <f t="shared" si="68"/>
        <v>0</v>
      </c>
    </row>
    <row r="1422" spans="1:11" x14ac:dyDescent="0.25">
      <c r="A1422" s="5">
        <v>1182</v>
      </c>
      <c r="B1422" s="3">
        <v>35</v>
      </c>
      <c r="C1422" t="s">
        <v>43</v>
      </c>
      <c r="D1422" t="s">
        <v>49</v>
      </c>
      <c r="E1422" t="s">
        <v>52</v>
      </c>
      <c r="F1422" t="s">
        <v>36</v>
      </c>
      <c r="G1422" s="3">
        <v>6</v>
      </c>
      <c r="I1422" t="str">
        <f t="shared" si="66"/>
        <v>35-44</v>
      </c>
      <c r="J1422" t="str">
        <f t="shared" si="67"/>
        <v>Long Promotion gap</v>
      </c>
      <c r="K1422">
        <f t="shared" si="68"/>
        <v>0</v>
      </c>
    </row>
    <row r="1423" spans="1:11" x14ac:dyDescent="0.25">
      <c r="A1423" s="5">
        <v>727</v>
      </c>
      <c r="B1423" s="3">
        <v>32</v>
      </c>
      <c r="C1423" t="s">
        <v>43</v>
      </c>
      <c r="D1423" t="s">
        <v>67</v>
      </c>
      <c r="E1423" t="s">
        <v>41</v>
      </c>
      <c r="F1423" t="s">
        <v>42</v>
      </c>
      <c r="G1423" s="3">
        <v>7</v>
      </c>
      <c r="I1423" t="str">
        <f t="shared" si="66"/>
        <v>25-34</v>
      </c>
      <c r="J1423" t="str">
        <f t="shared" si="67"/>
        <v>Long Promotion gap</v>
      </c>
      <c r="K1423">
        <f t="shared" si="68"/>
        <v>0</v>
      </c>
    </row>
    <row r="1424" spans="1:11" x14ac:dyDescent="0.25">
      <c r="A1424" s="5">
        <v>1201</v>
      </c>
      <c r="B1424" s="3">
        <v>53</v>
      </c>
      <c r="C1424" t="s">
        <v>43</v>
      </c>
      <c r="D1424" t="s">
        <v>67</v>
      </c>
      <c r="E1424" t="s">
        <v>52</v>
      </c>
      <c r="F1424" t="s">
        <v>36</v>
      </c>
      <c r="G1424" s="3">
        <v>4</v>
      </c>
      <c r="I1424" t="str">
        <f t="shared" si="66"/>
        <v>45-54</v>
      </c>
      <c r="J1424" t="str">
        <f t="shared" si="67"/>
        <v>Long Promotion gap</v>
      </c>
      <c r="K1424">
        <f t="shared" si="68"/>
        <v>0</v>
      </c>
    </row>
    <row r="1425" spans="1:11" x14ac:dyDescent="0.25">
      <c r="A1425" s="5">
        <v>474</v>
      </c>
      <c r="B1425" s="3">
        <v>37</v>
      </c>
      <c r="C1425" t="s">
        <v>43</v>
      </c>
      <c r="D1425" t="s">
        <v>49</v>
      </c>
      <c r="E1425" t="s">
        <v>52</v>
      </c>
      <c r="F1425" t="s">
        <v>53</v>
      </c>
      <c r="G1425" s="3">
        <v>6</v>
      </c>
      <c r="I1425" t="str">
        <f t="shared" si="66"/>
        <v>35-44</v>
      </c>
      <c r="J1425" t="str">
        <f t="shared" si="67"/>
        <v>Long Promotion gap</v>
      </c>
      <c r="K1425">
        <f t="shared" si="68"/>
        <v>0</v>
      </c>
    </row>
    <row r="1426" spans="1:11" x14ac:dyDescent="0.25">
      <c r="A1426" s="5">
        <v>1829</v>
      </c>
      <c r="B1426" s="3">
        <v>40</v>
      </c>
      <c r="C1426" t="s">
        <v>43</v>
      </c>
      <c r="D1426" t="s">
        <v>49</v>
      </c>
      <c r="E1426" t="s">
        <v>52</v>
      </c>
      <c r="F1426" t="s">
        <v>36</v>
      </c>
      <c r="G1426" s="3">
        <v>3</v>
      </c>
      <c r="I1426" t="str">
        <f t="shared" si="66"/>
        <v>35-44</v>
      </c>
      <c r="J1426" t="str">
        <f t="shared" si="67"/>
        <v>Promoted in 1-3 years</v>
      </c>
      <c r="K1426">
        <f t="shared" si="68"/>
        <v>0</v>
      </c>
    </row>
    <row r="1427" spans="1:11" x14ac:dyDescent="0.25">
      <c r="A1427" s="5">
        <v>13</v>
      </c>
      <c r="B1427" s="3">
        <v>36</v>
      </c>
      <c r="C1427" t="s">
        <v>43</v>
      </c>
      <c r="D1427" t="s">
        <v>49</v>
      </c>
      <c r="E1427" t="s">
        <v>61</v>
      </c>
      <c r="F1427" t="s">
        <v>53</v>
      </c>
      <c r="G1427" s="3">
        <v>6</v>
      </c>
      <c r="I1427" t="str">
        <f t="shared" si="66"/>
        <v>35-44</v>
      </c>
      <c r="J1427" t="str">
        <f t="shared" si="67"/>
        <v>Long Promotion gap</v>
      </c>
      <c r="K1427">
        <f t="shared" si="68"/>
        <v>0</v>
      </c>
    </row>
    <row r="1428" spans="1:11" x14ac:dyDescent="0.25">
      <c r="A1428" s="5">
        <v>579</v>
      </c>
      <c r="B1428" s="3">
        <v>34</v>
      </c>
      <c r="C1428" t="s">
        <v>43</v>
      </c>
      <c r="D1428" t="s">
        <v>35</v>
      </c>
      <c r="E1428" t="s">
        <v>52</v>
      </c>
      <c r="F1428" t="s">
        <v>36</v>
      </c>
      <c r="G1428" s="3">
        <v>5</v>
      </c>
      <c r="I1428" t="str">
        <f t="shared" si="66"/>
        <v>25-34</v>
      </c>
      <c r="J1428" t="str">
        <f t="shared" si="67"/>
        <v>Long Promotion gap</v>
      </c>
      <c r="K1428">
        <f t="shared" si="68"/>
        <v>0</v>
      </c>
    </row>
    <row r="1429" spans="1:11" x14ac:dyDescent="0.25">
      <c r="A1429" s="5">
        <v>381</v>
      </c>
      <c r="B1429" s="3">
        <v>35</v>
      </c>
      <c r="C1429" t="s">
        <v>43</v>
      </c>
      <c r="D1429" t="s">
        <v>49</v>
      </c>
      <c r="E1429" t="s">
        <v>52</v>
      </c>
      <c r="F1429" t="s">
        <v>36</v>
      </c>
      <c r="G1429" s="3">
        <v>6</v>
      </c>
      <c r="I1429" t="str">
        <f t="shared" si="66"/>
        <v>35-44</v>
      </c>
      <c r="J1429" t="str">
        <f t="shared" si="67"/>
        <v>Long Promotion gap</v>
      </c>
      <c r="K1429">
        <f t="shared" si="68"/>
        <v>0</v>
      </c>
    </row>
    <row r="1430" spans="1:11" x14ac:dyDescent="0.25">
      <c r="A1430" s="5">
        <v>1216</v>
      </c>
      <c r="B1430" s="3">
        <v>28</v>
      </c>
      <c r="C1430" t="s">
        <v>43</v>
      </c>
      <c r="D1430" t="s">
        <v>35</v>
      </c>
      <c r="E1430" t="s">
        <v>61</v>
      </c>
      <c r="F1430" t="s">
        <v>50</v>
      </c>
      <c r="G1430" s="3">
        <v>3</v>
      </c>
      <c r="I1430" t="str">
        <f t="shared" si="66"/>
        <v>25-34</v>
      </c>
      <c r="J1430" t="str">
        <f t="shared" si="67"/>
        <v>Promoted in 1-3 years</v>
      </c>
      <c r="K1430">
        <f t="shared" si="68"/>
        <v>0</v>
      </c>
    </row>
    <row r="1431" spans="1:11" x14ac:dyDescent="0.25">
      <c r="A1431" s="5">
        <v>2010</v>
      </c>
      <c r="B1431" s="3">
        <v>32</v>
      </c>
      <c r="C1431" t="s">
        <v>43</v>
      </c>
      <c r="D1431" t="s">
        <v>35</v>
      </c>
      <c r="E1431" t="s">
        <v>41</v>
      </c>
      <c r="F1431" t="s">
        <v>42</v>
      </c>
      <c r="G1431" s="3">
        <v>4</v>
      </c>
      <c r="I1431" t="str">
        <f t="shared" si="66"/>
        <v>25-34</v>
      </c>
      <c r="J1431" t="str">
        <f t="shared" si="67"/>
        <v>Long Promotion gap</v>
      </c>
      <c r="K1431">
        <f t="shared" si="68"/>
        <v>0</v>
      </c>
    </row>
    <row r="1432" spans="1:11" x14ac:dyDescent="0.25">
      <c r="A1432" s="5">
        <v>635</v>
      </c>
      <c r="B1432" s="3">
        <v>37</v>
      </c>
      <c r="C1432" t="s">
        <v>43</v>
      </c>
      <c r="D1432" t="s">
        <v>35</v>
      </c>
      <c r="E1432" t="s">
        <v>61</v>
      </c>
      <c r="F1432" t="s">
        <v>36</v>
      </c>
      <c r="G1432" s="3">
        <v>4</v>
      </c>
      <c r="I1432" t="str">
        <f t="shared" si="66"/>
        <v>35-44</v>
      </c>
      <c r="J1432" t="str">
        <f t="shared" si="67"/>
        <v>Long Promotion gap</v>
      </c>
      <c r="K1432">
        <f t="shared" si="68"/>
        <v>0</v>
      </c>
    </row>
    <row r="1433" spans="1:11" x14ac:dyDescent="0.25">
      <c r="A1433" s="5">
        <v>164</v>
      </c>
      <c r="B1433" s="3">
        <v>26</v>
      </c>
      <c r="C1433" t="s">
        <v>43</v>
      </c>
      <c r="D1433" t="s">
        <v>49</v>
      </c>
      <c r="E1433" t="s">
        <v>61</v>
      </c>
      <c r="F1433" t="s">
        <v>42</v>
      </c>
      <c r="G1433" s="3">
        <v>4</v>
      </c>
      <c r="I1433" t="str">
        <f t="shared" si="66"/>
        <v>25-34</v>
      </c>
      <c r="J1433" t="str">
        <f t="shared" si="67"/>
        <v>Long Promotion gap</v>
      </c>
      <c r="K1433">
        <f t="shared" si="68"/>
        <v>0</v>
      </c>
    </row>
    <row r="1434" spans="1:11" x14ac:dyDescent="0.25">
      <c r="A1434" s="5">
        <v>577</v>
      </c>
      <c r="B1434" s="3">
        <v>35</v>
      </c>
      <c r="C1434" t="s">
        <v>43</v>
      </c>
      <c r="D1434" t="s">
        <v>49</v>
      </c>
      <c r="E1434" t="s">
        <v>41</v>
      </c>
      <c r="F1434" t="s">
        <v>42</v>
      </c>
      <c r="G1434" s="3">
        <v>4</v>
      </c>
      <c r="I1434" t="str">
        <f t="shared" si="66"/>
        <v>35-44</v>
      </c>
      <c r="J1434" t="str">
        <f t="shared" si="67"/>
        <v>Long Promotion gap</v>
      </c>
      <c r="K1434">
        <f t="shared" si="68"/>
        <v>0</v>
      </c>
    </row>
    <row r="1435" spans="1:11" x14ac:dyDescent="0.25">
      <c r="A1435" s="5">
        <v>852</v>
      </c>
      <c r="B1435" s="3">
        <v>44</v>
      </c>
      <c r="C1435" t="s">
        <v>43</v>
      </c>
      <c r="D1435" t="s">
        <v>49</v>
      </c>
      <c r="E1435" t="s">
        <v>41</v>
      </c>
      <c r="F1435" t="s">
        <v>42</v>
      </c>
      <c r="G1435" s="3">
        <v>2</v>
      </c>
      <c r="I1435" t="str">
        <f t="shared" si="66"/>
        <v>35-44</v>
      </c>
      <c r="J1435" t="str">
        <f t="shared" si="67"/>
        <v>Promoted in 1-3 years</v>
      </c>
      <c r="K1435">
        <f t="shared" si="68"/>
        <v>0</v>
      </c>
    </row>
    <row r="1436" spans="1:11" x14ac:dyDescent="0.25">
      <c r="A1436" s="5">
        <v>1032</v>
      </c>
      <c r="B1436" s="3">
        <v>59</v>
      </c>
      <c r="C1436" t="s">
        <v>43</v>
      </c>
      <c r="D1436" t="s">
        <v>49</v>
      </c>
      <c r="E1436" t="s">
        <v>41</v>
      </c>
      <c r="F1436" t="s">
        <v>42</v>
      </c>
      <c r="G1436" s="3">
        <v>4</v>
      </c>
      <c r="I1436" t="str">
        <f t="shared" si="66"/>
        <v>55-60</v>
      </c>
      <c r="J1436" t="str">
        <f t="shared" si="67"/>
        <v>Long Promotion gap</v>
      </c>
      <c r="K1436">
        <f t="shared" si="68"/>
        <v>0</v>
      </c>
    </row>
    <row r="1437" spans="1:11" x14ac:dyDescent="0.25">
      <c r="A1437" s="5">
        <v>757</v>
      </c>
      <c r="B1437" s="3">
        <v>34</v>
      </c>
      <c r="C1437" t="s">
        <v>43</v>
      </c>
      <c r="D1437" t="s">
        <v>67</v>
      </c>
      <c r="E1437" t="s">
        <v>41</v>
      </c>
      <c r="F1437" t="s">
        <v>42</v>
      </c>
      <c r="G1437" s="3">
        <v>4</v>
      </c>
      <c r="I1437" t="str">
        <f t="shared" si="66"/>
        <v>25-34</v>
      </c>
      <c r="J1437" t="str">
        <f t="shared" si="67"/>
        <v>Long Promotion gap</v>
      </c>
      <c r="K1437">
        <f t="shared" si="68"/>
        <v>0</v>
      </c>
    </row>
    <row r="1438" spans="1:11" x14ac:dyDescent="0.25">
      <c r="A1438" s="5">
        <v>16</v>
      </c>
      <c r="B1438" s="3">
        <v>31</v>
      </c>
      <c r="C1438" t="s">
        <v>43</v>
      </c>
      <c r="D1438" t="s">
        <v>64</v>
      </c>
      <c r="E1438" t="s">
        <v>52</v>
      </c>
      <c r="F1438" t="s">
        <v>36</v>
      </c>
      <c r="G1438" s="3">
        <v>4</v>
      </c>
      <c r="I1438" t="str">
        <f t="shared" si="66"/>
        <v>25-34</v>
      </c>
      <c r="J1438" t="str">
        <f t="shared" si="67"/>
        <v>Long Promotion gap</v>
      </c>
      <c r="K1438">
        <f t="shared" si="68"/>
        <v>0</v>
      </c>
    </row>
    <row r="1439" spans="1:11" x14ac:dyDescent="0.25">
      <c r="A1439" s="5">
        <v>226</v>
      </c>
      <c r="B1439" s="3">
        <v>50</v>
      </c>
      <c r="C1439" t="s">
        <v>43</v>
      </c>
      <c r="D1439" t="s">
        <v>49</v>
      </c>
      <c r="E1439" t="s">
        <v>41</v>
      </c>
      <c r="F1439" t="s">
        <v>42</v>
      </c>
      <c r="G1439" s="3">
        <v>4</v>
      </c>
      <c r="I1439" t="str">
        <f t="shared" si="66"/>
        <v>45-54</v>
      </c>
      <c r="J1439" t="str">
        <f t="shared" si="67"/>
        <v>Long Promotion gap</v>
      </c>
      <c r="K1439">
        <f t="shared" si="68"/>
        <v>0</v>
      </c>
    </row>
    <row r="1440" spans="1:11" x14ac:dyDescent="0.25">
      <c r="A1440" s="5">
        <v>802</v>
      </c>
      <c r="B1440" s="3">
        <v>37</v>
      </c>
      <c r="C1440" t="s">
        <v>43</v>
      </c>
      <c r="D1440" t="s">
        <v>64</v>
      </c>
      <c r="E1440" t="s">
        <v>52</v>
      </c>
      <c r="F1440" t="s">
        <v>53</v>
      </c>
      <c r="G1440" s="3">
        <v>4</v>
      </c>
      <c r="I1440" t="str">
        <f t="shared" si="66"/>
        <v>35-44</v>
      </c>
      <c r="J1440" t="str">
        <f t="shared" si="67"/>
        <v>Long Promotion gap</v>
      </c>
      <c r="K1440">
        <f t="shared" si="68"/>
        <v>0</v>
      </c>
    </row>
    <row r="1441" spans="1:11" x14ac:dyDescent="0.25">
      <c r="A1441" s="5">
        <v>530</v>
      </c>
      <c r="B1441" s="3">
        <v>31</v>
      </c>
      <c r="C1441" t="s">
        <v>43</v>
      </c>
      <c r="D1441" t="s">
        <v>67</v>
      </c>
      <c r="E1441" t="s">
        <v>61</v>
      </c>
      <c r="F1441" t="s">
        <v>36</v>
      </c>
      <c r="G1441" s="3">
        <v>3</v>
      </c>
      <c r="I1441" t="str">
        <f t="shared" si="66"/>
        <v>25-34</v>
      </c>
      <c r="J1441" t="str">
        <f t="shared" si="67"/>
        <v>Promoted in 1-3 years</v>
      </c>
      <c r="K1441">
        <f t="shared" si="68"/>
        <v>0</v>
      </c>
    </row>
    <row r="1442" spans="1:11" x14ac:dyDescent="0.25">
      <c r="A1442" s="5">
        <v>1641</v>
      </c>
      <c r="B1442" s="3">
        <v>40</v>
      </c>
      <c r="C1442" t="s">
        <v>43</v>
      </c>
      <c r="D1442" t="s">
        <v>49</v>
      </c>
      <c r="E1442" t="s">
        <v>41</v>
      </c>
      <c r="F1442" t="s">
        <v>42</v>
      </c>
      <c r="G1442" s="3">
        <v>3</v>
      </c>
      <c r="I1442" t="str">
        <f t="shared" si="66"/>
        <v>35-44</v>
      </c>
      <c r="J1442" t="str">
        <f t="shared" si="67"/>
        <v>Promoted in 1-3 years</v>
      </c>
      <c r="K1442">
        <f t="shared" si="68"/>
        <v>0</v>
      </c>
    </row>
    <row r="1443" spans="1:11" x14ac:dyDescent="0.25">
      <c r="A1443" s="5">
        <v>1009</v>
      </c>
      <c r="B1443" s="3">
        <v>24</v>
      </c>
      <c r="C1443" t="s">
        <v>43</v>
      </c>
      <c r="D1443" t="s">
        <v>64</v>
      </c>
      <c r="E1443" t="s">
        <v>52</v>
      </c>
      <c r="F1443" t="s">
        <v>53</v>
      </c>
      <c r="G1443" s="3">
        <v>3</v>
      </c>
      <c r="I1443" t="str">
        <f t="shared" si="66"/>
        <v>18-24</v>
      </c>
      <c r="J1443" t="str">
        <f t="shared" si="67"/>
        <v>Promoted in 1-3 years</v>
      </c>
      <c r="K1443">
        <f t="shared" si="68"/>
        <v>0</v>
      </c>
    </row>
    <row r="1444" spans="1:11" x14ac:dyDescent="0.25">
      <c r="A1444" s="5">
        <v>1162</v>
      </c>
      <c r="B1444" s="3">
        <v>27</v>
      </c>
      <c r="C1444" t="s">
        <v>43</v>
      </c>
      <c r="D1444" t="s">
        <v>49</v>
      </c>
      <c r="E1444" t="s">
        <v>61</v>
      </c>
      <c r="F1444" t="s">
        <v>36</v>
      </c>
      <c r="G1444" s="3">
        <v>2</v>
      </c>
      <c r="I1444" t="str">
        <f t="shared" si="66"/>
        <v>25-34</v>
      </c>
      <c r="J1444" t="str">
        <f t="shared" si="67"/>
        <v>Promoted in 1-3 years</v>
      </c>
      <c r="K1444">
        <f t="shared" si="68"/>
        <v>0</v>
      </c>
    </row>
    <row r="1445" spans="1:11" x14ac:dyDescent="0.25">
      <c r="A1445" s="5">
        <v>1969</v>
      </c>
      <c r="B1445" s="3">
        <v>54</v>
      </c>
      <c r="C1445" t="s">
        <v>43</v>
      </c>
      <c r="D1445" t="s">
        <v>67</v>
      </c>
      <c r="E1445" t="s">
        <v>61</v>
      </c>
      <c r="F1445" t="s">
        <v>53</v>
      </c>
      <c r="G1445" s="3">
        <v>2</v>
      </c>
      <c r="I1445" t="str">
        <f t="shared" si="66"/>
        <v>45-54</v>
      </c>
      <c r="J1445" t="str">
        <f t="shared" si="67"/>
        <v>Promoted in 1-3 years</v>
      </c>
      <c r="K1445">
        <f t="shared" si="68"/>
        <v>0</v>
      </c>
    </row>
    <row r="1446" spans="1:11" x14ac:dyDescent="0.25">
      <c r="A1446" s="5">
        <v>284</v>
      </c>
      <c r="B1446" s="3">
        <v>22</v>
      </c>
      <c r="C1446" t="s">
        <v>43</v>
      </c>
      <c r="D1446" t="s">
        <v>49</v>
      </c>
      <c r="E1446" t="s">
        <v>52</v>
      </c>
      <c r="F1446" t="s">
        <v>36</v>
      </c>
      <c r="G1446" s="3">
        <v>2</v>
      </c>
      <c r="I1446" t="str">
        <f t="shared" si="66"/>
        <v>18-24</v>
      </c>
      <c r="J1446" t="str">
        <f t="shared" si="67"/>
        <v>Promoted in 1-3 years</v>
      </c>
      <c r="K1446">
        <f t="shared" si="68"/>
        <v>0</v>
      </c>
    </row>
    <row r="1447" spans="1:11" x14ac:dyDescent="0.25">
      <c r="A1447" s="5">
        <v>1102</v>
      </c>
      <c r="B1447" s="3">
        <v>28</v>
      </c>
      <c r="C1447" t="s">
        <v>43</v>
      </c>
      <c r="D1447" t="s">
        <v>67</v>
      </c>
      <c r="E1447" t="s">
        <v>52</v>
      </c>
      <c r="F1447" t="s">
        <v>36</v>
      </c>
      <c r="G1447" s="3">
        <v>2</v>
      </c>
      <c r="I1447" t="str">
        <f t="shared" si="66"/>
        <v>25-34</v>
      </c>
      <c r="J1447" t="str">
        <f t="shared" si="67"/>
        <v>Promoted in 1-3 years</v>
      </c>
      <c r="K1447">
        <f t="shared" si="68"/>
        <v>0</v>
      </c>
    </row>
    <row r="1448" spans="1:11" x14ac:dyDescent="0.25">
      <c r="A1448" s="5">
        <v>197</v>
      </c>
      <c r="B1448" s="3">
        <v>30</v>
      </c>
      <c r="C1448" t="s">
        <v>43</v>
      </c>
      <c r="D1448" t="s">
        <v>49</v>
      </c>
      <c r="E1448" t="s">
        <v>52</v>
      </c>
      <c r="F1448" t="s">
        <v>36</v>
      </c>
      <c r="G1448" s="3">
        <v>2</v>
      </c>
      <c r="I1448" t="str">
        <f t="shared" si="66"/>
        <v>25-34</v>
      </c>
      <c r="J1448" t="str">
        <f t="shared" si="67"/>
        <v>Promoted in 1-3 years</v>
      </c>
      <c r="K1448">
        <f t="shared" si="68"/>
        <v>0</v>
      </c>
    </row>
    <row r="1449" spans="1:11" x14ac:dyDescent="0.25">
      <c r="A1449" s="5">
        <v>1027</v>
      </c>
      <c r="B1449" s="3">
        <v>27</v>
      </c>
      <c r="C1449" t="s">
        <v>43</v>
      </c>
      <c r="D1449" t="s">
        <v>35</v>
      </c>
      <c r="E1449" t="s">
        <v>61</v>
      </c>
      <c r="F1449" t="s">
        <v>36</v>
      </c>
      <c r="G1449" s="3">
        <v>2</v>
      </c>
      <c r="I1449" t="str">
        <f t="shared" si="66"/>
        <v>25-34</v>
      </c>
      <c r="J1449" t="str">
        <f t="shared" si="67"/>
        <v>Promoted in 1-3 years</v>
      </c>
      <c r="K1449">
        <f t="shared" si="68"/>
        <v>0</v>
      </c>
    </row>
    <row r="1450" spans="1:11" x14ac:dyDescent="0.25">
      <c r="A1450" s="5">
        <v>455</v>
      </c>
      <c r="B1450" s="3">
        <v>29</v>
      </c>
      <c r="C1450" t="s">
        <v>43</v>
      </c>
      <c r="D1450" t="s">
        <v>70</v>
      </c>
      <c r="E1450" t="s">
        <v>41</v>
      </c>
      <c r="F1450" t="s">
        <v>42</v>
      </c>
      <c r="G1450" s="3">
        <v>2</v>
      </c>
      <c r="I1450" t="str">
        <f t="shared" si="66"/>
        <v>25-34</v>
      </c>
      <c r="J1450" t="str">
        <f t="shared" si="67"/>
        <v>Promoted in 1-3 years</v>
      </c>
      <c r="K1450">
        <f t="shared" si="68"/>
        <v>0</v>
      </c>
    </row>
    <row r="1451" spans="1:11" x14ac:dyDescent="0.25">
      <c r="A1451" s="5">
        <v>1291</v>
      </c>
      <c r="B1451" s="3">
        <v>35</v>
      </c>
      <c r="C1451" t="s">
        <v>43</v>
      </c>
      <c r="D1451" t="s">
        <v>64</v>
      </c>
      <c r="E1451" t="s">
        <v>61</v>
      </c>
      <c r="F1451" t="s">
        <v>42</v>
      </c>
      <c r="G1451" s="3">
        <v>2</v>
      </c>
      <c r="I1451" t="str">
        <f t="shared" si="66"/>
        <v>35-44</v>
      </c>
      <c r="J1451" t="str">
        <f t="shared" si="67"/>
        <v>Promoted in 1-3 years</v>
      </c>
      <c r="K1451">
        <f t="shared" si="68"/>
        <v>0</v>
      </c>
    </row>
    <row r="1452" spans="1:11" x14ac:dyDescent="0.25">
      <c r="A1452" s="5">
        <v>1786</v>
      </c>
      <c r="B1452" s="3">
        <v>51</v>
      </c>
      <c r="C1452" t="s">
        <v>43</v>
      </c>
      <c r="D1452" t="s">
        <v>49</v>
      </c>
      <c r="E1452" t="s">
        <v>61</v>
      </c>
      <c r="F1452" t="s">
        <v>42</v>
      </c>
      <c r="G1452" s="3">
        <v>2</v>
      </c>
      <c r="I1452" t="str">
        <f t="shared" si="66"/>
        <v>45-54</v>
      </c>
      <c r="J1452" t="str">
        <f t="shared" si="67"/>
        <v>Promoted in 1-3 years</v>
      </c>
      <c r="K1452">
        <f t="shared" si="68"/>
        <v>0</v>
      </c>
    </row>
    <row r="1453" spans="1:11" x14ac:dyDescent="0.25">
      <c r="A1453" s="5">
        <v>501</v>
      </c>
      <c r="B1453" s="3">
        <v>36</v>
      </c>
      <c r="C1453" t="s">
        <v>43</v>
      </c>
      <c r="D1453" t="s">
        <v>49</v>
      </c>
      <c r="E1453" t="s">
        <v>61</v>
      </c>
      <c r="F1453" t="s">
        <v>36</v>
      </c>
      <c r="G1453" s="3">
        <v>2</v>
      </c>
      <c r="I1453" t="str">
        <f t="shared" si="66"/>
        <v>35-44</v>
      </c>
      <c r="J1453" t="str">
        <f t="shared" si="67"/>
        <v>Promoted in 1-3 years</v>
      </c>
      <c r="K1453">
        <f t="shared" si="68"/>
        <v>0</v>
      </c>
    </row>
    <row r="1454" spans="1:11" x14ac:dyDescent="0.25">
      <c r="A1454" s="5">
        <v>930</v>
      </c>
      <c r="B1454" s="3">
        <v>28</v>
      </c>
      <c r="C1454" t="s">
        <v>43</v>
      </c>
      <c r="D1454" t="s">
        <v>49</v>
      </c>
      <c r="E1454" t="s">
        <v>52</v>
      </c>
      <c r="F1454" t="s">
        <v>36</v>
      </c>
      <c r="G1454" s="3">
        <v>2</v>
      </c>
      <c r="I1454" t="str">
        <f t="shared" si="66"/>
        <v>25-34</v>
      </c>
      <c r="J1454" t="str">
        <f t="shared" si="67"/>
        <v>Promoted in 1-3 years</v>
      </c>
      <c r="K1454">
        <f t="shared" si="68"/>
        <v>0</v>
      </c>
    </row>
    <row r="1455" spans="1:11" x14ac:dyDescent="0.25">
      <c r="A1455" s="5">
        <v>1131</v>
      </c>
      <c r="B1455" s="3">
        <v>21</v>
      </c>
      <c r="C1455" t="s">
        <v>43</v>
      </c>
      <c r="D1455" t="s">
        <v>64</v>
      </c>
      <c r="E1455" t="s">
        <v>41</v>
      </c>
      <c r="F1455" t="s">
        <v>42</v>
      </c>
      <c r="G1455" s="3">
        <v>2</v>
      </c>
      <c r="I1455" t="str">
        <f t="shared" si="66"/>
        <v>18-24</v>
      </c>
      <c r="J1455" t="str">
        <f t="shared" si="67"/>
        <v>Promoted in 1-3 years</v>
      </c>
      <c r="K1455">
        <f t="shared" si="68"/>
        <v>0</v>
      </c>
    </row>
    <row r="1456" spans="1:11" x14ac:dyDescent="0.25">
      <c r="A1456" s="5">
        <v>826</v>
      </c>
      <c r="B1456" s="3">
        <v>35</v>
      </c>
      <c r="C1456" t="s">
        <v>43</v>
      </c>
      <c r="D1456" t="s">
        <v>35</v>
      </c>
      <c r="E1456" t="s">
        <v>41</v>
      </c>
      <c r="F1456" t="s">
        <v>42</v>
      </c>
      <c r="G1456" s="3">
        <v>2</v>
      </c>
      <c r="I1456" t="str">
        <f t="shared" si="66"/>
        <v>35-44</v>
      </c>
      <c r="J1456" t="str">
        <f t="shared" si="67"/>
        <v>Promoted in 1-3 years</v>
      </c>
      <c r="K1456">
        <f t="shared" si="68"/>
        <v>0</v>
      </c>
    </row>
    <row r="1457" spans="1:11" x14ac:dyDescent="0.25">
      <c r="A1457" s="5">
        <v>1303</v>
      </c>
      <c r="B1457" s="3">
        <v>25</v>
      </c>
      <c r="C1457" t="s">
        <v>43</v>
      </c>
      <c r="D1457" t="s">
        <v>49</v>
      </c>
      <c r="E1457" t="s">
        <v>41</v>
      </c>
      <c r="F1457" t="s">
        <v>42</v>
      </c>
      <c r="G1457" s="3">
        <v>2</v>
      </c>
      <c r="I1457" t="str">
        <f t="shared" si="66"/>
        <v>25-34</v>
      </c>
      <c r="J1457" t="str">
        <f t="shared" si="67"/>
        <v>Promoted in 1-3 years</v>
      </c>
      <c r="K1457">
        <f t="shared" si="68"/>
        <v>0</v>
      </c>
    </row>
    <row r="1458" spans="1:11" x14ac:dyDescent="0.25">
      <c r="A1458" s="5">
        <v>1525</v>
      </c>
      <c r="B1458" s="3">
        <v>39</v>
      </c>
      <c r="C1458" t="s">
        <v>43</v>
      </c>
      <c r="D1458" t="s">
        <v>49</v>
      </c>
      <c r="E1458" t="s">
        <v>41</v>
      </c>
      <c r="F1458" t="s">
        <v>42</v>
      </c>
      <c r="G1458" s="3">
        <v>2</v>
      </c>
      <c r="I1458" t="str">
        <f t="shared" si="66"/>
        <v>35-44</v>
      </c>
      <c r="J1458" t="str">
        <f t="shared" si="67"/>
        <v>Promoted in 1-3 years</v>
      </c>
      <c r="K1458">
        <f t="shared" si="68"/>
        <v>0</v>
      </c>
    </row>
    <row r="1459" spans="1:11" x14ac:dyDescent="0.25">
      <c r="A1459" s="5">
        <v>1069</v>
      </c>
      <c r="B1459" s="3">
        <v>46</v>
      </c>
      <c r="C1459" t="s">
        <v>43</v>
      </c>
      <c r="D1459" t="s">
        <v>35</v>
      </c>
      <c r="E1459" t="s">
        <v>52</v>
      </c>
      <c r="F1459" t="s">
        <v>53</v>
      </c>
      <c r="G1459" s="3">
        <v>2</v>
      </c>
      <c r="I1459" t="str">
        <f t="shared" si="66"/>
        <v>45-54</v>
      </c>
      <c r="J1459" t="str">
        <f t="shared" si="67"/>
        <v>Promoted in 1-3 years</v>
      </c>
      <c r="K1459">
        <f t="shared" si="68"/>
        <v>0</v>
      </c>
    </row>
    <row r="1460" spans="1:11" x14ac:dyDescent="0.25">
      <c r="A1460" s="5">
        <v>1789</v>
      </c>
      <c r="B1460" s="3">
        <v>46</v>
      </c>
      <c r="C1460" t="s">
        <v>43</v>
      </c>
      <c r="D1460" t="s">
        <v>35</v>
      </c>
      <c r="E1460" t="s">
        <v>52</v>
      </c>
      <c r="F1460" t="s">
        <v>36</v>
      </c>
      <c r="G1460" s="3">
        <v>2</v>
      </c>
      <c r="I1460" t="str">
        <f t="shared" si="66"/>
        <v>45-54</v>
      </c>
      <c r="J1460" t="str">
        <f t="shared" si="67"/>
        <v>Promoted in 1-3 years</v>
      </c>
      <c r="K1460">
        <f t="shared" si="68"/>
        <v>0</v>
      </c>
    </row>
    <row r="1461" spans="1:11" x14ac:dyDescent="0.25">
      <c r="A1461" s="5">
        <v>245</v>
      </c>
      <c r="B1461" s="3">
        <v>38</v>
      </c>
      <c r="C1461" t="s">
        <v>43</v>
      </c>
      <c r="D1461" t="s">
        <v>67</v>
      </c>
      <c r="E1461" t="s">
        <v>41</v>
      </c>
      <c r="F1461" t="s">
        <v>42</v>
      </c>
      <c r="G1461" s="3">
        <v>2</v>
      </c>
      <c r="I1461" t="str">
        <f t="shared" si="66"/>
        <v>35-44</v>
      </c>
      <c r="J1461" t="str">
        <f t="shared" si="67"/>
        <v>Promoted in 1-3 years</v>
      </c>
      <c r="K1461">
        <f t="shared" si="68"/>
        <v>0</v>
      </c>
    </row>
    <row r="1462" spans="1:11" x14ac:dyDescent="0.25">
      <c r="A1462" s="5">
        <v>1592</v>
      </c>
      <c r="B1462" s="3">
        <v>23</v>
      </c>
      <c r="C1462" t="s">
        <v>43</v>
      </c>
      <c r="D1462" t="s">
        <v>49</v>
      </c>
      <c r="E1462" t="s">
        <v>61</v>
      </c>
      <c r="F1462" t="s">
        <v>36</v>
      </c>
      <c r="G1462" s="3">
        <v>2</v>
      </c>
      <c r="I1462" t="str">
        <f t="shared" si="66"/>
        <v>18-24</v>
      </c>
      <c r="J1462" t="str">
        <f t="shared" si="67"/>
        <v>Promoted in 1-3 years</v>
      </c>
      <c r="K1462">
        <f t="shared" si="68"/>
        <v>0</v>
      </c>
    </row>
    <row r="1463" spans="1:11" x14ac:dyDescent="0.25">
      <c r="A1463" s="5">
        <v>2048</v>
      </c>
      <c r="B1463" s="3">
        <v>40</v>
      </c>
      <c r="C1463" t="s">
        <v>43</v>
      </c>
      <c r="D1463" t="s">
        <v>35</v>
      </c>
      <c r="E1463" t="s">
        <v>41</v>
      </c>
      <c r="F1463" t="s">
        <v>42</v>
      </c>
      <c r="G1463" s="3">
        <v>2</v>
      </c>
      <c r="I1463" t="str">
        <f t="shared" si="66"/>
        <v>35-44</v>
      </c>
      <c r="J1463" t="str">
        <f t="shared" si="67"/>
        <v>Promoted in 1-3 years</v>
      </c>
      <c r="K1463">
        <f t="shared" si="68"/>
        <v>0</v>
      </c>
    </row>
    <row r="1464" spans="1:11" x14ac:dyDescent="0.25">
      <c r="A1464" s="5">
        <v>2003</v>
      </c>
      <c r="B1464" s="3">
        <v>35</v>
      </c>
      <c r="C1464" t="s">
        <v>43</v>
      </c>
      <c r="D1464" t="s">
        <v>35</v>
      </c>
      <c r="E1464" t="s">
        <v>61</v>
      </c>
      <c r="F1464" t="s">
        <v>36</v>
      </c>
      <c r="G1464" s="3">
        <v>2</v>
      </c>
      <c r="I1464" t="str">
        <f t="shared" si="66"/>
        <v>35-44</v>
      </c>
      <c r="J1464" t="str">
        <f t="shared" si="67"/>
        <v>Promoted in 1-3 years</v>
      </c>
      <c r="K1464">
        <f t="shared" si="68"/>
        <v>0</v>
      </c>
    </row>
    <row r="1465" spans="1:11" x14ac:dyDescent="0.25">
      <c r="A1465" s="5">
        <v>316</v>
      </c>
      <c r="B1465" s="3">
        <v>52</v>
      </c>
      <c r="C1465" t="s">
        <v>43</v>
      </c>
      <c r="D1465" t="s">
        <v>49</v>
      </c>
      <c r="E1465" t="s">
        <v>41</v>
      </c>
      <c r="F1465" t="s">
        <v>42</v>
      </c>
      <c r="G1465" s="3">
        <v>2</v>
      </c>
      <c r="I1465" t="str">
        <f t="shared" si="66"/>
        <v>45-54</v>
      </c>
      <c r="J1465" t="str">
        <f t="shared" si="67"/>
        <v>Promoted in 1-3 years</v>
      </c>
      <c r="K1465">
        <f t="shared" si="68"/>
        <v>0</v>
      </c>
    </row>
    <row r="1466" spans="1:11" x14ac:dyDescent="0.25">
      <c r="A1466" s="5">
        <v>169</v>
      </c>
      <c r="B1466" s="3">
        <v>22</v>
      </c>
      <c r="C1466" t="s">
        <v>43</v>
      </c>
      <c r="D1466" t="s">
        <v>64</v>
      </c>
      <c r="E1466" t="s">
        <v>61</v>
      </c>
      <c r="F1466" t="s">
        <v>36</v>
      </c>
      <c r="G1466" s="3">
        <v>2</v>
      </c>
      <c r="I1466" t="str">
        <f t="shared" si="66"/>
        <v>18-24</v>
      </c>
      <c r="J1466" t="str">
        <f t="shared" si="67"/>
        <v>Promoted in 1-3 years</v>
      </c>
      <c r="K1466">
        <f t="shared" si="68"/>
        <v>0</v>
      </c>
    </row>
    <row r="1467" spans="1:11" x14ac:dyDescent="0.25">
      <c r="A1467" s="5">
        <v>1916</v>
      </c>
      <c r="B1467" s="3">
        <v>31</v>
      </c>
      <c r="C1467" t="s">
        <v>43</v>
      </c>
      <c r="D1467" t="s">
        <v>49</v>
      </c>
      <c r="E1467" t="s">
        <v>52</v>
      </c>
      <c r="F1467" t="s">
        <v>36</v>
      </c>
      <c r="G1467" s="3">
        <v>2</v>
      </c>
      <c r="I1467" t="str">
        <f t="shared" si="66"/>
        <v>25-34</v>
      </c>
      <c r="J1467" t="str">
        <f t="shared" si="67"/>
        <v>Promoted in 1-3 years</v>
      </c>
      <c r="K1467">
        <f t="shared" si="68"/>
        <v>0</v>
      </c>
    </row>
    <row r="1468" spans="1:11" x14ac:dyDescent="0.25">
      <c r="A1468" s="5">
        <v>493</v>
      </c>
      <c r="B1468" s="3">
        <v>31</v>
      </c>
      <c r="C1468" t="s">
        <v>43</v>
      </c>
      <c r="D1468" t="s">
        <v>35</v>
      </c>
      <c r="E1468" t="s">
        <v>41</v>
      </c>
      <c r="F1468" t="s">
        <v>42</v>
      </c>
      <c r="G1468" s="3">
        <v>2</v>
      </c>
      <c r="I1468" t="str">
        <f t="shared" si="66"/>
        <v>25-34</v>
      </c>
      <c r="J1468" t="str">
        <f t="shared" si="67"/>
        <v>Promoted in 1-3 years</v>
      </c>
      <c r="K1468">
        <f t="shared" si="68"/>
        <v>0</v>
      </c>
    </row>
    <row r="1469" spans="1:11" x14ac:dyDescent="0.25">
      <c r="A1469" s="5">
        <v>1001</v>
      </c>
      <c r="B1469" s="3">
        <v>27</v>
      </c>
      <c r="C1469" t="s">
        <v>43</v>
      </c>
      <c r="D1469" t="s">
        <v>35</v>
      </c>
      <c r="E1469" t="s">
        <v>61</v>
      </c>
      <c r="F1469" t="s">
        <v>36</v>
      </c>
      <c r="G1469" s="3">
        <v>2</v>
      </c>
      <c r="I1469" t="str">
        <f t="shared" si="66"/>
        <v>25-34</v>
      </c>
      <c r="J1469" t="str">
        <f t="shared" si="67"/>
        <v>Promoted in 1-3 years</v>
      </c>
      <c r="K1469">
        <f t="shared" si="68"/>
        <v>0</v>
      </c>
    </row>
    <row r="1470" spans="1:11" x14ac:dyDescent="0.25">
      <c r="A1470" s="5">
        <v>75</v>
      </c>
      <c r="B1470" s="3">
        <v>35</v>
      </c>
      <c r="C1470" t="s">
        <v>43</v>
      </c>
      <c r="D1470" t="s">
        <v>35</v>
      </c>
      <c r="E1470" t="s">
        <v>61</v>
      </c>
      <c r="F1470" t="s">
        <v>36</v>
      </c>
      <c r="G1470" s="3">
        <v>2</v>
      </c>
      <c r="I1470" t="str">
        <f t="shared" si="66"/>
        <v>35-44</v>
      </c>
      <c r="J1470" t="str">
        <f t="shared" si="67"/>
        <v>Promoted in 1-3 years</v>
      </c>
      <c r="K1470">
        <f t="shared" si="68"/>
        <v>0</v>
      </c>
    </row>
    <row r="1471" spans="1:11" x14ac:dyDescent="0.25">
      <c r="A1471" s="5">
        <v>1871</v>
      </c>
      <c r="B1471" s="3">
        <v>39</v>
      </c>
      <c r="C1471" t="s">
        <v>43</v>
      </c>
      <c r="D1471" t="s">
        <v>35</v>
      </c>
      <c r="E1471" t="s">
        <v>52</v>
      </c>
      <c r="F1471" t="s">
        <v>50</v>
      </c>
      <c r="G1471" s="3">
        <v>2</v>
      </c>
      <c r="I1471" t="str">
        <f t="shared" si="66"/>
        <v>35-44</v>
      </c>
      <c r="J1471" t="str">
        <f t="shared" si="67"/>
        <v>Promoted in 1-3 years</v>
      </c>
      <c r="K1471">
        <f t="shared" si="6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C922-13CC-475D-B459-37CF24EB596B}">
  <dimension ref="A1:J1471"/>
  <sheetViews>
    <sheetView workbookViewId="0">
      <selection sqref="A1:G1471"/>
    </sheetView>
  </sheetViews>
  <sheetFormatPr defaultRowHeight="15" x14ac:dyDescent="0.25"/>
  <cols>
    <col min="1" max="1" width="9" style="3"/>
    <col min="2" max="2" width="10.42578125" style="3" bestFit="1" customWidth="1"/>
    <col min="3" max="3" width="12.140625" bestFit="1" customWidth="1"/>
    <col min="4" max="4" width="12.42578125" bestFit="1" customWidth="1"/>
    <col min="5" max="5" width="12.42578125" style="3" bestFit="1" customWidth="1"/>
    <col min="6" max="6" width="11.85546875" bestFit="1" customWidth="1"/>
    <col min="7" max="7" width="33" style="3" bestFit="1" customWidth="1"/>
    <col min="9" max="9" width="27.85546875" bestFit="1" customWidth="1"/>
  </cols>
  <sheetData>
    <row r="1" spans="1:10" x14ac:dyDescent="0.25">
      <c r="A1" s="2" t="s">
        <v>73</v>
      </c>
      <c r="B1" s="2" t="s">
        <v>74</v>
      </c>
      <c r="C1" s="1" t="s">
        <v>76</v>
      </c>
      <c r="D1" s="1" t="s">
        <v>5</v>
      </c>
      <c r="E1" s="2" t="s">
        <v>13</v>
      </c>
      <c r="F1" s="1" t="s">
        <v>14</v>
      </c>
      <c r="G1" s="2" t="s">
        <v>75</v>
      </c>
      <c r="H1" s="1"/>
      <c r="I1" s="1"/>
    </row>
    <row r="2" spans="1:10" x14ac:dyDescent="0.25">
      <c r="A2" s="3">
        <v>1522</v>
      </c>
      <c r="B2" s="3" t="str">
        <f>_xlfn.XLOOKUP(A2,'Data Cleaning'!A2:A1471, 'Data Cleaning'!I2:I1471)</f>
        <v>35-44</v>
      </c>
      <c r="C2">
        <f>_xlfn.XLOOKUP(A2,'Data Cleaning'!A2:A1471,'Data Cleaning'!K2:K1471)</f>
        <v>1</v>
      </c>
      <c r="D2" t="str">
        <f>_xlfn.XLOOKUP(A2,'Data Cleaning'!A2:A1471, 'Data Cleaning'!D2:D1471)</f>
        <v>Master</v>
      </c>
      <c r="E2" s="3" t="str">
        <f>_xlfn.XLOOKUP(A2,'Data Cleaning'!A2:A1471, 'Data Cleaning'!E2:E1471)</f>
        <v>Single</v>
      </c>
      <c r="F2" t="str">
        <f>_xlfn.XLOOKUP(A2,'Data Cleaning'!A2:A1471, 'Data Cleaning'!F2:F1471)</f>
        <v>None</v>
      </c>
      <c r="G2" s="3" t="str">
        <f>_xlfn.XLOOKUP(A2,'Data Cleaning'!A2:A1471, 'Data Cleaning'!J2:J1471)</f>
        <v>Recently promoted</v>
      </c>
      <c r="J2" s="3"/>
    </row>
    <row r="3" spans="1:10" x14ac:dyDescent="0.25">
      <c r="A3" s="3">
        <v>1101</v>
      </c>
      <c r="B3" s="3" t="str">
        <f>_xlfn.XLOOKUP(A3,'Data Cleaning'!A3:A1472, 'Data Cleaning'!I3:I1472)</f>
        <v>35-44</v>
      </c>
      <c r="C3">
        <f>_xlfn.XLOOKUP(A3,'Data Cleaning'!A3:A1472,'Data Cleaning'!K3:K1472)</f>
        <v>1</v>
      </c>
      <c r="D3" t="str">
        <f>_xlfn.XLOOKUP(A3,'Data Cleaning'!A3:A1472, 'Data Cleaning'!D3:D1472)</f>
        <v>Master</v>
      </c>
      <c r="E3" s="3" t="str">
        <f>_xlfn.XLOOKUP(A3,'Data Cleaning'!A3:A1472, 'Data Cleaning'!E3:E1472)</f>
        <v>Single</v>
      </c>
      <c r="F3" t="str">
        <f>_xlfn.XLOOKUP(A3,'Data Cleaning'!A3:A1472, 'Data Cleaning'!F3:F1472)</f>
        <v>None</v>
      </c>
      <c r="G3" s="3" t="str">
        <f>_xlfn.XLOOKUP(A3,'Data Cleaning'!A3:A1472, 'Data Cleaning'!J3:J1472)</f>
        <v>Promoted in 1-3 years</v>
      </c>
    </row>
    <row r="4" spans="1:10" x14ac:dyDescent="0.25">
      <c r="A4" s="3">
        <v>1299</v>
      </c>
      <c r="B4" s="3" t="str">
        <f>_xlfn.XLOOKUP(A4,'Data Cleaning'!A4:A1473, 'Data Cleaning'!I4:I1473)</f>
        <v>25-34</v>
      </c>
      <c r="C4">
        <f>_xlfn.XLOOKUP(A4,'Data Cleaning'!A4:A1473,'Data Cleaning'!K4:K1473)</f>
        <v>1</v>
      </c>
      <c r="D4" t="str">
        <f>_xlfn.XLOOKUP(A4,'Data Cleaning'!A4:A1473, 'Data Cleaning'!D4:D1473)</f>
        <v>Bachelor</v>
      </c>
      <c r="E4" s="3" t="str">
        <f>_xlfn.XLOOKUP(A4,'Data Cleaning'!A4:A1473, 'Data Cleaning'!E4:E1473)</f>
        <v>Divorced</v>
      </c>
      <c r="F4" t="str">
        <f>_xlfn.XLOOKUP(A4,'Data Cleaning'!A4:A1473, 'Data Cleaning'!F4:F1473)</f>
        <v>Mid</v>
      </c>
      <c r="G4" s="3" t="str">
        <f>_xlfn.XLOOKUP(A4,'Data Cleaning'!A4:A1473, 'Data Cleaning'!J4:J1473)</f>
        <v>Long Promotion gap</v>
      </c>
    </row>
    <row r="5" spans="1:10" x14ac:dyDescent="0.25">
      <c r="A5" s="3">
        <v>1457</v>
      </c>
      <c r="B5" s="3" t="str">
        <f>_xlfn.XLOOKUP(A5,'Data Cleaning'!A5:A1474, 'Data Cleaning'!I5:I1474)</f>
        <v>45-54</v>
      </c>
      <c r="C5">
        <f>_xlfn.XLOOKUP(A5,'Data Cleaning'!A5:A1474,'Data Cleaning'!K5:K1474)</f>
        <v>1</v>
      </c>
      <c r="D5" t="str">
        <f>_xlfn.XLOOKUP(A5,'Data Cleaning'!A5:A1474, 'Data Cleaning'!D5:D1474)</f>
        <v>Bachelor</v>
      </c>
      <c r="E5" s="3" t="str">
        <f>_xlfn.XLOOKUP(A5,'Data Cleaning'!A5:A1474, 'Data Cleaning'!E5:E1474)</f>
        <v>Divorced</v>
      </c>
      <c r="F5" t="str">
        <f>_xlfn.XLOOKUP(A5,'Data Cleaning'!A5:A1474, 'Data Cleaning'!F5:F1474)</f>
        <v>Low</v>
      </c>
      <c r="G5" s="3" t="str">
        <f>_xlfn.XLOOKUP(A5,'Data Cleaning'!A5:A1474, 'Data Cleaning'!J5:J1474)</f>
        <v>Long Promotion gap</v>
      </c>
    </row>
    <row r="6" spans="1:10" x14ac:dyDescent="0.25">
      <c r="A6" s="3">
        <v>1807</v>
      </c>
      <c r="B6" s="3" t="str">
        <f>_xlfn.XLOOKUP(A6,'Data Cleaning'!A6:A1475, 'Data Cleaning'!I6:I1475)</f>
        <v>25-34</v>
      </c>
      <c r="C6">
        <f>_xlfn.XLOOKUP(A6,'Data Cleaning'!A6:A1475,'Data Cleaning'!K6:K1475)</f>
        <v>1</v>
      </c>
      <c r="D6" t="str">
        <f>_xlfn.XLOOKUP(A6,'Data Cleaning'!A6:A1475, 'Data Cleaning'!D6:D1475)</f>
        <v>Master</v>
      </c>
      <c r="E6" s="3" t="str">
        <f>_xlfn.XLOOKUP(A6,'Data Cleaning'!A6:A1475, 'Data Cleaning'!E6:E1475)</f>
        <v>Married</v>
      </c>
      <c r="F6" t="str">
        <f>_xlfn.XLOOKUP(A6,'Data Cleaning'!A6:A1475, 'Data Cleaning'!F6:F1475)</f>
        <v>Low</v>
      </c>
      <c r="G6" s="3" t="str">
        <f>_xlfn.XLOOKUP(A6,'Data Cleaning'!A6:A1475, 'Data Cleaning'!J6:J1475)</f>
        <v>Recently promoted</v>
      </c>
    </row>
    <row r="7" spans="1:10" x14ac:dyDescent="0.25">
      <c r="A7" s="3">
        <v>299</v>
      </c>
      <c r="B7" s="3" t="str">
        <f>_xlfn.XLOOKUP(A7,'Data Cleaning'!A7:A1476, 'Data Cleaning'!I7:I1476)</f>
        <v>25-34</v>
      </c>
      <c r="C7">
        <f>_xlfn.XLOOKUP(A7,'Data Cleaning'!A7:A1476,'Data Cleaning'!K7:K1476)</f>
        <v>1</v>
      </c>
      <c r="D7" t="str">
        <f>_xlfn.XLOOKUP(A7,'Data Cleaning'!A7:A1476, 'Data Cleaning'!D7:D1476)</f>
        <v>Master</v>
      </c>
      <c r="E7" s="3" t="str">
        <f>_xlfn.XLOOKUP(A7,'Data Cleaning'!A7:A1476, 'Data Cleaning'!E7:E1476)</f>
        <v>Single</v>
      </c>
      <c r="F7" t="str">
        <f>_xlfn.XLOOKUP(A7,'Data Cleaning'!A7:A1476, 'Data Cleaning'!F7:F1476)</f>
        <v>None</v>
      </c>
      <c r="G7" s="3" t="str">
        <f>_xlfn.XLOOKUP(A7,'Data Cleaning'!A7:A1476, 'Data Cleaning'!J7:J1476)</f>
        <v>Recently promoted</v>
      </c>
    </row>
    <row r="8" spans="1:10" x14ac:dyDescent="0.25">
      <c r="A8" s="3">
        <v>300</v>
      </c>
      <c r="B8" s="3" t="str">
        <f>_xlfn.XLOOKUP(A8,'Data Cleaning'!A8:A1477, 'Data Cleaning'!I8:I1477)</f>
        <v>25-34</v>
      </c>
      <c r="C8">
        <f>_xlfn.XLOOKUP(A8,'Data Cleaning'!A8:A1477,'Data Cleaning'!K8:K1477)</f>
        <v>1</v>
      </c>
      <c r="D8" t="str">
        <f>_xlfn.XLOOKUP(A8,'Data Cleaning'!A8:A1477, 'Data Cleaning'!D8:D1477)</f>
        <v>Bachelor</v>
      </c>
      <c r="E8" s="3" t="str">
        <f>_xlfn.XLOOKUP(A8,'Data Cleaning'!A8:A1477, 'Data Cleaning'!E8:E1477)</f>
        <v>Single</v>
      </c>
      <c r="F8" t="str">
        <f>_xlfn.XLOOKUP(A8,'Data Cleaning'!A8:A1477, 'Data Cleaning'!F8:F1477)</f>
        <v>None</v>
      </c>
      <c r="G8" s="3" t="str">
        <f>_xlfn.XLOOKUP(A8,'Data Cleaning'!A8:A1477, 'Data Cleaning'!J8:J1477)</f>
        <v>Promoted in 1-3 years</v>
      </c>
    </row>
    <row r="9" spans="1:10" x14ac:dyDescent="0.25">
      <c r="A9" s="3">
        <v>1200</v>
      </c>
      <c r="B9" s="3" t="str">
        <f>_xlfn.XLOOKUP(A9,'Data Cleaning'!A9:A1478, 'Data Cleaning'!I9:I1478)</f>
        <v>35-44</v>
      </c>
      <c r="C9">
        <f>_xlfn.XLOOKUP(A9,'Data Cleaning'!A9:A1478,'Data Cleaning'!K9:K1478)</f>
        <v>1</v>
      </c>
      <c r="D9" t="str">
        <f>_xlfn.XLOOKUP(A9,'Data Cleaning'!A9:A1478, 'Data Cleaning'!D9:D1478)</f>
        <v>Master</v>
      </c>
      <c r="E9" s="3" t="str">
        <f>_xlfn.XLOOKUP(A9,'Data Cleaning'!A9:A1478, 'Data Cleaning'!E9:E1478)</f>
        <v>Single</v>
      </c>
      <c r="F9" t="str">
        <f>_xlfn.XLOOKUP(A9,'Data Cleaning'!A9:A1478, 'Data Cleaning'!F9:F1478)</f>
        <v>None</v>
      </c>
      <c r="G9" s="3" t="str">
        <f>_xlfn.XLOOKUP(A9,'Data Cleaning'!A9:A1478, 'Data Cleaning'!J9:J1478)</f>
        <v>Recently promoted</v>
      </c>
    </row>
    <row r="10" spans="1:10" x14ac:dyDescent="0.25">
      <c r="A10" s="3">
        <v>1295</v>
      </c>
      <c r="B10" s="3" t="str">
        <f>_xlfn.XLOOKUP(A10,'Data Cleaning'!A10:A1479, 'Data Cleaning'!I10:I1479)</f>
        <v>35-44</v>
      </c>
      <c r="C10">
        <f>_xlfn.XLOOKUP(A10,'Data Cleaning'!A10:A1479,'Data Cleaning'!K10:K1479)</f>
        <v>1</v>
      </c>
      <c r="D10" t="str">
        <f>_xlfn.XLOOKUP(A10,'Data Cleaning'!A10:A1479, 'Data Cleaning'!D10:D1479)</f>
        <v>Bachelor</v>
      </c>
      <c r="E10" s="3" t="str">
        <f>_xlfn.XLOOKUP(A10,'Data Cleaning'!A10:A1479, 'Data Cleaning'!E10:E1479)</f>
        <v>Married</v>
      </c>
      <c r="F10" t="str">
        <f>_xlfn.XLOOKUP(A10,'Data Cleaning'!A10:A1479, 'Data Cleaning'!F10:F1479)</f>
        <v>Low</v>
      </c>
      <c r="G10" s="3" t="str">
        <f>_xlfn.XLOOKUP(A10,'Data Cleaning'!A10:A1479, 'Data Cleaning'!J10:J1479)</f>
        <v>Recently promoted</v>
      </c>
    </row>
    <row r="11" spans="1:10" x14ac:dyDescent="0.25">
      <c r="A11" s="3">
        <v>647</v>
      </c>
      <c r="B11" s="3" t="str">
        <f>_xlfn.XLOOKUP(A11,'Data Cleaning'!A11:A1480, 'Data Cleaning'!I11:I1480)</f>
        <v>25-34</v>
      </c>
      <c r="C11">
        <f>_xlfn.XLOOKUP(A11,'Data Cleaning'!A11:A1480,'Data Cleaning'!K11:K1480)</f>
        <v>1</v>
      </c>
      <c r="D11" t="str">
        <f>_xlfn.XLOOKUP(A11,'Data Cleaning'!A11:A1480, 'Data Cleaning'!D11:D1480)</f>
        <v>Bachelor</v>
      </c>
      <c r="E11" s="3" t="str">
        <f>_xlfn.XLOOKUP(A11,'Data Cleaning'!A11:A1480, 'Data Cleaning'!E11:E1480)</f>
        <v>Married</v>
      </c>
      <c r="F11" t="str">
        <f>_xlfn.XLOOKUP(A11,'Data Cleaning'!A11:A1480, 'Data Cleaning'!F11:F1480)</f>
        <v>Low</v>
      </c>
      <c r="G11" s="3" t="str">
        <f>_xlfn.XLOOKUP(A11,'Data Cleaning'!A11:A1480, 'Data Cleaning'!J11:J1480)</f>
        <v>Promoted in 1-3 years</v>
      </c>
    </row>
    <row r="12" spans="1:10" x14ac:dyDescent="0.25">
      <c r="A12" s="3">
        <v>401</v>
      </c>
      <c r="B12" s="3" t="str">
        <f>_xlfn.XLOOKUP(A12,'Data Cleaning'!A12:A1481, 'Data Cleaning'!I12:I1481)</f>
        <v>35-44</v>
      </c>
      <c r="C12">
        <f>_xlfn.XLOOKUP(A12,'Data Cleaning'!A12:A1481,'Data Cleaning'!K12:K1481)</f>
        <v>1</v>
      </c>
      <c r="D12" t="str">
        <f>_xlfn.XLOOKUP(A12,'Data Cleaning'!A12:A1481, 'Data Cleaning'!D12:D1481)</f>
        <v>Master</v>
      </c>
      <c r="E12" s="3" t="str">
        <f>_xlfn.XLOOKUP(A12,'Data Cleaning'!A12:A1481, 'Data Cleaning'!E12:E1481)</f>
        <v>Single</v>
      </c>
      <c r="F12" t="str">
        <f>_xlfn.XLOOKUP(A12,'Data Cleaning'!A12:A1481, 'Data Cleaning'!F12:F1481)</f>
        <v>None</v>
      </c>
      <c r="G12" s="3" t="str">
        <f>_xlfn.XLOOKUP(A12,'Data Cleaning'!A12:A1481, 'Data Cleaning'!J12:J1481)</f>
        <v>Long Promotion gap</v>
      </c>
    </row>
    <row r="13" spans="1:10" x14ac:dyDescent="0.25">
      <c r="A13" s="3">
        <v>190</v>
      </c>
      <c r="B13" s="3" t="str">
        <f>_xlfn.XLOOKUP(A13,'Data Cleaning'!A13:A1482, 'Data Cleaning'!I13:I1482)</f>
        <v>25-34</v>
      </c>
      <c r="C13">
        <f>_xlfn.XLOOKUP(A13,'Data Cleaning'!A13:A1482,'Data Cleaning'!K13:K1482)</f>
        <v>1</v>
      </c>
      <c r="D13" t="str">
        <f>_xlfn.XLOOKUP(A13,'Data Cleaning'!A13:A1482, 'Data Cleaning'!D13:D1482)</f>
        <v>Bachelor</v>
      </c>
      <c r="E13" s="3" t="str">
        <f>_xlfn.XLOOKUP(A13,'Data Cleaning'!A13:A1482, 'Data Cleaning'!E13:E1482)</f>
        <v>Single</v>
      </c>
      <c r="F13" t="str">
        <f>_xlfn.XLOOKUP(A13,'Data Cleaning'!A13:A1482, 'Data Cleaning'!F13:F1482)</f>
        <v>None</v>
      </c>
      <c r="G13" s="3" t="str">
        <f>_xlfn.XLOOKUP(A13,'Data Cleaning'!A13:A1482, 'Data Cleaning'!J13:J1482)</f>
        <v>Recently promoted</v>
      </c>
    </row>
    <row r="14" spans="1:10" x14ac:dyDescent="0.25">
      <c r="A14" s="3">
        <v>325</v>
      </c>
      <c r="B14" s="3" t="str">
        <f>_xlfn.XLOOKUP(A14,'Data Cleaning'!A14:A1483, 'Data Cleaning'!I14:I1483)</f>
        <v>25-34</v>
      </c>
      <c r="C14">
        <f>_xlfn.XLOOKUP(A14,'Data Cleaning'!A14:A1483,'Data Cleaning'!K14:K1483)</f>
        <v>1</v>
      </c>
      <c r="D14" t="str">
        <f>_xlfn.XLOOKUP(A14,'Data Cleaning'!A14:A1483, 'Data Cleaning'!D14:D1483)</f>
        <v>Bachelor</v>
      </c>
      <c r="E14" s="3" t="str">
        <f>_xlfn.XLOOKUP(A14,'Data Cleaning'!A14:A1483, 'Data Cleaning'!E14:E1483)</f>
        <v>Married</v>
      </c>
      <c r="F14" t="str">
        <f>_xlfn.XLOOKUP(A14,'Data Cleaning'!A14:A1483, 'Data Cleaning'!F14:F1483)</f>
        <v>Low</v>
      </c>
      <c r="G14" s="3" t="str">
        <f>_xlfn.XLOOKUP(A14,'Data Cleaning'!A14:A1483, 'Data Cleaning'!J14:J1483)</f>
        <v>Recently promoted</v>
      </c>
    </row>
    <row r="15" spans="1:10" x14ac:dyDescent="0.25">
      <c r="A15" s="3">
        <v>1310</v>
      </c>
      <c r="B15" s="3" t="str">
        <f>_xlfn.XLOOKUP(A15,'Data Cleaning'!A15:A1484, 'Data Cleaning'!I15:I1484)</f>
        <v>35-44</v>
      </c>
      <c r="C15">
        <f>_xlfn.XLOOKUP(A15,'Data Cleaning'!A15:A1484,'Data Cleaning'!K15:K1484)</f>
        <v>1</v>
      </c>
      <c r="D15" t="str">
        <f>_xlfn.XLOOKUP(A15,'Data Cleaning'!A15:A1484, 'Data Cleaning'!D15:D1484)</f>
        <v>Bachelor</v>
      </c>
      <c r="E15" s="3" t="str">
        <f>_xlfn.XLOOKUP(A15,'Data Cleaning'!A15:A1484, 'Data Cleaning'!E15:E1484)</f>
        <v>Single</v>
      </c>
      <c r="F15" t="str">
        <f>_xlfn.XLOOKUP(A15,'Data Cleaning'!A15:A1484, 'Data Cleaning'!F15:F1484)</f>
        <v>None</v>
      </c>
      <c r="G15" s="3" t="str">
        <f>_xlfn.XLOOKUP(A15,'Data Cleaning'!A15:A1484, 'Data Cleaning'!J15:J1484)</f>
        <v>Recently promoted</v>
      </c>
    </row>
    <row r="16" spans="1:10" x14ac:dyDescent="0.25">
      <c r="A16" s="3">
        <v>1004</v>
      </c>
      <c r="B16" s="3" t="str">
        <f>_xlfn.XLOOKUP(A16,'Data Cleaning'!A16:A1485, 'Data Cleaning'!I16:I1485)</f>
        <v>25-34</v>
      </c>
      <c r="C16">
        <f>_xlfn.XLOOKUP(A16,'Data Cleaning'!A16:A1485,'Data Cleaning'!K16:K1485)</f>
        <v>1</v>
      </c>
      <c r="D16" t="str">
        <f>_xlfn.XLOOKUP(A16,'Data Cleaning'!A16:A1485, 'Data Cleaning'!D16:D1485)</f>
        <v>Bachelor</v>
      </c>
      <c r="E16" s="3" t="str">
        <f>_xlfn.XLOOKUP(A16,'Data Cleaning'!A16:A1485, 'Data Cleaning'!E16:E1485)</f>
        <v>Married</v>
      </c>
      <c r="F16" t="str">
        <f>_xlfn.XLOOKUP(A16,'Data Cleaning'!A16:A1485, 'Data Cleaning'!F16:F1485)</f>
        <v>None</v>
      </c>
      <c r="G16" s="3" t="str">
        <f>_xlfn.XLOOKUP(A16,'Data Cleaning'!A16:A1485, 'Data Cleaning'!J16:J1485)</f>
        <v>Recently promoted</v>
      </c>
    </row>
    <row r="17" spans="1:7" x14ac:dyDescent="0.25">
      <c r="A17" s="3">
        <v>147</v>
      </c>
      <c r="B17" s="3" t="str">
        <f>_xlfn.XLOOKUP(A17,'Data Cleaning'!A17:A1486, 'Data Cleaning'!I17:I1486)</f>
        <v>25-34</v>
      </c>
      <c r="C17">
        <f>_xlfn.XLOOKUP(A17,'Data Cleaning'!A17:A1486,'Data Cleaning'!K17:K1486)</f>
        <v>1</v>
      </c>
      <c r="D17" t="str">
        <f>_xlfn.XLOOKUP(A17,'Data Cleaning'!A17:A1486, 'Data Cleaning'!D17:D1486)</f>
        <v>Bachelor</v>
      </c>
      <c r="E17" s="3" t="str">
        <f>_xlfn.XLOOKUP(A17,'Data Cleaning'!A17:A1486, 'Data Cleaning'!E17:E1486)</f>
        <v>Single</v>
      </c>
      <c r="F17" t="str">
        <f>_xlfn.XLOOKUP(A17,'Data Cleaning'!A17:A1486, 'Data Cleaning'!F17:F1486)</f>
        <v>None</v>
      </c>
      <c r="G17" s="3" t="str">
        <f>_xlfn.XLOOKUP(A17,'Data Cleaning'!A17:A1486, 'Data Cleaning'!J17:J1486)</f>
        <v>Recently promoted</v>
      </c>
    </row>
    <row r="18" spans="1:7" x14ac:dyDescent="0.25">
      <c r="A18" s="3">
        <v>1042</v>
      </c>
      <c r="B18" s="3" t="str">
        <f>_xlfn.XLOOKUP(A18,'Data Cleaning'!A18:A1487, 'Data Cleaning'!I18:I1487)</f>
        <v>35-44</v>
      </c>
      <c r="C18">
        <f>_xlfn.XLOOKUP(A18,'Data Cleaning'!A18:A1487,'Data Cleaning'!K18:K1487)</f>
        <v>1</v>
      </c>
      <c r="D18" t="str">
        <f>_xlfn.XLOOKUP(A18,'Data Cleaning'!A18:A1487, 'Data Cleaning'!D18:D1487)</f>
        <v>Master</v>
      </c>
      <c r="E18" s="3" t="str">
        <f>_xlfn.XLOOKUP(A18,'Data Cleaning'!A18:A1487, 'Data Cleaning'!E18:E1487)</f>
        <v>Single</v>
      </c>
      <c r="F18" t="str">
        <f>_xlfn.XLOOKUP(A18,'Data Cleaning'!A18:A1487, 'Data Cleaning'!F18:F1487)</f>
        <v>None</v>
      </c>
      <c r="G18" s="3" t="str">
        <f>_xlfn.XLOOKUP(A18,'Data Cleaning'!A18:A1487, 'Data Cleaning'!J18:J1487)</f>
        <v>Long Promotion gap</v>
      </c>
    </row>
    <row r="19" spans="1:7" x14ac:dyDescent="0.25">
      <c r="A19" s="3">
        <v>502</v>
      </c>
      <c r="B19" s="3" t="str">
        <f>_xlfn.XLOOKUP(A19,'Data Cleaning'!A19:A1488, 'Data Cleaning'!I19:I1488)</f>
        <v>25-34</v>
      </c>
      <c r="C19">
        <f>_xlfn.XLOOKUP(A19,'Data Cleaning'!A19:A1488,'Data Cleaning'!K19:K1488)</f>
        <v>1</v>
      </c>
      <c r="D19" t="str">
        <f>_xlfn.XLOOKUP(A19,'Data Cleaning'!A19:A1488, 'Data Cleaning'!D19:D1488)</f>
        <v>Bachelor</v>
      </c>
      <c r="E19" s="3" t="str">
        <f>_xlfn.XLOOKUP(A19,'Data Cleaning'!A19:A1488, 'Data Cleaning'!E19:E1488)</f>
        <v>Single</v>
      </c>
      <c r="F19" t="str">
        <f>_xlfn.XLOOKUP(A19,'Data Cleaning'!A19:A1488, 'Data Cleaning'!F19:F1488)</f>
        <v>None</v>
      </c>
      <c r="G19" s="3" t="str">
        <f>_xlfn.XLOOKUP(A19,'Data Cleaning'!A19:A1488, 'Data Cleaning'!J19:J1488)</f>
        <v>Recently promoted</v>
      </c>
    </row>
    <row r="20" spans="1:7" x14ac:dyDescent="0.25">
      <c r="A20" s="3">
        <v>967</v>
      </c>
      <c r="B20" s="3" t="str">
        <f>_xlfn.XLOOKUP(A20,'Data Cleaning'!A20:A1489, 'Data Cleaning'!I20:I1489)</f>
        <v>35-44</v>
      </c>
      <c r="C20">
        <f>_xlfn.XLOOKUP(A20,'Data Cleaning'!A20:A1489,'Data Cleaning'!K20:K1489)</f>
        <v>1</v>
      </c>
      <c r="D20" t="str">
        <f>_xlfn.XLOOKUP(A20,'Data Cleaning'!A20:A1489, 'Data Cleaning'!D20:D1489)</f>
        <v>Below College</v>
      </c>
      <c r="E20" s="3" t="str">
        <f>_xlfn.XLOOKUP(A20,'Data Cleaning'!A20:A1489, 'Data Cleaning'!E20:E1489)</f>
        <v>Married</v>
      </c>
      <c r="F20" t="str">
        <f>_xlfn.XLOOKUP(A20,'Data Cleaning'!A20:A1489, 'Data Cleaning'!F20:F1489)</f>
        <v>Low</v>
      </c>
      <c r="G20" s="3" t="str">
        <f>_xlfn.XLOOKUP(A20,'Data Cleaning'!A20:A1489, 'Data Cleaning'!J20:J1489)</f>
        <v>Promoted in 1-3 years</v>
      </c>
    </row>
    <row r="21" spans="1:7" x14ac:dyDescent="0.25">
      <c r="A21" s="3">
        <v>1157</v>
      </c>
      <c r="B21" s="3" t="str">
        <f>_xlfn.XLOOKUP(A21,'Data Cleaning'!A21:A1490, 'Data Cleaning'!I21:I1490)</f>
        <v>25-34</v>
      </c>
      <c r="C21">
        <f>_xlfn.XLOOKUP(A21,'Data Cleaning'!A21:A1490,'Data Cleaning'!K21:K1490)</f>
        <v>1</v>
      </c>
      <c r="D21" t="str">
        <f>_xlfn.XLOOKUP(A21,'Data Cleaning'!A21:A1490, 'Data Cleaning'!D21:D1490)</f>
        <v>Master</v>
      </c>
      <c r="E21" s="3" t="str">
        <f>_xlfn.XLOOKUP(A21,'Data Cleaning'!A21:A1490, 'Data Cleaning'!E21:E1490)</f>
        <v>Single</v>
      </c>
      <c r="F21" t="str">
        <f>_xlfn.XLOOKUP(A21,'Data Cleaning'!A21:A1490, 'Data Cleaning'!F21:F1490)</f>
        <v>None</v>
      </c>
      <c r="G21" s="3" t="str">
        <f>_xlfn.XLOOKUP(A21,'Data Cleaning'!A21:A1490, 'Data Cleaning'!J21:J1490)</f>
        <v>Recently promoted</v>
      </c>
    </row>
    <row r="22" spans="1:7" x14ac:dyDescent="0.25">
      <c r="A22" s="3">
        <v>1573</v>
      </c>
      <c r="B22" s="3" t="str">
        <f>_xlfn.XLOOKUP(A22,'Data Cleaning'!A22:A1491, 'Data Cleaning'!I22:I1491)</f>
        <v>35-44</v>
      </c>
      <c r="C22">
        <f>_xlfn.XLOOKUP(A22,'Data Cleaning'!A22:A1491,'Data Cleaning'!K22:K1491)</f>
        <v>1</v>
      </c>
      <c r="D22" t="str">
        <f>_xlfn.XLOOKUP(A22,'Data Cleaning'!A22:A1491, 'Data Cleaning'!D22:D1491)</f>
        <v>Bachelor</v>
      </c>
      <c r="E22" s="3" t="str">
        <f>_xlfn.XLOOKUP(A22,'Data Cleaning'!A22:A1491, 'Data Cleaning'!E22:E1491)</f>
        <v>Married</v>
      </c>
      <c r="F22" t="str">
        <f>_xlfn.XLOOKUP(A22,'Data Cleaning'!A22:A1491, 'Data Cleaning'!F22:F1491)</f>
        <v>Mid</v>
      </c>
      <c r="G22" s="3" t="str">
        <f>_xlfn.XLOOKUP(A22,'Data Cleaning'!A22:A1491, 'Data Cleaning'!J22:J1491)</f>
        <v>Promoted in 1-3 years</v>
      </c>
    </row>
    <row r="23" spans="1:7" x14ac:dyDescent="0.25">
      <c r="A23" s="3">
        <v>554</v>
      </c>
      <c r="B23" s="3" t="str">
        <f>_xlfn.XLOOKUP(A23,'Data Cleaning'!A23:A1492, 'Data Cleaning'!I23:I1492)</f>
        <v>18-24</v>
      </c>
      <c r="C23">
        <f>_xlfn.XLOOKUP(A23,'Data Cleaning'!A23:A1492,'Data Cleaning'!K23:K1492)</f>
        <v>1</v>
      </c>
      <c r="D23" t="str">
        <f>_xlfn.XLOOKUP(A23,'Data Cleaning'!A23:A1492, 'Data Cleaning'!D23:D1492)</f>
        <v>Below College</v>
      </c>
      <c r="E23" s="3" t="str">
        <f>_xlfn.XLOOKUP(A23,'Data Cleaning'!A23:A1492, 'Data Cleaning'!E23:E1492)</f>
        <v>Single</v>
      </c>
      <c r="F23" t="str">
        <f>_xlfn.XLOOKUP(A23,'Data Cleaning'!A23:A1492, 'Data Cleaning'!F23:F1492)</f>
        <v>None</v>
      </c>
      <c r="G23" s="3" t="str">
        <f>_xlfn.XLOOKUP(A23,'Data Cleaning'!A23:A1492, 'Data Cleaning'!J23:J1492)</f>
        <v>Promoted in 1-3 years</v>
      </c>
    </row>
    <row r="24" spans="1:7" x14ac:dyDescent="0.25">
      <c r="A24" s="3">
        <v>161</v>
      </c>
      <c r="B24" s="3" t="str">
        <f>_xlfn.XLOOKUP(A24,'Data Cleaning'!A24:A1493, 'Data Cleaning'!I24:I1493)</f>
        <v>55-60</v>
      </c>
      <c r="C24">
        <f>_xlfn.XLOOKUP(A24,'Data Cleaning'!A24:A1493,'Data Cleaning'!K24:K1493)</f>
        <v>1</v>
      </c>
      <c r="D24" t="str">
        <f>_xlfn.XLOOKUP(A24,'Data Cleaning'!A24:A1493, 'Data Cleaning'!D24:D1493)</f>
        <v>Master</v>
      </c>
      <c r="E24" s="3" t="str">
        <f>_xlfn.XLOOKUP(A24,'Data Cleaning'!A24:A1493, 'Data Cleaning'!E24:E1493)</f>
        <v>Married</v>
      </c>
      <c r="F24" t="str">
        <f>_xlfn.XLOOKUP(A24,'Data Cleaning'!A24:A1493, 'Data Cleaning'!F24:F1493)</f>
        <v>High</v>
      </c>
      <c r="G24" s="3" t="str">
        <f>_xlfn.XLOOKUP(A24,'Data Cleaning'!A24:A1493, 'Data Cleaning'!J24:J1493)</f>
        <v>Long Promotion gap</v>
      </c>
    </row>
    <row r="25" spans="1:7" x14ac:dyDescent="0.25">
      <c r="A25" s="3">
        <v>297</v>
      </c>
      <c r="B25" s="3" t="str">
        <f>_xlfn.XLOOKUP(A25,'Data Cleaning'!A25:A1494, 'Data Cleaning'!I25:I1494)</f>
        <v>25-34</v>
      </c>
      <c r="C25">
        <f>_xlfn.XLOOKUP(A25,'Data Cleaning'!A25:A1494,'Data Cleaning'!K25:K1494)</f>
        <v>1</v>
      </c>
      <c r="D25" t="str">
        <f>_xlfn.XLOOKUP(A25,'Data Cleaning'!A25:A1494, 'Data Cleaning'!D25:D1494)</f>
        <v>Bachelor</v>
      </c>
      <c r="E25" s="3" t="str">
        <f>_xlfn.XLOOKUP(A25,'Data Cleaning'!A25:A1494, 'Data Cleaning'!E25:E1494)</f>
        <v>Single</v>
      </c>
      <c r="F25" t="str">
        <f>_xlfn.XLOOKUP(A25,'Data Cleaning'!A25:A1494, 'Data Cleaning'!F25:F1494)</f>
        <v>None</v>
      </c>
      <c r="G25" s="3" t="str">
        <f>_xlfn.XLOOKUP(A25,'Data Cleaning'!A25:A1494, 'Data Cleaning'!J25:J1494)</f>
        <v>Recently promoted</v>
      </c>
    </row>
    <row r="26" spans="1:7" x14ac:dyDescent="0.25">
      <c r="A26" s="3">
        <v>1905</v>
      </c>
      <c r="B26" s="3" t="str">
        <f>_xlfn.XLOOKUP(A26,'Data Cleaning'!A26:A1495, 'Data Cleaning'!I26:I1495)</f>
        <v>25-34</v>
      </c>
      <c r="C26">
        <f>_xlfn.XLOOKUP(A26,'Data Cleaning'!A26:A1495,'Data Cleaning'!K26:K1495)</f>
        <v>1</v>
      </c>
      <c r="D26" t="str">
        <f>_xlfn.XLOOKUP(A26,'Data Cleaning'!A26:A1495, 'Data Cleaning'!D26:D1495)</f>
        <v>Master</v>
      </c>
      <c r="E26" s="3" t="str">
        <f>_xlfn.XLOOKUP(A26,'Data Cleaning'!A26:A1495, 'Data Cleaning'!E26:E1495)</f>
        <v>Married</v>
      </c>
      <c r="F26" t="str">
        <f>_xlfn.XLOOKUP(A26,'Data Cleaning'!A26:A1495, 'Data Cleaning'!F26:F1495)</f>
        <v>Low</v>
      </c>
      <c r="G26" s="3" t="str">
        <f>_xlfn.XLOOKUP(A26,'Data Cleaning'!A26:A1495, 'Data Cleaning'!J26:J1495)</f>
        <v>Promoted in 1-3 years</v>
      </c>
    </row>
    <row r="27" spans="1:7" x14ac:dyDescent="0.25">
      <c r="A27" s="3">
        <v>1489</v>
      </c>
      <c r="B27" s="3" t="str">
        <f>_xlfn.XLOOKUP(A27,'Data Cleaning'!A27:A1496, 'Data Cleaning'!I27:I1496)</f>
        <v>25-34</v>
      </c>
      <c r="C27">
        <f>_xlfn.XLOOKUP(A27,'Data Cleaning'!A27:A1496,'Data Cleaning'!K27:K1496)</f>
        <v>1</v>
      </c>
      <c r="D27" t="str">
        <f>_xlfn.XLOOKUP(A27,'Data Cleaning'!A27:A1496, 'Data Cleaning'!D27:D1496)</f>
        <v>Master</v>
      </c>
      <c r="E27" s="3" t="str">
        <f>_xlfn.XLOOKUP(A27,'Data Cleaning'!A27:A1496, 'Data Cleaning'!E27:E1496)</f>
        <v>Single</v>
      </c>
      <c r="F27" t="str">
        <f>_xlfn.XLOOKUP(A27,'Data Cleaning'!A27:A1496, 'Data Cleaning'!F27:F1496)</f>
        <v>None</v>
      </c>
      <c r="G27" s="3" t="str">
        <f>_xlfn.XLOOKUP(A27,'Data Cleaning'!A27:A1496, 'Data Cleaning'!J27:J1496)</f>
        <v>Long Promotion gap</v>
      </c>
    </row>
    <row r="28" spans="1:7" x14ac:dyDescent="0.25">
      <c r="A28" s="3">
        <v>785</v>
      </c>
      <c r="B28" s="3" t="str">
        <f>_xlfn.XLOOKUP(A28,'Data Cleaning'!A28:A1497, 'Data Cleaning'!I28:I1497)</f>
        <v>45-54</v>
      </c>
      <c r="C28">
        <f>_xlfn.XLOOKUP(A28,'Data Cleaning'!A28:A1497,'Data Cleaning'!K28:K1497)</f>
        <v>1</v>
      </c>
      <c r="D28" t="str">
        <f>_xlfn.XLOOKUP(A28,'Data Cleaning'!A28:A1497, 'Data Cleaning'!D28:D1497)</f>
        <v>College</v>
      </c>
      <c r="E28" s="3" t="str">
        <f>_xlfn.XLOOKUP(A28,'Data Cleaning'!A28:A1497, 'Data Cleaning'!E28:E1497)</f>
        <v>Single</v>
      </c>
      <c r="F28" t="str">
        <f>_xlfn.XLOOKUP(A28,'Data Cleaning'!A28:A1497, 'Data Cleaning'!F28:F1497)</f>
        <v>None</v>
      </c>
      <c r="G28" s="3" t="str">
        <f>_xlfn.XLOOKUP(A28,'Data Cleaning'!A28:A1497, 'Data Cleaning'!J28:J1497)</f>
        <v>Promoted in 1-3 years</v>
      </c>
    </row>
    <row r="29" spans="1:7" x14ac:dyDescent="0.25">
      <c r="A29" s="3">
        <v>1389</v>
      </c>
      <c r="B29" s="3" t="str">
        <f>_xlfn.XLOOKUP(A29,'Data Cleaning'!A29:A1498, 'Data Cleaning'!I29:I1498)</f>
        <v>25-34</v>
      </c>
      <c r="C29">
        <f>_xlfn.XLOOKUP(A29,'Data Cleaning'!A29:A1498,'Data Cleaning'!K29:K1498)</f>
        <v>1</v>
      </c>
      <c r="D29" t="str">
        <f>_xlfn.XLOOKUP(A29,'Data Cleaning'!A29:A1498, 'Data Cleaning'!D29:D1498)</f>
        <v>Master</v>
      </c>
      <c r="E29" s="3" t="str">
        <f>_xlfn.XLOOKUP(A29,'Data Cleaning'!A29:A1498, 'Data Cleaning'!E29:E1498)</f>
        <v>Married</v>
      </c>
      <c r="F29" t="str">
        <f>_xlfn.XLOOKUP(A29,'Data Cleaning'!A29:A1498, 'Data Cleaning'!F29:F1498)</f>
        <v>Mid</v>
      </c>
      <c r="G29" s="3" t="str">
        <f>_xlfn.XLOOKUP(A29,'Data Cleaning'!A29:A1498, 'Data Cleaning'!J29:J1498)</f>
        <v>Long Promotion gap</v>
      </c>
    </row>
    <row r="30" spans="1:7" x14ac:dyDescent="0.25">
      <c r="A30" s="3">
        <v>1318</v>
      </c>
      <c r="B30" s="3" t="str">
        <f>_xlfn.XLOOKUP(A30,'Data Cleaning'!A30:A1499, 'Data Cleaning'!I30:I1499)</f>
        <v>35-44</v>
      </c>
      <c r="C30">
        <f>_xlfn.XLOOKUP(A30,'Data Cleaning'!A30:A1499,'Data Cleaning'!K30:K1499)</f>
        <v>1</v>
      </c>
      <c r="D30" t="str">
        <f>_xlfn.XLOOKUP(A30,'Data Cleaning'!A30:A1499, 'Data Cleaning'!D30:D1499)</f>
        <v>Master</v>
      </c>
      <c r="E30" s="3" t="str">
        <f>_xlfn.XLOOKUP(A30,'Data Cleaning'!A30:A1499, 'Data Cleaning'!E30:E1499)</f>
        <v>Single</v>
      </c>
      <c r="F30" t="str">
        <f>_xlfn.XLOOKUP(A30,'Data Cleaning'!A30:A1499, 'Data Cleaning'!F30:F1499)</f>
        <v>None</v>
      </c>
      <c r="G30" s="3" t="str">
        <f>_xlfn.XLOOKUP(A30,'Data Cleaning'!A30:A1499, 'Data Cleaning'!J30:J1499)</f>
        <v>Promoted in 1-3 years</v>
      </c>
    </row>
    <row r="31" spans="1:7" x14ac:dyDescent="0.25">
      <c r="A31" s="3">
        <v>1684</v>
      </c>
      <c r="B31" s="3" t="str">
        <f>_xlfn.XLOOKUP(A31,'Data Cleaning'!A31:A1500, 'Data Cleaning'!I31:I1500)</f>
        <v>18-24</v>
      </c>
      <c r="C31">
        <f>_xlfn.XLOOKUP(A31,'Data Cleaning'!A31:A1500,'Data Cleaning'!K31:K1500)</f>
        <v>1</v>
      </c>
      <c r="D31" t="str">
        <f>_xlfn.XLOOKUP(A31,'Data Cleaning'!A31:A1500, 'Data Cleaning'!D31:D1500)</f>
        <v>Below College</v>
      </c>
      <c r="E31" s="3" t="str">
        <f>_xlfn.XLOOKUP(A31,'Data Cleaning'!A31:A1500, 'Data Cleaning'!E31:E1500)</f>
        <v>Single</v>
      </c>
      <c r="F31" t="str">
        <f>_xlfn.XLOOKUP(A31,'Data Cleaning'!A31:A1500, 'Data Cleaning'!F31:F1500)</f>
        <v>None</v>
      </c>
      <c r="G31" s="3" t="str">
        <f>_xlfn.XLOOKUP(A31,'Data Cleaning'!A31:A1500, 'Data Cleaning'!J31:J1500)</f>
        <v>Promoted in 1-3 years</v>
      </c>
    </row>
    <row r="32" spans="1:7" x14ac:dyDescent="0.25">
      <c r="A32" s="3">
        <v>1487</v>
      </c>
      <c r="B32" s="3" t="str">
        <f>_xlfn.XLOOKUP(A32,'Data Cleaning'!A32:A1501, 'Data Cleaning'!I32:I1501)</f>
        <v>25-34</v>
      </c>
      <c r="C32">
        <f>_xlfn.XLOOKUP(A32,'Data Cleaning'!A32:A1501,'Data Cleaning'!K32:K1501)</f>
        <v>1</v>
      </c>
      <c r="D32" t="str">
        <f>_xlfn.XLOOKUP(A32,'Data Cleaning'!A32:A1501, 'Data Cleaning'!D32:D1501)</f>
        <v>Bachelor</v>
      </c>
      <c r="E32" s="3" t="str">
        <f>_xlfn.XLOOKUP(A32,'Data Cleaning'!A32:A1501, 'Data Cleaning'!E32:E1501)</f>
        <v>Single</v>
      </c>
      <c r="F32" t="str">
        <f>_xlfn.XLOOKUP(A32,'Data Cleaning'!A32:A1501, 'Data Cleaning'!F32:F1501)</f>
        <v>None</v>
      </c>
      <c r="G32" s="3" t="str">
        <f>_xlfn.XLOOKUP(A32,'Data Cleaning'!A32:A1501, 'Data Cleaning'!J32:J1501)</f>
        <v>Recently promoted</v>
      </c>
    </row>
    <row r="33" spans="1:7" x14ac:dyDescent="0.25">
      <c r="A33" s="3">
        <v>27</v>
      </c>
      <c r="B33" s="3" t="str">
        <f>_xlfn.XLOOKUP(A33,'Data Cleaning'!A33:A1502, 'Data Cleaning'!I33:I1502)</f>
        <v>35-44</v>
      </c>
      <c r="C33">
        <f>_xlfn.XLOOKUP(A33,'Data Cleaning'!A33:A1502,'Data Cleaning'!K33:K1502)</f>
        <v>1</v>
      </c>
      <c r="D33" t="str">
        <f>_xlfn.XLOOKUP(A33,'Data Cleaning'!A33:A1502, 'Data Cleaning'!D33:D1502)</f>
        <v>Master</v>
      </c>
      <c r="E33" s="3" t="str">
        <f>_xlfn.XLOOKUP(A33,'Data Cleaning'!A33:A1502, 'Data Cleaning'!E33:E1502)</f>
        <v>Single</v>
      </c>
      <c r="F33" t="str">
        <f>_xlfn.XLOOKUP(A33,'Data Cleaning'!A33:A1502, 'Data Cleaning'!F33:F1502)</f>
        <v>None</v>
      </c>
      <c r="G33" s="3" t="str">
        <f>_xlfn.XLOOKUP(A33,'Data Cleaning'!A33:A1502, 'Data Cleaning'!J33:J1502)</f>
        <v>Recently promoted</v>
      </c>
    </row>
    <row r="34" spans="1:7" x14ac:dyDescent="0.25">
      <c r="A34" s="3">
        <v>1818</v>
      </c>
      <c r="B34" s="3" t="str">
        <f>_xlfn.XLOOKUP(A34,'Data Cleaning'!A34:A1503, 'Data Cleaning'!I34:I1503)</f>
        <v>25-34</v>
      </c>
      <c r="C34">
        <f>_xlfn.XLOOKUP(A34,'Data Cleaning'!A34:A1503,'Data Cleaning'!K34:K1503)</f>
        <v>1</v>
      </c>
      <c r="D34" t="str">
        <f>_xlfn.XLOOKUP(A34,'Data Cleaning'!A34:A1503, 'Data Cleaning'!D34:D1503)</f>
        <v>College</v>
      </c>
      <c r="E34" s="3" t="str">
        <f>_xlfn.XLOOKUP(A34,'Data Cleaning'!A34:A1503, 'Data Cleaning'!E34:E1503)</f>
        <v>Married</v>
      </c>
      <c r="F34" t="str">
        <f>_xlfn.XLOOKUP(A34,'Data Cleaning'!A34:A1503, 'Data Cleaning'!F34:F1503)</f>
        <v>None</v>
      </c>
      <c r="G34" s="3" t="str">
        <f>_xlfn.XLOOKUP(A34,'Data Cleaning'!A34:A1503, 'Data Cleaning'!J34:J1503)</f>
        <v>Promoted in 1-3 years</v>
      </c>
    </row>
    <row r="35" spans="1:7" x14ac:dyDescent="0.25">
      <c r="A35" s="3">
        <v>1809</v>
      </c>
      <c r="B35" s="3" t="str">
        <f>_xlfn.XLOOKUP(A35,'Data Cleaning'!A35:A1504, 'Data Cleaning'!I35:I1504)</f>
        <v>35-44</v>
      </c>
      <c r="C35">
        <f>_xlfn.XLOOKUP(A35,'Data Cleaning'!A35:A1504,'Data Cleaning'!K35:K1504)</f>
        <v>1</v>
      </c>
      <c r="D35" t="str">
        <f>_xlfn.XLOOKUP(A35,'Data Cleaning'!A35:A1504, 'Data Cleaning'!D35:D1504)</f>
        <v>Master</v>
      </c>
      <c r="E35" s="3" t="str">
        <f>_xlfn.XLOOKUP(A35,'Data Cleaning'!A35:A1504, 'Data Cleaning'!E35:E1504)</f>
        <v>Single</v>
      </c>
      <c r="F35" t="str">
        <f>_xlfn.XLOOKUP(A35,'Data Cleaning'!A35:A1504, 'Data Cleaning'!F35:F1504)</f>
        <v>None</v>
      </c>
      <c r="G35" s="3" t="str">
        <f>_xlfn.XLOOKUP(A35,'Data Cleaning'!A35:A1504, 'Data Cleaning'!J35:J1504)</f>
        <v>Recently promoted</v>
      </c>
    </row>
    <row r="36" spans="1:7" x14ac:dyDescent="0.25">
      <c r="A36" s="3">
        <v>1792</v>
      </c>
      <c r="B36" s="3" t="str">
        <f>_xlfn.XLOOKUP(A36,'Data Cleaning'!A36:A1505, 'Data Cleaning'!I36:I1505)</f>
        <v>35-44</v>
      </c>
      <c r="C36">
        <f>_xlfn.XLOOKUP(A36,'Data Cleaning'!A36:A1505,'Data Cleaning'!K36:K1505)</f>
        <v>1</v>
      </c>
      <c r="D36" t="str">
        <f>_xlfn.XLOOKUP(A36,'Data Cleaning'!A36:A1505, 'Data Cleaning'!D36:D1505)</f>
        <v>College</v>
      </c>
      <c r="E36" s="3" t="str">
        <f>_xlfn.XLOOKUP(A36,'Data Cleaning'!A36:A1505, 'Data Cleaning'!E36:E1505)</f>
        <v>Divorced</v>
      </c>
      <c r="F36" t="str">
        <f>_xlfn.XLOOKUP(A36,'Data Cleaning'!A36:A1505, 'Data Cleaning'!F36:F1505)</f>
        <v>High</v>
      </c>
      <c r="G36" s="3" t="str">
        <f>_xlfn.XLOOKUP(A36,'Data Cleaning'!A36:A1505, 'Data Cleaning'!J36:J1505)</f>
        <v>Promoted in 1-3 years</v>
      </c>
    </row>
    <row r="37" spans="1:7" x14ac:dyDescent="0.25">
      <c r="A37" s="3">
        <v>433</v>
      </c>
      <c r="B37" s="3" t="str">
        <f>_xlfn.XLOOKUP(A37,'Data Cleaning'!A37:A1506, 'Data Cleaning'!I37:I1506)</f>
        <v>45-54</v>
      </c>
      <c r="C37">
        <f>_xlfn.XLOOKUP(A37,'Data Cleaning'!A37:A1506,'Data Cleaning'!K37:K1506)</f>
        <v>1</v>
      </c>
      <c r="D37" t="str">
        <f>_xlfn.XLOOKUP(A37,'Data Cleaning'!A37:A1506, 'Data Cleaning'!D37:D1506)</f>
        <v>Master</v>
      </c>
      <c r="E37" s="3" t="str">
        <f>_xlfn.XLOOKUP(A37,'Data Cleaning'!A37:A1506, 'Data Cleaning'!E37:E1506)</f>
        <v>Married</v>
      </c>
      <c r="F37" t="str">
        <f>_xlfn.XLOOKUP(A37,'Data Cleaning'!A37:A1506, 'Data Cleaning'!F37:F1506)</f>
        <v>None</v>
      </c>
      <c r="G37" s="3" t="str">
        <f>_xlfn.XLOOKUP(A37,'Data Cleaning'!A37:A1506, 'Data Cleaning'!J37:J1506)</f>
        <v>Long Promotion gap</v>
      </c>
    </row>
    <row r="38" spans="1:7" x14ac:dyDescent="0.25">
      <c r="A38" s="3">
        <v>842</v>
      </c>
      <c r="B38" s="3" t="str">
        <f>_xlfn.XLOOKUP(A38,'Data Cleaning'!A38:A1507, 'Data Cleaning'!I38:I1507)</f>
        <v>55-60</v>
      </c>
      <c r="C38">
        <f>_xlfn.XLOOKUP(A38,'Data Cleaning'!A38:A1507,'Data Cleaning'!K38:K1507)</f>
        <v>1</v>
      </c>
      <c r="D38" t="str">
        <f>_xlfn.XLOOKUP(A38,'Data Cleaning'!A38:A1507, 'Data Cleaning'!D38:D1507)</f>
        <v>Below College</v>
      </c>
      <c r="E38" s="3" t="str">
        <f>_xlfn.XLOOKUP(A38,'Data Cleaning'!A38:A1507, 'Data Cleaning'!E38:E1507)</f>
        <v>Single</v>
      </c>
      <c r="F38" t="str">
        <f>_xlfn.XLOOKUP(A38,'Data Cleaning'!A38:A1507, 'Data Cleaning'!F38:F1507)</f>
        <v>None</v>
      </c>
      <c r="G38" s="3" t="str">
        <f>_xlfn.XLOOKUP(A38,'Data Cleaning'!A38:A1507, 'Data Cleaning'!J38:J1507)</f>
        <v>Long Promotion gap</v>
      </c>
    </row>
    <row r="39" spans="1:7" x14ac:dyDescent="0.25">
      <c r="A39" s="3">
        <v>1534</v>
      </c>
      <c r="B39" s="3" t="str">
        <f>_xlfn.XLOOKUP(A39,'Data Cleaning'!A39:A1508, 'Data Cleaning'!I39:I1508)</f>
        <v>35-44</v>
      </c>
      <c r="C39">
        <f>_xlfn.XLOOKUP(A39,'Data Cleaning'!A39:A1508,'Data Cleaning'!K39:K1508)</f>
        <v>1</v>
      </c>
      <c r="D39" t="str">
        <f>_xlfn.XLOOKUP(A39,'Data Cleaning'!A39:A1508, 'Data Cleaning'!D39:D1508)</f>
        <v>Master</v>
      </c>
      <c r="E39" s="3" t="str">
        <f>_xlfn.XLOOKUP(A39,'Data Cleaning'!A39:A1508, 'Data Cleaning'!E39:E1508)</f>
        <v>Single</v>
      </c>
      <c r="F39" t="str">
        <f>_xlfn.XLOOKUP(A39,'Data Cleaning'!A39:A1508, 'Data Cleaning'!F39:F1508)</f>
        <v>None</v>
      </c>
      <c r="G39" s="3" t="str">
        <f>_xlfn.XLOOKUP(A39,'Data Cleaning'!A39:A1508, 'Data Cleaning'!J39:J1508)</f>
        <v>Promoted in 1-3 years</v>
      </c>
    </row>
    <row r="40" spans="1:7" x14ac:dyDescent="0.25">
      <c r="A40" s="3">
        <v>787</v>
      </c>
      <c r="B40" s="3" t="str">
        <f>_xlfn.XLOOKUP(A40,'Data Cleaning'!A40:A1509, 'Data Cleaning'!I40:I1509)</f>
        <v>55-60</v>
      </c>
      <c r="C40">
        <f>_xlfn.XLOOKUP(A40,'Data Cleaning'!A40:A1509,'Data Cleaning'!K40:K1509)</f>
        <v>1</v>
      </c>
      <c r="D40" t="str">
        <f>_xlfn.XLOOKUP(A40,'Data Cleaning'!A40:A1509, 'Data Cleaning'!D40:D1509)</f>
        <v>Bachelor</v>
      </c>
      <c r="E40" s="3" t="str">
        <f>_xlfn.XLOOKUP(A40,'Data Cleaning'!A40:A1509, 'Data Cleaning'!E40:E1509)</f>
        <v>Married</v>
      </c>
      <c r="F40" t="str">
        <f>_xlfn.XLOOKUP(A40,'Data Cleaning'!A40:A1509, 'Data Cleaning'!F40:F1509)</f>
        <v>Low</v>
      </c>
      <c r="G40" s="3" t="str">
        <f>_xlfn.XLOOKUP(A40,'Data Cleaning'!A40:A1509, 'Data Cleaning'!J40:J1509)</f>
        <v>Promoted in 1-3 years</v>
      </c>
    </row>
    <row r="41" spans="1:7" x14ac:dyDescent="0.25">
      <c r="A41" s="3">
        <v>1127</v>
      </c>
      <c r="B41" s="3" t="str">
        <f>_xlfn.XLOOKUP(A41,'Data Cleaning'!A41:A1510, 'Data Cleaning'!I41:I1510)</f>
        <v>35-44</v>
      </c>
      <c r="C41">
        <f>_xlfn.XLOOKUP(A41,'Data Cleaning'!A41:A1510,'Data Cleaning'!K41:K1510)</f>
        <v>1</v>
      </c>
      <c r="D41" t="str">
        <f>_xlfn.XLOOKUP(A41,'Data Cleaning'!A41:A1510, 'Data Cleaning'!D41:D1510)</f>
        <v>Bachelor</v>
      </c>
      <c r="E41" s="3" t="str">
        <f>_xlfn.XLOOKUP(A41,'Data Cleaning'!A41:A1510, 'Data Cleaning'!E41:E1510)</f>
        <v>Divorced</v>
      </c>
      <c r="F41" t="str">
        <f>_xlfn.XLOOKUP(A41,'Data Cleaning'!A41:A1510, 'Data Cleaning'!F41:F1510)</f>
        <v>High</v>
      </c>
      <c r="G41" s="3" t="str">
        <f>_xlfn.XLOOKUP(A41,'Data Cleaning'!A41:A1510, 'Data Cleaning'!J41:J1510)</f>
        <v>Long Promotion gap</v>
      </c>
    </row>
    <row r="42" spans="1:7" x14ac:dyDescent="0.25">
      <c r="A42" s="3">
        <v>1188</v>
      </c>
      <c r="B42" s="3" t="str">
        <f>_xlfn.XLOOKUP(A42,'Data Cleaning'!A42:A1511, 'Data Cleaning'!I42:I1511)</f>
        <v>35-44</v>
      </c>
      <c r="C42">
        <f>_xlfn.XLOOKUP(A42,'Data Cleaning'!A42:A1511,'Data Cleaning'!K42:K1511)</f>
        <v>1</v>
      </c>
      <c r="D42" t="str">
        <f>_xlfn.XLOOKUP(A42,'Data Cleaning'!A42:A1511, 'Data Cleaning'!D42:D1511)</f>
        <v>Bachelor</v>
      </c>
      <c r="E42" s="3" t="str">
        <f>_xlfn.XLOOKUP(A42,'Data Cleaning'!A42:A1511, 'Data Cleaning'!E42:E1511)</f>
        <v>Single</v>
      </c>
      <c r="F42" t="str">
        <f>_xlfn.XLOOKUP(A42,'Data Cleaning'!A42:A1511, 'Data Cleaning'!F42:F1511)</f>
        <v>None</v>
      </c>
      <c r="G42" s="3" t="str">
        <f>_xlfn.XLOOKUP(A42,'Data Cleaning'!A42:A1511, 'Data Cleaning'!J42:J1511)</f>
        <v>Promoted in 1-3 years</v>
      </c>
    </row>
    <row r="43" spans="1:7" x14ac:dyDescent="0.25">
      <c r="A43" s="3">
        <v>1420</v>
      </c>
      <c r="B43" s="3" t="str">
        <f>_xlfn.XLOOKUP(A43,'Data Cleaning'!A43:A1512, 'Data Cleaning'!I43:I1512)</f>
        <v>45-54</v>
      </c>
      <c r="C43">
        <f>_xlfn.XLOOKUP(A43,'Data Cleaning'!A43:A1512,'Data Cleaning'!K43:K1512)</f>
        <v>1</v>
      </c>
      <c r="D43" t="str">
        <f>_xlfn.XLOOKUP(A43,'Data Cleaning'!A43:A1512, 'Data Cleaning'!D43:D1512)</f>
        <v>College</v>
      </c>
      <c r="E43" s="3" t="str">
        <f>_xlfn.XLOOKUP(A43,'Data Cleaning'!A43:A1512, 'Data Cleaning'!E43:E1512)</f>
        <v>Single</v>
      </c>
      <c r="F43" t="str">
        <f>_xlfn.XLOOKUP(A43,'Data Cleaning'!A43:A1512, 'Data Cleaning'!F43:F1512)</f>
        <v>None</v>
      </c>
      <c r="G43" s="3" t="str">
        <f>_xlfn.XLOOKUP(A43,'Data Cleaning'!A43:A1512, 'Data Cleaning'!J43:J1512)</f>
        <v>Promoted in 1-3 years</v>
      </c>
    </row>
    <row r="44" spans="1:7" x14ac:dyDescent="0.25">
      <c r="A44" s="3">
        <v>2032</v>
      </c>
      <c r="B44" s="3" t="str">
        <f>_xlfn.XLOOKUP(A44,'Data Cleaning'!A44:A1513, 'Data Cleaning'!I44:I1513)</f>
        <v>55-60</v>
      </c>
      <c r="C44">
        <f>_xlfn.XLOOKUP(A44,'Data Cleaning'!A44:A1513,'Data Cleaning'!K44:K1513)</f>
        <v>1</v>
      </c>
      <c r="D44" t="str">
        <f>_xlfn.XLOOKUP(A44,'Data Cleaning'!A44:A1513, 'Data Cleaning'!D44:D1513)</f>
        <v>College</v>
      </c>
      <c r="E44" s="3" t="str">
        <f>_xlfn.XLOOKUP(A44,'Data Cleaning'!A44:A1513, 'Data Cleaning'!E44:E1513)</f>
        <v>Married</v>
      </c>
      <c r="F44" t="str">
        <f>_xlfn.XLOOKUP(A44,'Data Cleaning'!A44:A1513, 'Data Cleaning'!F44:F1513)</f>
        <v>Low</v>
      </c>
      <c r="G44" s="3" t="str">
        <f>_xlfn.XLOOKUP(A44,'Data Cleaning'!A44:A1513, 'Data Cleaning'!J44:J1513)</f>
        <v>Long Promotion gap</v>
      </c>
    </row>
    <row r="45" spans="1:7" x14ac:dyDescent="0.25">
      <c r="A45" s="3">
        <v>1869</v>
      </c>
      <c r="B45" s="3" t="str">
        <f>_xlfn.XLOOKUP(A45,'Data Cleaning'!A45:A1514, 'Data Cleaning'!I45:I1514)</f>
        <v>45-54</v>
      </c>
      <c r="C45">
        <f>_xlfn.XLOOKUP(A45,'Data Cleaning'!A45:A1514,'Data Cleaning'!K45:K1514)</f>
        <v>1</v>
      </c>
      <c r="D45" t="str">
        <f>_xlfn.XLOOKUP(A45,'Data Cleaning'!A45:A1514, 'Data Cleaning'!D45:D1514)</f>
        <v>Bachelor</v>
      </c>
      <c r="E45" s="3" t="str">
        <f>_xlfn.XLOOKUP(A45,'Data Cleaning'!A45:A1514, 'Data Cleaning'!E45:E1514)</f>
        <v>Married</v>
      </c>
      <c r="F45" t="str">
        <f>_xlfn.XLOOKUP(A45,'Data Cleaning'!A45:A1514, 'Data Cleaning'!F45:F1514)</f>
        <v>High</v>
      </c>
      <c r="G45" s="3" t="str">
        <f>_xlfn.XLOOKUP(A45,'Data Cleaning'!A45:A1514, 'Data Cleaning'!J45:J1514)</f>
        <v>Recently promoted</v>
      </c>
    </row>
    <row r="46" spans="1:7" x14ac:dyDescent="0.25">
      <c r="A46" s="3">
        <v>315</v>
      </c>
      <c r="B46" s="3" t="str">
        <f>_xlfn.XLOOKUP(A46,'Data Cleaning'!A46:A1515, 'Data Cleaning'!I46:I1515)</f>
        <v>25-34</v>
      </c>
      <c r="C46">
        <f>_xlfn.XLOOKUP(A46,'Data Cleaning'!A46:A1515,'Data Cleaning'!K46:K1515)</f>
        <v>1</v>
      </c>
      <c r="D46" t="str">
        <f>_xlfn.XLOOKUP(A46,'Data Cleaning'!A46:A1515, 'Data Cleaning'!D46:D1515)</f>
        <v>Below College</v>
      </c>
      <c r="E46" s="3" t="str">
        <f>_xlfn.XLOOKUP(A46,'Data Cleaning'!A46:A1515, 'Data Cleaning'!E46:E1515)</f>
        <v>Single</v>
      </c>
      <c r="F46" t="str">
        <f>_xlfn.XLOOKUP(A46,'Data Cleaning'!A46:A1515, 'Data Cleaning'!F46:F1515)</f>
        <v>None</v>
      </c>
      <c r="G46" s="3" t="str">
        <f>_xlfn.XLOOKUP(A46,'Data Cleaning'!A46:A1515, 'Data Cleaning'!J46:J1515)</f>
        <v>Recently promoted</v>
      </c>
    </row>
    <row r="47" spans="1:7" x14ac:dyDescent="0.25">
      <c r="A47" s="3">
        <v>142</v>
      </c>
      <c r="B47" s="3" t="str">
        <f>_xlfn.XLOOKUP(A47,'Data Cleaning'!A47:A1516, 'Data Cleaning'!I47:I1516)</f>
        <v>25-34</v>
      </c>
      <c r="C47">
        <f>_xlfn.XLOOKUP(A47,'Data Cleaning'!A47:A1516,'Data Cleaning'!K47:K1516)</f>
        <v>1</v>
      </c>
      <c r="D47" t="str">
        <f>_xlfn.XLOOKUP(A47,'Data Cleaning'!A47:A1516, 'Data Cleaning'!D47:D1516)</f>
        <v>Bachelor</v>
      </c>
      <c r="E47" s="3" t="str">
        <f>_xlfn.XLOOKUP(A47,'Data Cleaning'!A47:A1516, 'Data Cleaning'!E47:E1516)</f>
        <v>Single</v>
      </c>
      <c r="F47" t="str">
        <f>_xlfn.XLOOKUP(A47,'Data Cleaning'!A47:A1516, 'Data Cleaning'!F47:F1516)</f>
        <v>None</v>
      </c>
      <c r="G47" s="3" t="str">
        <f>_xlfn.XLOOKUP(A47,'Data Cleaning'!A47:A1516, 'Data Cleaning'!J47:J1516)</f>
        <v>Recently promoted</v>
      </c>
    </row>
    <row r="48" spans="1:7" x14ac:dyDescent="0.25">
      <c r="A48" s="3">
        <v>796</v>
      </c>
      <c r="B48" s="3" t="str">
        <f>_xlfn.XLOOKUP(A48,'Data Cleaning'!A48:A1517, 'Data Cleaning'!I48:I1517)</f>
        <v>25-34</v>
      </c>
      <c r="C48">
        <f>_xlfn.XLOOKUP(A48,'Data Cleaning'!A48:A1517,'Data Cleaning'!K48:K1517)</f>
        <v>1</v>
      </c>
      <c r="D48" t="str">
        <f>_xlfn.XLOOKUP(A48,'Data Cleaning'!A48:A1517, 'Data Cleaning'!D48:D1517)</f>
        <v>Bachelor</v>
      </c>
      <c r="E48" s="3" t="str">
        <f>_xlfn.XLOOKUP(A48,'Data Cleaning'!A48:A1517, 'Data Cleaning'!E48:E1517)</f>
        <v>Single</v>
      </c>
      <c r="F48" t="str">
        <f>_xlfn.XLOOKUP(A48,'Data Cleaning'!A48:A1517, 'Data Cleaning'!F48:F1517)</f>
        <v>None</v>
      </c>
      <c r="G48" s="3" t="str">
        <f>_xlfn.XLOOKUP(A48,'Data Cleaning'!A48:A1517, 'Data Cleaning'!J48:J1517)</f>
        <v>Promoted in 1-3 years</v>
      </c>
    </row>
    <row r="49" spans="1:7" x14ac:dyDescent="0.25">
      <c r="A49" s="3">
        <v>1106</v>
      </c>
      <c r="B49" s="3" t="str">
        <f>_xlfn.XLOOKUP(A49,'Data Cleaning'!A49:A1518, 'Data Cleaning'!I49:I1518)</f>
        <v>25-34</v>
      </c>
      <c r="C49">
        <f>_xlfn.XLOOKUP(A49,'Data Cleaning'!A49:A1518,'Data Cleaning'!K49:K1518)</f>
        <v>1</v>
      </c>
      <c r="D49" t="str">
        <f>_xlfn.XLOOKUP(A49,'Data Cleaning'!A49:A1518, 'Data Cleaning'!D49:D1518)</f>
        <v>Below College</v>
      </c>
      <c r="E49" s="3" t="str">
        <f>_xlfn.XLOOKUP(A49,'Data Cleaning'!A49:A1518, 'Data Cleaning'!E49:E1518)</f>
        <v>Married</v>
      </c>
      <c r="F49" t="str">
        <f>_xlfn.XLOOKUP(A49,'Data Cleaning'!A49:A1518, 'Data Cleaning'!F49:F1518)</f>
        <v>Low</v>
      </c>
      <c r="G49" s="3" t="str">
        <f>_xlfn.XLOOKUP(A49,'Data Cleaning'!A49:A1518, 'Data Cleaning'!J49:J1518)</f>
        <v>Long Promotion gap</v>
      </c>
    </row>
    <row r="50" spans="1:7" x14ac:dyDescent="0.25">
      <c r="A50" s="3">
        <v>291</v>
      </c>
      <c r="B50" s="3" t="str">
        <f>_xlfn.XLOOKUP(A50,'Data Cleaning'!A50:A1519, 'Data Cleaning'!I50:I1519)</f>
        <v>25-34</v>
      </c>
      <c r="C50">
        <f>_xlfn.XLOOKUP(A50,'Data Cleaning'!A50:A1519,'Data Cleaning'!K50:K1519)</f>
        <v>1</v>
      </c>
      <c r="D50" t="str">
        <f>_xlfn.XLOOKUP(A50,'Data Cleaning'!A50:A1519, 'Data Cleaning'!D50:D1519)</f>
        <v>Master</v>
      </c>
      <c r="E50" s="3" t="str">
        <f>_xlfn.XLOOKUP(A50,'Data Cleaning'!A50:A1519, 'Data Cleaning'!E50:E1519)</f>
        <v>Married</v>
      </c>
      <c r="F50" t="str">
        <f>_xlfn.XLOOKUP(A50,'Data Cleaning'!A50:A1519, 'Data Cleaning'!F50:F1519)</f>
        <v>None</v>
      </c>
      <c r="G50" s="3" t="str">
        <f>_xlfn.XLOOKUP(A50,'Data Cleaning'!A50:A1519, 'Data Cleaning'!J50:J1519)</f>
        <v>Long Promotion gap</v>
      </c>
    </row>
    <row r="51" spans="1:7" x14ac:dyDescent="0.25">
      <c r="A51" s="3">
        <v>492</v>
      </c>
      <c r="B51" s="3" t="str">
        <f>_xlfn.XLOOKUP(A51,'Data Cleaning'!A51:A1520, 'Data Cleaning'!I51:I1520)</f>
        <v>35-44</v>
      </c>
      <c r="C51">
        <f>_xlfn.XLOOKUP(A51,'Data Cleaning'!A51:A1520,'Data Cleaning'!K51:K1520)</f>
        <v>1</v>
      </c>
      <c r="D51" t="str">
        <f>_xlfn.XLOOKUP(A51,'Data Cleaning'!A51:A1520, 'Data Cleaning'!D51:D1520)</f>
        <v>College</v>
      </c>
      <c r="E51" s="3" t="str">
        <f>_xlfn.XLOOKUP(A51,'Data Cleaning'!A51:A1520, 'Data Cleaning'!E51:E1520)</f>
        <v>Married</v>
      </c>
      <c r="F51" t="str">
        <f>_xlfn.XLOOKUP(A51,'Data Cleaning'!A51:A1520, 'Data Cleaning'!F51:F1520)</f>
        <v>Mid</v>
      </c>
      <c r="G51" s="3" t="str">
        <f>_xlfn.XLOOKUP(A51,'Data Cleaning'!A51:A1520, 'Data Cleaning'!J51:J1520)</f>
        <v>Promoted in 1-3 years</v>
      </c>
    </row>
    <row r="52" spans="1:7" x14ac:dyDescent="0.25">
      <c r="A52" s="3">
        <v>1939</v>
      </c>
      <c r="B52" s="3" t="str">
        <f>_xlfn.XLOOKUP(A52,'Data Cleaning'!A52:A1521, 'Data Cleaning'!I52:I1521)</f>
        <v>25-34</v>
      </c>
      <c r="C52">
        <f>_xlfn.XLOOKUP(A52,'Data Cleaning'!A52:A1521,'Data Cleaning'!K52:K1521)</f>
        <v>1</v>
      </c>
      <c r="D52" t="str">
        <f>_xlfn.XLOOKUP(A52,'Data Cleaning'!A52:A1521, 'Data Cleaning'!D52:D1521)</f>
        <v>College</v>
      </c>
      <c r="E52" s="3" t="str">
        <f>_xlfn.XLOOKUP(A52,'Data Cleaning'!A52:A1521, 'Data Cleaning'!E52:E1521)</f>
        <v>Single</v>
      </c>
      <c r="F52" t="str">
        <f>_xlfn.XLOOKUP(A52,'Data Cleaning'!A52:A1521, 'Data Cleaning'!F52:F1521)</f>
        <v>None</v>
      </c>
      <c r="G52" s="3" t="str">
        <f>_xlfn.XLOOKUP(A52,'Data Cleaning'!A52:A1521, 'Data Cleaning'!J52:J1521)</f>
        <v>Recently promoted</v>
      </c>
    </row>
    <row r="53" spans="1:7" x14ac:dyDescent="0.25">
      <c r="A53" s="3">
        <v>510</v>
      </c>
      <c r="B53" s="3" t="str">
        <f>_xlfn.XLOOKUP(A53,'Data Cleaning'!A53:A1522, 'Data Cleaning'!I53:I1522)</f>
        <v>25-34</v>
      </c>
      <c r="C53">
        <f>_xlfn.XLOOKUP(A53,'Data Cleaning'!A53:A1522,'Data Cleaning'!K53:K1522)</f>
        <v>1</v>
      </c>
      <c r="D53" t="str">
        <f>_xlfn.XLOOKUP(A53,'Data Cleaning'!A53:A1522, 'Data Cleaning'!D53:D1522)</f>
        <v>Below College</v>
      </c>
      <c r="E53" s="3" t="str">
        <f>_xlfn.XLOOKUP(A53,'Data Cleaning'!A53:A1522, 'Data Cleaning'!E53:E1522)</f>
        <v>Single</v>
      </c>
      <c r="F53" t="str">
        <f>_xlfn.XLOOKUP(A53,'Data Cleaning'!A53:A1522, 'Data Cleaning'!F53:F1522)</f>
        <v>None</v>
      </c>
      <c r="G53" s="3" t="str">
        <f>_xlfn.XLOOKUP(A53,'Data Cleaning'!A53:A1522, 'Data Cleaning'!J53:J1522)</f>
        <v>Recently promoted</v>
      </c>
    </row>
    <row r="54" spans="1:7" x14ac:dyDescent="0.25">
      <c r="A54" s="3">
        <v>1747</v>
      </c>
      <c r="B54" s="3" t="str">
        <f>_xlfn.XLOOKUP(A54,'Data Cleaning'!A54:A1523, 'Data Cleaning'!I54:I1523)</f>
        <v>25-34</v>
      </c>
      <c r="C54">
        <f>_xlfn.XLOOKUP(A54,'Data Cleaning'!A54:A1523,'Data Cleaning'!K54:K1523)</f>
        <v>1</v>
      </c>
      <c r="D54" t="str">
        <f>_xlfn.XLOOKUP(A54,'Data Cleaning'!A54:A1523, 'Data Cleaning'!D54:D1523)</f>
        <v>Bachelor</v>
      </c>
      <c r="E54" s="3" t="str">
        <f>_xlfn.XLOOKUP(A54,'Data Cleaning'!A54:A1523, 'Data Cleaning'!E54:E1523)</f>
        <v>Divorced</v>
      </c>
      <c r="F54" t="str">
        <f>_xlfn.XLOOKUP(A54,'Data Cleaning'!A54:A1523, 'Data Cleaning'!F54:F1523)</f>
        <v>Low</v>
      </c>
      <c r="G54" s="3" t="str">
        <f>_xlfn.XLOOKUP(A54,'Data Cleaning'!A54:A1523, 'Data Cleaning'!J54:J1523)</f>
        <v>Promoted in 1-3 years</v>
      </c>
    </row>
    <row r="55" spans="1:7" x14ac:dyDescent="0.25">
      <c r="A55" s="3">
        <v>1081</v>
      </c>
      <c r="B55" s="3" t="str">
        <f>_xlfn.XLOOKUP(A55,'Data Cleaning'!A55:A1524, 'Data Cleaning'!I55:I1524)</f>
        <v>45-54</v>
      </c>
      <c r="C55">
        <f>_xlfn.XLOOKUP(A55,'Data Cleaning'!A55:A1524,'Data Cleaning'!K55:K1524)</f>
        <v>1</v>
      </c>
      <c r="D55" t="str">
        <f>_xlfn.XLOOKUP(A55,'Data Cleaning'!A55:A1524, 'Data Cleaning'!D55:D1524)</f>
        <v>Master</v>
      </c>
      <c r="E55" s="3" t="str">
        <f>_xlfn.XLOOKUP(A55,'Data Cleaning'!A55:A1524, 'Data Cleaning'!E55:E1524)</f>
        <v>Married</v>
      </c>
      <c r="F55" t="str">
        <f>_xlfn.XLOOKUP(A55,'Data Cleaning'!A55:A1524, 'Data Cleaning'!F55:F1524)</f>
        <v>High</v>
      </c>
      <c r="G55" s="3" t="str">
        <f>_xlfn.XLOOKUP(A55,'Data Cleaning'!A55:A1524, 'Data Cleaning'!J55:J1524)</f>
        <v>Promoted in 1-3 years</v>
      </c>
    </row>
    <row r="56" spans="1:7" x14ac:dyDescent="0.25">
      <c r="A56" s="3">
        <v>1038</v>
      </c>
      <c r="B56" s="3" t="str">
        <f>_xlfn.XLOOKUP(A56,'Data Cleaning'!A56:A1525, 'Data Cleaning'!I56:I1525)</f>
        <v>45-54</v>
      </c>
      <c r="C56">
        <f>_xlfn.XLOOKUP(A56,'Data Cleaning'!A56:A1525,'Data Cleaning'!K56:K1525)</f>
        <v>1</v>
      </c>
      <c r="D56" t="str">
        <f>_xlfn.XLOOKUP(A56,'Data Cleaning'!A56:A1525, 'Data Cleaning'!D56:D1525)</f>
        <v>Below College</v>
      </c>
      <c r="E56" s="3" t="str">
        <f>_xlfn.XLOOKUP(A56,'Data Cleaning'!A56:A1525, 'Data Cleaning'!E56:E1525)</f>
        <v>Married</v>
      </c>
      <c r="F56" t="str">
        <f>_xlfn.XLOOKUP(A56,'Data Cleaning'!A56:A1525, 'Data Cleaning'!F56:F1525)</f>
        <v>Low</v>
      </c>
      <c r="G56" s="3" t="str">
        <f>_xlfn.XLOOKUP(A56,'Data Cleaning'!A56:A1525, 'Data Cleaning'!J56:J1525)</f>
        <v>Long Promotion gap</v>
      </c>
    </row>
    <row r="57" spans="1:7" x14ac:dyDescent="0.25">
      <c r="A57" s="3">
        <v>1277</v>
      </c>
      <c r="B57" s="3" t="str">
        <f>_xlfn.XLOOKUP(A57,'Data Cleaning'!A57:A1526, 'Data Cleaning'!I57:I1526)</f>
        <v>45-54</v>
      </c>
      <c r="C57">
        <f>_xlfn.XLOOKUP(A57,'Data Cleaning'!A57:A1526,'Data Cleaning'!K57:K1526)</f>
        <v>1</v>
      </c>
      <c r="D57" t="str">
        <f>_xlfn.XLOOKUP(A57,'Data Cleaning'!A57:A1526, 'Data Cleaning'!D57:D1526)</f>
        <v>Bachelor</v>
      </c>
      <c r="E57" s="3" t="str">
        <f>_xlfn.XLOOKUP(A57,'Data Cleaning'!A57:A1526, 'Data Cleaning'!E57:E1526)</f>
        <v>Single</v>
      </c>
      <c r="F57" t="str">
        <f>_xlfn.XLOOKUP(A57,'Data Cleaning'!A57:A1526, 'Data Cleaning'!F57:F1526)</f>
        <v>None</v>
      </c>
      <c r="G57" s="3" t="str">
        <f>_xlfn.XLOOKUP(A57,'Data Cleaning'!A57:A1526, 'Data Cleaning'!J57:J1526)</f>
        <v>Promoted in 1-3 years</v>
      </c>
    </row>
    <row r="58" spans="1:7" x14ac:dyDescent="0.25">
      <c r="A58" s="3">
        <v>667</v>
      </c>
      <c r="B58" s="3" t="str">
        <f>_xlfn.XLOOKUP(A58,'Data Cleaning'!A58:A1527, 'Data Cleaning'!I58:I1527)</f>
        <v>25-34</v>
      </c>
      <c r="C58">
        <f>_xlfn.XLOOKUP(A58,'Data Cleaning'!A58:A1527,'Data Cleaning'!K58:K1527)</f>
        <v>1</v>
      </c>
      <c r="D58" t="str">
        <f>_xlfn.XLOOKUP(A58,'Data Cleaning'!A58:A1527, 'Data Cleaning'!D58:D1527)</f>
        <v>Below College</v>
      </c>
      <c r="E58" s="3" t="str">
        <f>_xlfn.XLOOKUP(A58,'Data Cleaning'!A58:A1527, 'Data Cleaning'!E58:E1527)</f>
        <v>Divorced</v>
      </c>
      <c r="F58" t="str">
        <f>_xlfn.XLOOKUP(A58,'Data Cleaning'!A58:A1527, 'Data Cleaning'!F58:F1527)</f>
        <v>Low</v>
      </c>
      <c r="G58" s="3" t="str">
        <f>_xlfn.XLOOKUP(A58,'Data Cleaning'!A58:A1527, 'Data Cleaning'!J58:J1527)</f>
        <v>Recently promoted</v>
      </c>
    </row>
    <row r="59" spans="1:7" x14ac:dyDescent="0.25">
      <c r="A59" s="3">
        <v>454</v>
      </c>
      <c r="B59" s="3" t="str">
        <f>_xlfn.XLOOKUP(A59,'Data Cleaning'!A59:A1528, 'Data Cleaning'!I59:I1528)</f>
        <v>25-34</v>
      </c>
      <c r="C59">
        <f>_xlfn.XLOOKUP(A59,'Data Cleaning'!A59:A1528,'Data Cleaning'!K59:K1528)</f>
        <v>1</v>
      </c>
      <c r="D59" t="str">
        <f>_xlfn.XLOOKUP(A59,'Data Cleaning'!A59:A1528, 'Data Cleaning'!D59:D1528)</f>
        <v>Master</v>
      </c>
      <c r="E59" s="3" t="str">
        <f>_xlfn.XLOOKUP(A59,'Data Cleaning'!A59:A1528, 'Data Cleaning'!E59:E1528)</f>
        <v>Married</v>
      </c>
      <c r="F59" t="str">
        <f>_xlfn.XLOOKUP(A59,'Data Cleaning'!A59:A1528, 'Data Cleaning'!F59:F1528)</f>
        <v>None</v>
      </c>
      <c r="G59" s="3" t="str">
        <f>_xlfn.XLOOKUP(A59,'Data Cleaning'!A59:A1528, 'Data Cleaning'!J59:J1528)</f>
        <v>Recently promoted</v>
      </c>
    </row>
    <row r="60" spans="1:7" x14ac:dyDescent="0.25">
      <c r="A60" s="3">
        <v>1907</v>
      </c>
      <c r="B60" s="3" t="str">
        <f>_xlfn.XLOOKUP(A60,'Data Cleaning'!A60:A1529, 'Data Cleaning'!I60:I1529)</f>
        <v>55-60</v>
      </c>
      <c r="C60">
        <f>_xlfn.XLOOKUP(A60,'Data Cleaning'!A60:A1529,'Data Cleaning'!K60:K1529)</f>
        <v>1</v>
      </c>
      <c r="D60" t="str">
        <f>_xlfn.XLOOKUP(A60,'Data Cleaning'!A60:A1529, 'Data Cleaning'!D60:D1529)</f>
        <v>College</v>
      </c>
      <c r="E60" s="3" t="str">
        <f>_xlfn.XLOOKUP(A60,'Data Cleaning'!A60:A1529, 'Data Cleaning'!E60:E1529)</f>
        <v>Single</v>
      </c>
      <c r="F60" t="str">
        <f>_xlfn.XLOOKUP(A60,'Data Cleaning'!A60:A1529, 'Data Cleaning'!F60:F1529)</f>
        <v>None</v>
      </c>
      <c r="G60" s="3" t="str">
        <f>_xlfn.XLOOKUP(A60,'Data Cleaning'!A60:A1529, 'Data Cleaning'!J60:J1529)</f>
        <v>Promoted in 1-3 years</v>
      </c>
    </row>
    <row r="61" spans="1:7" x14ac:dyDescent="0.25">
      <c r="A61" s="3">
        <v>248</v>
      </c>
      <c r="B61" s="3" t="str">
        <f>_xlfn.XLOOKUP(A61,'Data Cleaning'!A61:A1530, 'Data Cleaning'!I61:I1530)</f>
        <v>35-44</v>
      </c>
      <c r="C61">
        <f>_xlfn.XLOOKUP(A61,'Data Cleaning'!A61:A1530,'Data Cleaning'!K61:K1530)</f>
        <v>1</v>
      </c>
      <c r="D61" t="str">
        <f>_xlfn.XLOOKUP(A61,'Data Cleaning'!A61:A1530, 'Data Cleaning'!D61:D1530)</f>
        <v>College</v>
      </c>
      <c r="E61" s="3" t="str">
        <f>_xlfn.XLOOKUP(A61,'Data Cleaning'!A61:A1530, 'Data Cleaning'!E61:E1530)</f>
        <v>Single</v>
      </c>
      <c r="F61" t="str">
        <f>_xlfn.XLOOKUP(A61,'Data Cleaning'!A61:A1530, 'Data Cleaning'!F61:F1530)</f>
        <v>None</v>
      </c>
      <c r="G61" s="3" t="str">
        <f>_xlfn.XLOOKUP(A61,'Data Cleaning'!A61:A1530, 'Data Cleaning'!J61:J1530)</f>
        <v>Recently promoted</v>
      </c>
    </row>
    <row r="62" spans="1:7" x14ac:dyDescent="0.25">
      <c r="A62" s="3">
        <v>328</v>
      </c>
      <c r="B62" s="3" t="str">
        <f>_xlfn.XLOOKUP(A62,'Data Cleaning'!A62:A1531, 'Data Cleaning'!I62:I1531)</f>
        <v>25-34</v>
      </c>
      <c r="C62">
        <f>_xlfn.XLOOKUP(A62,'Data Cleaning'!A62:A1531,'Data Cleaning'!K62:K1531)</f>
        <v>1</v>
      </c>
      <c r="D62" t="str">
        <f>_xlfn.XLOOKUP(A62,'Data Cleaning'!A62:A1531, 'Data Cleaning'!D62:D1531)</f>
        <v>College</v>
      </c>
      <c r="E62" s="3" t="str">
        <f>_xlfn.XLOOKUP(A62,'Data Cleaning'!A62:A1531, 'Data Cleaning'!E62:E1531)</f>
        <v>Married</v>
      </c>
      <c r="F62" t="str">
        <f>_xlfn.XLOOKUP(A62,'Data Cleaning'!A62:A1531, 'Data Cleaning'!F62:F1531)</f>
        <v>None</v>
      </c>
      <c r="G62" s="3" t="str">
        <f>_xlfn.XLOOKUP(A62,'Data Cleaning'!A62:A1531, 'Data Cleaning'!J62:J1531)</f>
        <v>Promoted in 1-3 years</v>
      </c>
    </row>
    <row r="63" spans="1:7" x14ac:dyDescent="0.25">
      <c r="A63" s="3">
        <v>31</v>
      </c>
      <c r="B63" s="3" t="str">
        <f>_xlfn.XLOOKUP(A63,'Data Cleaning'!A63:A1532, 'Data Cleaning'!I63:I1532)</f>
        <v>25-34</v>
      </c>
      <c r="C63">
        <f>_xlfn.XLOOKUP(A63,'Data Cleaning'!A63:A1532,'Data Cleaning'!K63:K1532)</f>
        <v>1</v>
      </c>
      <c r="D63" t="str">
        <f>_xlfn.XLOOKUP(A63,'Data Cleaning'!A63:A1532, 'Data Cleaning'!D63:D1532)</f>
        <v>Below College</v>
      </c>
      <c r="E63" s="3" t="str">
        <f>_xlfn.XLOOKUP(A63,'Data Cleaning'!A63:A1532, 'Data Cleaning'!E63:E1532)</f>
        <v>Single</v>
      </c>
      <c r="F63" t="str">
        <f>_xlfn.XLOOKUP(A63,'Data Cleaning'!A63:A1532, 'Data Cleaning'!F63:F1532)</f>
        <v>None</v>
      </c>
      <c r="G63" s="3" t="str">
        <f>_xlfn.XLOOKUP(A63,'Data Cleaning'!A63:A1532, 'Data Cleaning'!J63:J1532)</f>
        <v>Promoted in 1-3 years</v>
      </c>
    </row>
    <row r="64" spans="1:7" x14ac:dyDescent="0.25">
      <c r="A64" s="3">
        <v>631</v>
      </c>
      <c r="B64" s="3" t="str">
        <f>_xlfn.XLOOKUP(A64,'Data Cleaning'!A64:A1533, 'Data Cleaning'!I64:I1533)</f>
        <v>25-34</v>
      </c>
      <c r="C64">
        <f>_xlfn.XLOOKUP(A64,'Data Cleaning'!A64:A1533,'Data Cleaning'!K64:K1533)</f>
        <v>1</v>
      </c>
      <c r="D64" t="str">
        <f>_xlfn.XLOOKUP(A64,'Data Cleaning'!A64:A1533, 'Data Cleaning'!D64:D1533)</f>
        <v>Master</v>
      </c>
      <c r="E64" s="3" t="str">
        <f>_xlfn.XLOOKUP(A64,'Data Cleaning'!A64:A1533, 'Data Cleaning'!E64:E1533)</f>
        <v>Married</v>
      </c>
      <c r="F64" t="str">
        <f>_xlfn.XLOOKUP(A64,'Data Cleaning'!A64:A1533, 'Data Cleaning'!F64:F1533)</f>
        <v>None</v>
      </c>
      <c r="G64" s="3" t="str">
        <f>_xlfn.XLOOKUP(A64,'Data Cleaning'!A64:A1533, 'Data Cleaning'!J64:J1533)</f>
        <v>Promoted in 1-3 years</v>
      </c>
    </row>
    <row r="65" spans="1:7" x14ac:dyDescent="0.25">
      <c r="A65" s="3">
        <v>1691</v>
      </c>
      <c r="B65" s="3" t="str">
        <f>_xlfn.XLOOKUP(A65,'Data Cleaning'!A65:A1534, 'Data Cleaning'!I65:I1534)</f>
        <v>45-54</v>
      </c>
      <c r="C65">
        <f>_xlfn.XLOOKUP(A65,'Data Cleaning'!A65:A1534,'Data Cleaning'!K65:K1534)</f>
        <v>1</v>
      </c>
      <c r="D65" t="str">
        <f>_xlfn.XLOOKUP(A65,'Data Cleaning'!A65:A1534, 'Data Cleaning'!D65:D1534)</f>
        <v>College</v>
      </c>
      <c r="E65" s="3" t="str">
        <f>_xlfn.XLOOKUP(A65,'Data Cleaning'!A65:A1534, 'Data Cleaning'!E65:E1534)</f>
        <v>Married</v>
      </c>
      <c r="F65" t="str">
        <f>_xlfn.XLOOKUP(A65,'Data Cleaning'!A65:A1534, 'Data Cleaning'!F65:F1534)</f>
        <v>Mid</v>
      </c>
      <c r="G65" s="3" t="str">
        <f>_xlfn.XLOOKUP(A65,'Data Cleaning'!A65:A1534, 'Data Cleaning'!J65:J1534)</f>
        <v>Long Promotion gap</v>
      </c>
    </row>
    <row r="66" spans="1:7" x14ac:dyDescent="0.25">
      <c r="A66" s="3">
        <v>1100</v>
      </c>
      <c r="B66" s="3" t="str">
        <f>_xlfn.XLOOKUP(A66,'Data Cleaning'!A66:A1535, 'Data Cleaning'!I66:I1535)</f>
        <v>35-44</v>
      </c>
      <c r="C66">
        <f>_xlfn.XLOOKUP(A66,'Data Cleaning'!A66:A1535,'Data Cleaning'!K66:K1535)</f>
        <v>1</v>
      </c>
      <c r="D66" t="str">
        <f>_xlfn.XLOOKUP(A66,'Data Cleaning'!A66:A1535, 'Data Cleaning'!D66:D1535)</f>
        <v>Bachelor</v>
      </c>
      <c r="E66" s="3" t="str">
        <f>_xlfn.XLOOKUP(A66,'Data Cleaning'!A66:A1535, 'Data Cleaning'!E66:E1535)</f>
        <v>Single</v>
      </c>
      <c r="F66" t="str">
        <f>_xlfn.XLOOKUP(A66,'Data Cleaning'!A66:A1535, 'Data Cleaning'!F66:F1535)</f>
        <v>None</v>
      </c>
      <c r="G66" s="3" t="str">
        <f>_xlfn.XLOOKUP(A66,'Data Cleaning'!A66:A1535, 'Data Cleaning'!J66:J1535)</f>
        <v>Long Promotion gap</v>
      </c>
    </row>
    <row r="67" spans="1:7" x14ac:dyDescent="0.25">
      <c r="A67" s="3">
        <v>1797</v>
      </c>
      <c r="B67" s="3" t="str">
        <f>_xlfn.XLOOKUP(A67,'Data Cleaning'!A67:A1536, 'Data Cleaning'!I67:I1536)</f>
        <v>35-44</v>
      </c>
      <c r="C67">
        <f>_xlfn.XLOOKUP(A67,'Data Cleaning'!A67:A1536,'Data Cleaning'!K67:K1536)</f>
        <v>1</v>
      </c>
      <c r="D67" t="str">
        <f>_xlfn.XLOOKUP(A67,'Data Cleaning'!A67:A1536, 'Data Cleaning'!D67:D1536)</f>
        <v>Bachelor</v>
      </c>
      <c r="E67" s="3" t="str">
        <f>_xlfn.XLOOKUP(A67,'Data Cleaning'!A67:A1536, 'Data Cleaning'!E67:E1536)</f>
        <v>Single</v>
      </c>
      <c r="F67" t="str">
        <f>_xlfn.XLOOKUP(A67,'Data Cleaning'!A67:A1536, 'Data Cleaning'!F67:F1536)</f>
        <v>None</v>
      </c>
      <c r="G67" s="3" t="str">
        <f>_xlfn.XLOOKUP(A67,'Data Cleaning'!A67:A1536, 'Data Cleaning'!J67:J1536)</f>
        <v>Long Promotion gap</v>
      </c>
    </row>
    <row r="68" spans="1:7" x14ac:dyDescent="0.25">
      <c r="A68" s="3">
        <v>582</v>
      </c>
      <c r="B68" s="3" t="str">
        <f>_xlfn.XLOOKUP(A68,'Data Cleaning'!A68:A1537, 'Data Cleaning'!I68:I1537)</f>
        <v>25-34</v>
      </c>
      <c r="C68">
        <f>_xlfn.XLOOKUP(A68,'Data Cleaning'!A68:A1537,'Data Cleaning'!K68:K1537)</f>
        <v>1</v>
      </c>
      <c r="D68" t="str">
        <f>_xlfn.XLOOKUP(A68,'Data Cleaning'!A68:A1537, 'Data Cleaning'!D68:D1537)</f>
        <v>Below College</v>
      </c>
      <c r="E68" s="3" t="str">
        <f>_xlfn.XLOOKUP(A68,'Data Cleaning'!A68:A1537, 'Data Cleaning'!E68:E1537)</f>
        <v>Married</v>
      </c>
      <c r="F68" t="str">
        <f>_xlfn.XLOOKUP(A68,'Data Cleaning'!A68:A1537, 'Data Cleaning'!F68:F1537)</f>
        <v>None</v>
      </c>
      <c r="G68" s="3" t="str">
        <f>_xlfn.XLOOKUP(A68,'Data Cleaning'!A68:A1537, 'Data Cleaning'!J68:J1537)</f>
        <v>Promoted in 1-3 years</v>
      </c>
    </row>
    <row r="69" spans="1:7" x14ac:dyDescent="0.25">
      <c r="A69" s="3">
        <v>1967</v>
      </c>
      <c r="B69" s="3" t="str">
        <f>_xlfn.XLOOKUP(A69,'Data Cleaning'!A69:A1538, 'Data Cleaning'!I69:I1538)</f>
        <v>25-34</v>
      </c>
      <c r="C69">
        <f>_xlfn.XLOOKUP(A69,'Data Cleaning'!A69:A1538,'Data Cleaning'!K69:K1538)</f>
        <v>1</v>
      </c>
      <c r="D69" t="str">
        <f>_xlfn.XLOOKUP(A69,'Data Cleaning'!A69:A1538, 'Data Cleaning'!D69:D1538)</f>
        <v>Master</v>
      </c>
      <c r="E69" s="3" t="str">
        <f>_xlfn.XLOOKUP(A69,'Data Cleaning'!A69:A1538, 'Data Cleaning'!E69:E1538)</f>
        <v>Married</v>
      </c>
      <c r="F69" t="str">
        <f>_xlfn.XLOOKUP(A69,'Data Cleaning'!A69:A1538, 'Data Cleaning'!F69:F1538)</f>
        <v>None</v>
      </c>
      <c r="G69" s="3" t="str">
        <f>_xlfn.XLOOKUP(A69,'Data Cleaning'!A69:A1538, 'Data Cleaning'!J69:J1538)</f>
        <v>Recently promoted</v>
      </c>
    </row>
    <row r="70" spans="1:7" x14ac:dyDescent="0.25">
      <c r="A70" s="3">
        <v>118</v>
      </c>
      <c r="B70" s="3" t="str">
        <f>_xlfn.XLOOKUP(A70,'Data Cleaning'!A70:A1539, 'Data Cleaning'!I70:I1539)</f>
        <v>45-54</v>
      </c>
      <c r="C70">
        <f>_xlfn.XLOOKUP(A70,'Data Cleaning'!A70:A1539,'Data Cleaning'!K70:K1539)</f>
        <v>1</v>
      </c>
      <c r="D70" t="str">
        <f>_xlfn.XLOOKUP(A70,'Data Cleaning'!A70:A1539, 'Data Cleaning'!D70:D1539)</f>
        <v>College</v>
      </c>
      <c r="E70" s="3" t="str">
        <f>_xlfn.XLOOKUP(A70,'Data Cleaning'!A70:A1539, 'Data Cleaning'!E70:E1539)</f>
        <v>Single</v>
      </c>
      <c r="F70" t="str">
        <f>_xlfn.XLOOKUP(A70,'Data Cleaning'!A70:A1539, 'Data Cleaning'!F70:F1539)</f>
        <v>None</v>
      </c>
      <c r="G70" s="3" t="str">
        <f>_xlfn.XLOOKUP(A70,'Data Cleaning'!A70:A1539, 'Data Cleaning'!J70:J1539)</f>
        <v>Long Promotion gap</v>
      </c>
    </row>
    <row r="71" spans="1:7" x14ac:dyDescent="0.25">
      <c r="A71" s="3">
        <v>1082</v>
      </c>
      <c r="B71" s="3" t="str">
        <f>_xlfn.XLOOKUP(A71,'Data Cleaning'!A71:A1540, 'Data Cleaning'!I71:I1540)</f>
        <v>25-34</v>
      </c>
      <c r="C71">
        <f>_xlfn.XLOOKUP(A71,'Data Cleaning'!A71:A1540,'Data Cleaning'!K71:K1540)</f>
        <v>1</v>
      </c>
      <c r="D71" t="str">
        <f>_xlfn.XLOOKUP(A71,'Data Cleaning'!A71:A1540, 'Data Cleaning'!D71:D1540)</f>
        <v>College</v>
      </c>
      <c r="E71" s="3" t="str">
        <f>_xlfn.XLOOKUP(A71,'Data Cleaning'!A71:A1540, 'Data Cleaning'!E71:E1540)</f>
        <v>Single</v>
      </c>
      <c r="F71" t="str">
        <f>_xlfn.XLOOKUP(A71,'Data Cleaning'!A71:A1540, 'Data Cleaning'!F71:F1540)</f>
        <v>None</v>
      </c>
      <c r="G71" s="3" t="str">
        <f>_xlfn.XLOOKUP(A71,'Data Cleaning'!A71:A1540, 'Data Cleaning'!J71:J1540)</f>
        <v>Promoted in 1-3 years</v>
      </c>
    </row>
    <row r="72" spans="1:7" x14ac:dyDescent="0.25">
      <c r="A72" s="3">
        <v>1010</v>
      </c>
      <c r="B72" s="3" t="str">
        <f>_xlfn.XLOOKUP(A72,'Data Cleaning'!A72:A1541, 'Data Cleaning'!I72:I1541)</f>
        <v>35-44</v>
      </c>
      <c r="C72">
        <f>_xlfn.XLOOKUP(A72,'Data Cleaning'!A72:A1541,'Data Cleaning'!K72:K1541)</f>
        <v>1</v>
      </c>
      <c r="D72" t="str">
        <f>_xlfn.XLOOKUP(A72,'Data Cleaning'!A72:A1541, 'Data Cleaning'!D72:D1541)</f>
        <v>Master</v>
      </c>
      <c r="E72" s="3" t="str">
        <f>_xlfn.XLOOKUP(A72,'Data Cleaning'!A72:A1541, 'Data Cleaning'!E72:E1541)</f>
        <v>Divorced</v>
      </c>
      <c r="F72" t="str">
        <f>_xlfn.XLOOKUP(A72,'Data Cleaning'!A72:A1541, 'Data Cleaning'!F72:F1541)</f>
        <v>Low</v>
      </c>
      <c r="G72" s="3" t="str">
        <f>_xlfn.XLOOKUP(A72,'Data Cleaning'!A72:A1541, 'Data Cleaning'!J72:J1541)</f>
        <v>Recently promoted</v>
      </c>
    </row>
    <row r="73" spans="1:7" x14ac:dyDescent="0.25">
      <c r="A73" s="3">
        <v>1380</v>
      </c>
      <c r="B73" s="3" t="str">
        <f>_xlfn.XLOOKUP(A73,'Data Cleaning'!A73:A1542, 'Data Cleaning'!I73:I1542)</f>
        <v>35-44</v>
      </c>
      <c r="C73">
        <f>_xlfn.XLOOKUP(A73,'Data Cleaning'!A73:A1542,'Data Cleaning'!K73:K1542)</f>
        <v>1</v>
      </c>
      <c r="D73" t="str">
        <f>_xlfn.XLOOKUP(A73,'Data Cleaning'!A73:A1542, 'Data Cleaning'!D73:D1542)</f>
        <v>Master</v>
      </c>
      <c r="E73" s="3" t="str">
        <f>_xlfn.XLOOKUP(A73,'Data Cleaning'!A73:A1542, 'Data Cleaning'!E73:E1542)</f>
        <v>Married</v>
      </c>
      <c r="F73" t="str">
        <f>_xlfn.XLOOKUP(A73,'Data Cleaning'!A73:A1542, 'Data Cleaning'!F73:F1542)</f>
        <v>Low</v>
      </c>
      <c r="G73" s="3" t="str">
        <f>_xlfn.XLOOKUP(A73,'Data Cleaning'!A73:A1542, 'Data Cleaning'!J73:J1542)</f>
        <v>Promoted in 1-3 years</v>
      </c>
    </row>
    <row r="74" spans="1:7" x14ac:dyDescent="0.25">
      <c r="A74" s="3">
        <v>970</v>
      </c>
      <c r="B74" s="3" t="str">
        <f>_xlfn.XLOOKUP(A74,'Data Cleaning'!A74:A1543, 'Data Cleaning'!I74:I1543)</f>
        <v>35-44</v>
      </c>
      <c r="C74">
        <f>_xlfn.XLOOKUP(A74,'Data Cleaning'!A74:A1543,'Data Cleaning'!K74:K1543)</f>
        <v>1</v>
      </c>
      <c r="D74" t="str">
        <f>_xlfn.XLOOKUP(A74,'Data Cleaning'!A74:A1543, 'Data Cleaning'!D74:D1543)</f>
        <v>Master</v>
      </c>
      <c r="E74" s="3" t="str">
        <f>_xlfn.XLOOKUP(A74,'Data Cleaning'!A74:A1543, 'Data Cleaning'!E74:E1543)</f>
        <v>Married</v>
      </c>
      <c r="F74" t="str">
        <f>_xlfn.XLOOKUP(A74,'Data Cleaning'!A74:A1543, 'Data Cleaning'!F74:F1543)</f>
        <v>None</v>
      </c>
      <c r="G74" s="3" t="str">
        <f>_xlfn.XLOOKUP(A74,'Data Cleaning'!A74:A1543, 'Data Cleaning'!J74:J1543)</f>
        <v>Long Promotion gap</v>
      </c>
    </row>
    <row r="75" spans="1:7" x14ac:dyDescent="0.25">
      <c r="A75" s="3">
        <v>1459</v>
      </c>
      <c r="B75" s="3" t="str">
        <f>_xlfn.XLOOKUP(A75,'Data Cleaning'!A75:A1544, 'Data Cleaning'!I75:I1544)</f>
        <v>25-34</v>
      </c>
      <c r="C75">
        <f>_xlfn.XLOOKUP(A75,'Data Cleaning'!A75:A1544,'Data Cleaning'!K75:K1544)</f>
        <v>1</v>
      </c>
      <c r="D75" t="str">
        <f>_xlfn.XLOOKUP(A75,'Data Cleaning'!A75:A1544, 'Data Cleaning'!D75:D1544)</f>
        <v>Doctor</v>
      </c>
      <c r="E75" s="3" t="str">
        <f>_xlfn.XLOOKUP(A75,'Data Cleaning'!A75:A1544, 'Data Cleaning'!E75:E1544)</f>
        <v>Single</v>
      </c>
      <c r="F75" t="str">
        <f>_xlfn.XLOOKUP(A75,'Data Cleaning'!A75:A1544, 'Data Cleaning'!F75:F1544)</f>
        <v>None</v>
      </c>
      <c r="G75" s="3" t="str">
        <f>_xlfn.XLOOKUP(A75,'Data Cleaning'!A75:A1544, 'Data Cleaning'!J75:J1544)</f>
        <v>Long Promotion gap</v>
      </c>
    </row>
    <row r="76" spans="1:7" x14ac:dyDescent="0.25">
      <c r="A76" s="3">
        <v>283</v>
      </c>
      <c r="B76" s="3" t="str">
        <f>_xlfn.XLOOKUP(A76,'Data Cleaning'!A76:A1545, 'Data Cleaning'!I76:I1545)</f>
        <v>25-34</v>
      </c>
      <c r="C76">
        <f>_xlfn.XLOOKUP(A76,'Data Cleaning'!A76:A1545,'Data Cleaning'!K76:K1545)</f>
        <v>1</v>
      </c>
      <c r="D76" t="str">
        <f>_xlfn.XLOOKUP(A76,'Data Cleaning'!A76:A1545, 'Data Cleaning'!D76:D1545)</f>
        <v>Bachelor</v>
      </c>
      <c r="E76" s="3" t="str">
        <f>_xlfn.XLOOKUP(A76,'Data Cleaning'!A76:A1545, 'Data Cleaning'!E76:E1545)</f>
        <v>Married</v>
      </c>
      <c r="F76" t="str">
        <f>_xlfn.XLOOKUP(A76,'Data Cleaning'!A76:A1545, 'Data Cleaning'!F76:F1545)</f>
        <v>High</v>
      </c>
      <c r="G76" s="3" t="str">
        <f>_xlfn.XLOOKUP(A76,'Data Cleaning'!A76:A1545, 'Data Cleaning'!J76:J1545)</f>
        <v>Promoted in 1-3 years</v>
      </c>
    </row>
    <row r="77" spans="1:7" x14ac:dyDescent="0.25">
      <c r="A77" s="3">
        <v>584</v>
      </c>
      <c r="B77" s="3" t="str">
        <f>_xlfn.XLOOKUP(A77,'Data Cleaning'!A77:A1546, 'Data Cleaning'!I77:I1546)</f>
        <v>25-34</v>
      </c>
      <c r="C77">
        <f>_xlfn.XLOOKUP(A77,'Data Cleaning'!A77:A1546,'Data Cleaning'!K77:K1546)</f>
        <v>1</v>
      </c>
      <c r="D77" t="str">
        <f>_xlfn.XLOOKUP(A77,'Data Cleaning'!A77:A1546, 'Data Cleaning'!D77:D1546)</f>
        <v>Below College</v>
      </c>
      <c r="E77" s="3" t="str">
        <f>_xlfn.XLOOKUP(A77,'Data Cleaning'!A77:A1546, 'Data Cleaning'!E77:E1546)</f>
        <v>Divorced</v>
      </c>
      <c r="F77" t="str">
        <f>_xlfn.XLOOKUP(A77,'Data Cleaning'!A77:A1546, 'Data Cleaning'!F77:F1546)</f>
        <v>High</v>
      </c>
      <c r="G77" s="3" t="str">
        <f>_xlfn.XLOOKUP(A77,'Data Cleaning'!A77:A1546, 'Data Cleaning'!J77:J1546)</f>
        <v>Promoted in 1-3 years</v>
      </c>
    </row>
    <row r="78" spans="1:7" x14ac:dyDescent="0.25">
      <c r="A78" s="3">
        <v>179</v>
      </c>
      <c r="B78" s="3" t="str">
        <f>_xlfn.XLOOKUP(A78,'Data Cleaning'!A78:A1547, 'Data Cleaning'!I78:I1547)</f>
        <v>45-54</v>
      </c>
      <c r="C78">
        <f>_xlfn.XLOOKUP(A78,'Data Cleaning'!A78:A1547,'Data Cleaning'!K78:K1547)</f>
        <v>1</v>
      </c>
      <c r="D78" t="str">
        <f>_xlfn.XLOOKUP(A78,'Data Cleaning'!A78:A1547, 'Data Cleaning'!D78:D1547)</f>
        <v>Master</v>
      </c>
      <c r="E78" s="3" t="str">
        <f>_xlfn.XLOOKUP(A78,'Data Cleaning'!A78:A1547, 'Data Cleaning'!E78:E1547)</f>
        <v>Single</v>
      </c>
      <c r="F78" t="str">
        <f>_xlfn.XLOOKUP(A78,'Data Cleaning'!A78:A1547, 'Data Cleaning'!F78:F1547)</f>
        <v>None</v>
      </c>
      <c r="G78" s="3" t="str">
        <f>_xlfn.XLOOKUP(A78,'Data Cleaning'!A78:A1547, 'Data Cleaning'!J78:J1547)</f>
        <v>Recently promoted</v>
      </c>
    </row>
    <row r="79" spans="1:7" x14ac:dyDescent="0.25">
      <c r="A79" s="3">
        <v>608</v>
      </c>
      <c r="B79" s="3" t="str">
        <f>_xlfn.XLOOKUP(A79,'Data Cleaning'!A79:A1548, 'Data Cleaning'!I79:I1548)</f>
        <v>25-34</v>
      </c>
      <c r="C79">
        <f>_xlfn.XLOOKUP(A79,'Data Cleaning'!A79:A1548,'Data Cleaning'!K79:K1548)</f>
        <v>1</v>
      </c>
      <c r="D79" t="str">
        <f>_xlfn.XLOOKUP(A79,'Data Cleaning'!A79:A1548, 'Data Cleaning'!D79:D1548)</f>
        <v>Master</v>
      </c>
      <c r="E79" s="3" t="str">
        <f>_xlfn.XLOOKUP(A79,'Data Cleaning'!A79:A1548, 'Data Cleaning'!E79:E1548)</f>
        <v>Divorced</v>
      </c>
      <c r="F79" t="str">
        <f>_xlfn.XLOOKUP(A79,'Data Cleaning'!A79:A1548, 'Data Cleaning'!F79:F1548)</f>
        <v>Low</v>
      </c>
      <c r="G79" s="3" t="str">
        <f>_xlfn.XLOOKUP(A79,'Data Cleaning'!A79:A1548, 'Data Cleaning'!J79:J1548)</f>
        <v>Promoted in 1-3 years</v>
      </c>
    </row>
    <row r="80" spans="1:7" x14ac:dyDescent="0.25">
      <c r="A80" s="3">
        <v>1960</v>
      </c>
      <c r="B80" s="3" t="str">
        <f>_xlfn.XLOOKUP(A80,'Data Cleaning'!A80:A1549, 'Data Cleaning'!I80:I1549)</f>
        <v>25-34</v>
      </c>
      <c r="C80">
        <f>_xlfn.XLOOKUP(A80,'Data Cleaning'!A80:A1549,'Data Cleaning'!K80:K1549)</f>
        <v>1</v>
      </c>
      <c r="D80" t="str">
        <f>_xlfn.XLOOKUP(A80,'Data Cleaning'!A80:A1549, 'Data Cleaning'!D80:D1549)</f>
        <v>Bachelor</v>
      </c>
      <c r="E80" s="3" t="str">
        <f>_xlfn.XLOOKUP(A80,'Data Cleaning'!A80:A1549, 'Data Cleaning'!E80:E1549)</f>
        <v>Divorced</v>
      </c>
      <c r="F80" t="str">
        <f>_xlfn.XLOOKUP(A80,'Data Cleaning'!A80:A1549, 'Data Cleaning'!F80:F1549)</f>
        <v>Low</v>
      </c>
      <c r="G80" s="3" t="str">
        <f>_xlfn.XLOOKUP(A80,'Data Cleaning'!A80:A1549, 'Data Cleaning'!J80:J1549)</f>
        <v>Recently promoted</v>
      </c>
    </row>
    <row r="81" spans="1:7" x14ac:dyDescent="0.25">
      <c r="A81" s="3">
        <v>1639</v>
      </c>
      <c r="B81" s="3" t="str">
        <f>_xlfn.XLOOKUP(A81,'Data Cleaning'!A81:A1550, 'Data Cleaning'!I81:I1550)</f>
        <v>35-44</v>
      </c>
      <c r="C81">
        <f>_xlfn.XLOOKUP(A81,'Data Cleaning'!A81:A1550,'Data Cleaning'!K81:K1550)</f>
        <v>1</v>
      </c>
      <c r="D81" t="str">
        <f>_xlfn.XLOOKUP(A81,'Data Cleaning'!A81:A1550, 'Data Cleaning'!D81:D1550)</f>
        <v>Bachelor</v>
      </c>
      <c r="E81" s="3" t="str">
        <f>_xlfn.XLOOKUP(A81,'Data Cleaning'!A81:A1550, 'Data Cleaning'!E81:E1550)</f>
        <v>Married</v>
      </c>
      <c r="F81" t="str">
        <f>_xlfn.XLOOKUP(A81,'Data Cleaning'!A81:A1550, 'Data Cleaning'!F81:F1550)</f>
        <v>None</v>
      </c>
      <c r="G81" s="3" t="str">
        <f>_xlfn.XLOOKUP(A81,'Data Cleaning'!A81:A1550, 'Data Cleaning'!J81:J1550)</f>
        <v>Long Promotion gap</v>
      </c>
    </row>
    <row r="82" spans="1:7" x14ac:dyDescent="0.25">
      <c r="A82" s="3">
        <v>163</v>
      </c>
      <c r="B82" s="3" t="str">
        <f>_xlfn.XLOOKUP(A82,'Data Cleaning'!A82:A1551, 'Data Cleaning'!I82:I1551)</f>
        <v>25-34</v>
      </c>
      <c r="C82">
        <f>_xlfn.XLOOKUP(A82,'Data Cleaning'!A82:A1551,'Data Cleaning'!K82:K1551)</f>
        <v>1</v>
      </c>
      <c r="D82" t="str">
        <f>_xlfn.XLOOKUP(A82,'Data Cleaning'!A82:A1551, 'Data Cleaning'!D82:D1551)</f>
        <v>Master</v>
      </c>
      <c r="E82" s="3" t="str">
        <f>_xlfn.XLOOKUP(A82,'Data Cleaning'!A82:A1551, 'Data Cleaning'!E82:E1551)</f>
        <v>Married</v>
      </c>
      <c r="F82" t="str">
        <f>_xlfn.XLOOKUP(A82,'Data Cleaning'!A82:A1551, 'Data Cleaning'!F82:F1551)</f>
        <v>None</v>
      </c>
      <c r="G82" s="3" t="str">
        <f>_xlfn.XLOOKUP(A82,'Data Cleaning'!A82:A1551, 'Data Cleaning'!J82:J1551)</f>
        <v>Long Promotion gap</v>
      </c>
    </row>
    <row r="83" spans="1:7" x14ac:dyDescent="0.25">
      <c r="A83" s="3">
        <v>440</v>
      </c>
      <c r="B83" s="3" t="str">
        <f>_xlfn.XLOOKUP(A83,'Data Cleaning'!A83:A1552, 'Data Cleaning'!I83:I1552)</f>
        <v>25-34</v>
      </c>
      <c r="C83">
        <f>_xlfn.XLOOKUP(A83,'Data Cleaning'!A83:A1552,'Data Cleaning'!K83:K1552)</f>
        <v>1</v>
      </c>
      <c r="D83" t="str">
        <f>_xlfn.XLOOKUP(A83,'Data Cleaning'!A83:A1552, 'Data Cleaning'!D83:D1552)</f>
        <v>Master</v>
      </c>
      <c r="E83" s="3" t="str">
        <f>_xlfn.XLOOKUP(A83,'Data Cleaning'!A83:A1552, 'Data Cleaning'!E83:E1552)</f>
        <v>Married</v>
      </c>
      <c r="F83" t="str">
        <f>_xlfn.XLOOKUP(A83,'Data Cleaning'!A83:A1552, 'Data Cleaning'!F83:F1552)</f>
        <v>None</v>
      </c>
      <c r="G83" s="3" t="str">
        <f>_xlfn.XLOOKUP(A83,'Data Cleaning'!A83:A1552, 'Data Cleaning'!J83:J1552)</f>
        <v>Promoted in 1-3 years</v>
      </c>
    </row>
    <row r="84" spans="1:7" x14ac:dyDescent="0.25">
      <c r="A84" s="3">
        <v>650</v>
      </c>
      <c r="B84" s="3" t="str">
        <f>_xlfn.XLOOKUP(A84,'Data Cleaning'!A84:A1553, 'Data Cleaning'!I84:I1553)</f>
        <v>25-34</v>
      </c>
      <c r="C84">
        <f>_xlfn.XLOOKUP(A84,'Data Cleaning'!A84:A1553,'Data Cleaning'!K84:K1553)</f>
        <v>1</v>
      </c>
      <c r="D84" t="str">
        <f>_xlfn.XLOOKUP(A84,'Data Cleaning'!A84:A1553, 'Data Cleaning'!D84:D1553)</f>
        <v>Master</v>
      </c>
      <c r="E84" s="3" t="str">
        <f>_xlfn.XLOOKUP(A84,'Data Cleaning'!A84:A1553, 'Data Cleaning'!E84:E1553)</f>
        <v>Divorced</v>
      </c>
      <c r="F84" t="str">
        <f>_xlfn.XLOOKUP(A84,'Data Cleaning'!A84:A1553, 'Data Cleaning'!F84:F1553)</f>
        <v>None</v>
      </c>
      <c r="G84" s="3" t="str">
        <f>_xlfn.XLOOKUP(A84,'Data Cleaning'!A84:A1553, 'Data Cleaning'!J84:J1553)</f>
        <v>Promoted in 1-3 years</v>
      </c>
    </row>
    <row r="85" spans="1:7" x14ac:dyDescent="0.25">
      <c r="A85" s="3">
        <v>991</v>
      </c>
      <c r="B85" s="3" t="str">
        <f>_xlfn.XLOOKUP(A85,'Data Cleaning'!A85:A1554, 'Data Cleaning'!I85:I1554)</f>
        <v>25-34</v>
      </c>
      <c r="C85">
        <f>_xlfn.XLOOKUP(A85,'Data Cleaning'!A85:A1554,'Data Cleaning'!K85:K1554)</f>
        <v>1</v>
      </c>
      <c r="D85" t="str">
        <f>_xlfn.XLOOKUP(A85,'Data Cleaning'!A85:A1554, 'Data Cleaning'!D85:D1554)</f>
        <v>College</v>
      </c>
      <c r="E85" s="3" t="str">
        <f>_xlfn.XLOOKUP(A85,'Data Cleaning'!A85:A1554, 'Data Cleaning'!E85:E1554)</f>
        <v>Single</v>
      </c>
      <c r="F85" t="str">
        <f>_xlfn.XLOOKUP(A85,'Data Cleaning'!A85:A1554, 'Data Cleaning'!F85:F1554)</f>
        <v>None</v>
      </c>
      <c r="G85" s="3" t="str">
        <f>_xlfn.XLOOKUP(A85,'Data Cleaning'!A85:A1554, 'Data Cleaning'!J85:J1554)</f>
        <v>Promoted in 1-3 years</v>
      </c>
    </row>
    <row r="86" spans="1:7" x14ac:dyDescent="0.25">
      <c r="A86" s="3">
        <v>1537</v>
      </c>
      <c r="B86" s="3" t="str">
        <f>_xlfn.XLOOKUP(A86,'Data Cleaning'!A86:A1555, 'Data Cleaning'!I86:I1555)</f>
        <v>25-34</v>
      </c>
      <c r="C86">
        <f>_xlfn.XLOOKUP(A86,'Data Cleaning'!A86:A1555,'Data Cleaning'!K86:K1555)</f>
        <v>1</v>
      </c>
      <c r="D86" t="str">
        <f>_xlfn.XLOOKUP(A86,'Data Cleaning'!A86:A1555, 'Data Cleaning'!D86:D1555)</f>
        <v>Bachelor</v>
      </c>
      <c r="E86" s="3" t="str">
        <f>_xlfn.XLOOKUP(A86,'Data Cleaning'!A86:A1555, 'Data Cleaning'!E86:E1555)</f>
        <v>Single</v>
      </c>
      <c r="F86" t="str">
        <f>_xlfn.XLOOKUP(A86,'Data Cleaning'!A86:A1555, 'Data Cleaning'!F86:F1555)</f>
        <v>None</v>
      </c>
      <c r="G86" s="3" t="str">
        <f>_xlfn.XLOOKUP(A86,'Data Cleaning'!A86:A1555, 'Data Cleaning'!J86:J1555)</f>
        <v>Long Promotion gap</v>
      </c>
    </row>
    <row r="87" spans="1:7" x14ac:dyDescent="0.25">
      <c r="A87" s="3">
        <v>19</v>
      </c>
      <c r="B87" s="3" t="str">
        <f>_xlfn.XLOOKUP(A87,'Data Cleaning'!A87:A1556, 'Data Cleaning'!I87:I1556)</f>
        <v>25-34</v>
      </c>
      <c r="C87">
        <f>_xlfn.XLOOKUP(A87,'Data Cleaning'!A87:A1556,'Data Cleaning'!K87:K1556)</f>
        <v>1</v>
      </c>
      <c r="D87" t="str">
        <f>_xlfn.XLOOKUP(A87,'Data Cleaning'!A87:A1556, 'Data Cleaning'!D87:D1556)</f>
        <v>Bachelor</v>
      </c>
      <c r="E87" s="3" t="str">
        <f>_xlfn.XLOOKUP(A87,'Data Cleaning'!A87:A1556, 'Data Cleaning'!E87:E1556)</f>
        <v>Single</v>
      </c>
      <c r="F87" t="str">
        <f>_xlfn.XLOOKUP(A87,'Data Cleaning'!A87:A1556, 'Data Cleaning'!F87:F1556)</f>
        <v>None</v>
      </c>
      <c r="G87" s="3" t="str">
        <f>_xlfn.XLOOKUP(A87,'Data Cleaning'!A87:A1556, 'Data Cleaning'!J87:J1556)</f>
        <v>Recently promoted</v>
      </c>
    </row>
    <row r="88" spans="1:7" x14ac:dyDescent="0.25">
      <c r="A88" s="3">
        <v>2055</v>
      </c>
      <c r="B88" s="3" t="str">
        <f>_xlfn.XLOOKUP(A88,'Data Cleaning'!A88:A1557, 'Data Cleaning'!I88:I1557)</f>
        <v>45-54</v>
      </c>
      <c r="C88">
        <f>_xlfn.XLOOKUP(A88,'Data Cleaning'!A88:A1557,'Data Cleaning'!K88:K1557)</f>
        <v>1</v>
      </c>
      <c r="D88" t="str">
        <f>_xlfn.XLOOKUP(A88,'Data Cleaning'!A88:A1557, 'Data Cleaning'!D88:D1557)</f>
        <v>Bachelor</v>
      </c>
      <c r="E88" s="3" t="str">
        <f>_xlfn.XLOOKUP(A88,'Data Cleaning'!A88:A1557, 'Data Cleaning'!E88:E1557)</f>
        <v>Divorced</v>
      </c>
      <c r="F88" t="str">
        <f>_xlfn.XLOOKUP(A88,'Data Cleaning'!A88:A1557, 'Data Cleaning'!F88:F1557)</f>
        <v>Low</v>
      </c>
      <c r="G88" s="3" t="str">
        <f>_xlfn.XLOOKUP(A88,'Data Cleaning'!A88:A1557, 'Data Cleaning'!J88:J1557)</f>
        <v>Promoted in 1-3 years</v>
      </c>
    </row>
    <row r="89" spans="1:7" x14ac:dyDescent="0.25">
      <c r="A89" s="3">
        <v>1053</v>
      </c>
      <c r="B89" s="3" t="str">
        <f>_xlfn.XLOOKUP(A89,'Data Cleaning'!A89:A1558, 'Data Cleaning'!I89:I1558)</f>
        <v>25-34</v>
      </c>
      <c r="C89">
        <f>_xlfn.XLOOKUP(A89,'Data Cleaning'!A89:A1558,'Data Cleaning'!K89:K1558)</f>
        <v>1</v>
      </c>
      <c r="D89" t="str">
        <f>_xlfn.XLOOKUP(A89,'Data Cleaning'!A89:A1558, 'Data Cleaning'!D89:D1558)</f>
        <v>Bachelor</v>
      </c>
      <c r="E89" s="3" t="str">
        <f>_xlfn.XLOOKUP(A89,'Data Cleaning'!A89:A1558, 'Data Cleaning'!E89:E1558)</f>
        <v>Married</v>
      </c>
      <c r="F89" t="str">
        <f>_xlfn.XLOOKUP(A89,'Data Cleaning'!A89:A1558, 'Data Cleaning'!F89:F1558)</f>
        <v>Low</v>
      </c>
      <c r="G89" s="3" t="str">
        <f>_xlfn.XLOOKUP(A89,'Data Cleaning'!A89:A1558, 'Data Cleaning'!J89:J1558)</f>
        <v>Promoted in 1-3 years</v>
      </c>
    </row>
    <row r="90" spans="1:7" x14ac:dyDescent="0.25">
      <c r="A90" s="3">
        <v>1319</v>
      </c>
      <c r="B90" s="3" t="str">
        <f>_xlfn.XLOOKUP(A90,'Data Cleaning'!A90:A1559, 'Data Cleaning'!I90:I1559)</f>
        <v>45-54</v>
      </c>
      <c r="C90">
        <f>_xlfn.XLOOKUP(A90,'Data Cleaning'!A90:A1559,'Data Cleaning'!K90:K1559)</f>
        <v>1</v>
      </c>
      <c r="D90" t="str">
        <f>_xlfn.XLOOKUP(A90,'Data Cleaning'!A90:A1559, 'Data Cleaning'!D90:D1559)</f>
        <v>Bachelor</v>
      </c>
      <c r="E90" s="3" t="str">
        <f>_xlfn.XLOOKUP(A90,'Data Cleaning'!A90:A1559, 'Data Cleaning'!E90:E1559)</f>
        <v>Single</v>
      </c>
      <c r="F90" t="str">
        <f>_xlfn.XLOOKUP(A90,'Data Cleaning'!A90:A1559, 'Data Cleaning'!F90:F1559)</f>
        <v>None</v>
      </c>
      <c r="G90" s="3" t="str">
        <f>_xlfn.XLOOKUP(A90,'Data Cleaning'!A90:A1559, 'Data Cleaning'!J90:J1559)</f>
        <v>Long Promotion gap</v>
      </c>
    </row>
    <row r="91" spans="1:7" x14ac:dyDescent="0.25">
      <c r="A91" s="3">
        <v>1309</v>
      </c>
      <c r="B91" s="3" t="str">
        <f>_xlfn.XLOOKUP(A91,'Data Cleaning'!A91:A1560, 'Data Cleaning'!I91:I1560)</f>
        <v>25-34</v>
      </c>
      <c r="C91">
        <f>_xlfn.XLOOKUP(A91,'Data Cleaning'!A91:A1560,'Data Cleaning'!K91:K1560)</f>
        <v>1</v>
      </c>
      <c r="D91" t="str">
        <f>_xlfn.XLOOKUP(A91,'Data Cleaning'!A91:A1560, 'Data Cleaning'!D91:D1560)</f>
        <v>College</v>
      </c>
      <c r="E91" s="3" t="str">
        <f>_xlfn.XLOOKUP(A91,'Data Cleaning'!A91:A1560, 'Data Cleaning'!E91:E1560)</f>
        <v>Married</v>
      </c>
      <c r="F91" t="str">
        <f>_xlfn.XLOOKUP(A91,'Data Cleaning'!A91:A1560, 'Data Cleaning'!F91:F1560)</f>
        <v>Low</v>
      </c>
      <c r="G91" s="3" t="str">
        <f>_xlfn.XLOOKUP(A91,'Data Cleaning'!A91:A1560, 'Data Cleaning'!J91:J1560)</f>
        <v>Promoted in 1-3 years</v>
      </c>
    </row>
    <row r="92" spans="1:7" x14ac:dyDescent="0.25">
      <c r="A92" s="3">
        <v>1</v>
      </c>
      <c r="B92" s="3" t="str">
        <f>_xlfn.XLOOKUP(A92,'Data Cleaning'!A92:A1561, 'Data Cleaning'!I92:I1561)</f>
        <v>35-44</v>
      </c>
      <c r="C92">
        <f>_xlfn.XLOOKUP(A92,'Data Cleaning'!A92:A1561,'Data Cleaning'!K92:K1561)</f>
        <v>1</v>
      </c>
      <c r="D92" t="str">
        <f>_xlfn.XLOOKUP(A92,'Data Cleaning'!A92:A1561, 'Data Cleaning'!D92:D1561)</f>
        <v>College</v>
      </c>
      <c r="E92" s="3" t="str">
        <f>_xlfn.XLOOKUP(A92,'Data Cleaning'!A92:A1561, 'Data Cleaning'!E92:E1561)</f>
        <v>Single</v>
      </c>
      <c r="F92" t="str">
        <f>_xlfn.XLOOKUP(A92,'Data Cleaning'!A92:A1561, 'Data Cleaning'!F92:F1561)</f>
        <v>None</v>
      </c>
      <c r="G92" s="3" t="str">
        <f>_xlfn.XLOOKUP(A92,'Data Cleaning'!A92:A1561, 'Data Cleaning'!J92:J1561)</f>
        <v>Recently promoted</v>
      </c>
    </row>
    <row r="93" spans="1:7" x14ac:dyDescent="0.25">
      <c r="A93" s="3">
        <v>840</v>
      </c>
      <c r="B93" s="3" t="str">
        <f>_xlfn.XLOOKUP(A93,'Data Cleaning'!A93:A1562, 'Data Cleaning'!I93:I1562)</f>
        <v>45-54</v>
      </c>
      <c r="C93">
        <f>_xlfn.XLOOKUP(A93,'Data Cleaning'!A93:A1562,'Data Cleaning'!K93:K1562)</f>
        <v>1</v>
      </c>
      <c r="D93" t="str">
        <f>_xlfn.XLOOKUP(A93,'Data Cleaning'!A93:A1562, 'Data Cleaning'!D93:D1562)</f>
        <v>Bachelor</v>
      </c>
      <c r="E93" s="3" t="str">
        <f>_xlfn.XLOOKUP(A93,'Data Cleaning'!A93:A1562, 'Data Cleaning'!E93:E1562)</f>
        <v>Married</v>
      </c>
      <c r="F93" t="str">
        <f>_xlfn.XLOOKUP(A93,'Data Cleaning'!A93:A1562, 'Data Cleaning'!F93:F1562)</f>
        <v>Mid</v>
      </c>
      <c r="G93" s="3" t="str">
        <f>_xlfn.XLOOKUP(A93,'Data Cleaning'!A93:A1562, 'Data Cleaning'!J93:J1562)</f>
        <v>Long Promotion gap</v>
      </c>
    </row>
    <row r="94" spans="1:7" x14ac:dyDescent="0.25">
      <c r="A94" s="3">
        <v>1017</v>
      </c>
      <c r="B94" s="3" t="str">
        <f>_xlfn.XLOOKUP(A94,'Data Cleaning'!A94:A1563, 'Data Cleaning'!I94:I1563)</f>
        <v>25-34</v>
      </c>
      <c r="C94">
        <f>_xlfn.XLOOKUP(A94,'Data Cleaning'!A94:A1563,'Data Cleaning'!K94:K1563)</f>
        <v>1</v>
      </c>
      <c r="D94" t="str">
        <f>_xlfn.XLOOKUP(A94,'Data Cleaning'!A94:A1563, 'Data Cleaning'!D94:D1563)</f>
        <v>Bachelor</v>
      </c>
      <c r="E94" s="3" t="str">
        <f>_xlfn.XLOOKUP(A94,'Data Cleaning'!A94:A1563, 'Data Cleaning'!E94:E1563)</f>
        <v>Single</v>
      </c>
      <c r="F94" t="str">
        <f>_xlfn.XLOOKUP(A94,'Data Cleaning'!A94:A1563, 'Data Cleaning'!F94:F1563)</f>
        <v>None</v>
      </c>
      <c r="G94" s="3" t="str">
        <f>_xlfn.XLOOKUP(A94,'Data Cleaning'!A94:A1563, 'Data Cleaning'!J94:J1563)</f>
        <v>Promoted in 1-3 years</v>
      </c>
    </row>
    <row r="95" spans="1:7" x14ac:dyDescent="0.25">
      <c r="A95" s="3">
        <v>848</v>
      </c>
      <c r="B95" s="3" t="str">
        <f>_xlfn.XLOOKUP(A95,'Data Cleaning'!A95:A1564, 'Data Cleaning'!I95:I1564)</f>
        <v>25-34</v>
      </c>
      <c r="C95">
        <f>_xlfn.XLOOKUP(A95,'Data Cleaning'!A95:A1564,'Data Cleaning'!K95:K1564)</f>
        <v>1</v>
      </c>
      <c r="D95" t="str">
        <f>_xlfn.XLOOKUP(A95,'Data Cleaning'!A95:A1564, 'Data Cleaning'!D95:D1564)</f>
        <v>College</v>
      </c>
      <c r="E95" s="3" t="str">
        <f>_xlfn.XLOOKUP(A95,'Data Cleaning'!A95:A1564, 'Data Cleaning'!E95:E1564)</f>
        <v>Married</v>
      </c>
      <c r="F95" t="str">
        <f>_xlfn.XLOOKUP(A95,'Data Cleaning'!A95:A1564, 'Data Cleaning'!F95:F1564)</f>
        <v>Low</v>
      </c>
      <c r="G95" s="3" t="str">
        <f>_xlfn.XLOOKUP(A95,'Data Cleaning'!A95:A1564, 'Data Cleaning'!J95:J1564)</f>
        <v>Promoted in 1-3 years</v>
      </c>
    </row>
    <row r="96" spans="1:7" x14ac:dyDescent="0.25">
      <c r="A96" s="3">
        <v>2044</v>
      </c>
      <c r="B96" s="3" t="str">
        <f>_xlfn.XLOOKUP(A96,'Data Cleaning'!A96:A1565, 'Data Cleaning'!I96:I1565)</f>
        <v>45-54</v>
      </c>
      <c r="C96">
        <f>_xlfn.XLOOKUP(A96,'Data Cleaning'!A96:A1565,'Data Cleaning'!K96:K1565)</f>
        <v>1</v>
      </c>
      <c r="D96" t="str">
        <f>_xlfn.XLOOKUP(A96,'Data Cleaning'!A96:A1565, 'Data Cleaning'!D96:D1565)</f>
        <v>Master</v>
      </c>
      <c r="E96" s="3" t="str">
        <f>_xlfn.XLOOKUP(A96,'Data Cleaning'!A96:A1565, 'Data Cleaning'!E96:E1565)</f>
        <v>Divorced</v>
      </c>
      <c r="F96" t="str">
        <f>_xlfn.XLOOKUP(A96,'Data Cleaning'!A96:A1565, 'Data Cleaning'!F96:F1565)</f>
        <v>Mid</v>
      </c>
      <c r="G96" s="3" t="str">
        <f>_xlfn.XLOOKUP(A96,'Data Cleaning'!A96:A1565, 'Data Cleaning'!J96:J1565)</f>
        <v>Recently promoted</v>
      </c>
    </row>
    <row r="97" spans="1:7" x14ac:dyDescent="0.25">
      <c r="A97" s="3">
        <v>33</v>
      </c>
      <c r="B97" s="3" t="str">
        <f>_xlfn.XLOOKUP(A97,'Data Cleaning'!A97:A1566, 'Data Cleaning'!I97:I1566)</f>
        <v>25-34</v>
      </c>
      <c r="C97">
        <f>_xlfn.XLOOKUP(A97,'Data Cleaning'!A97:A1566,'Data Cleaning'!K97:K1566)</f>
        <v>1</v>
      </c>
      <c r="D97" t="str">
        <f>_xlfn.XLOOKUP(A97,'Data Cleaning'!A97:A1566, 'Data Cleaning'!D97:D1566)</f>
        <v>Bachelor</v>
      </c>
      <c r="E97" s="3" t="str">
        <f>_xlfn.XLOOKUP(A97,'Data Cleaning'!A97:A1566, 'Data Cleaning'!E97:E1566)</f>
        <v>Single</v>
      </c>
      <c r="F97" t="str">
        <f>_xlfn.XLOOKUP(A97,'Data Cleaning'!A97:A1566, 'Data Cleaning'!F97:F1566)</f>
        <v>None</v>
      </c>
      <c r="G97" s="3" t="str">
        <f>_xlfn.XLOOKUP(A97,'Data Cleaning'!A97:A1566, 'Data Cleaning'!J97:J1566)</f>
        <v>Long Promotion gap</v>
      </c>
    </row>
    <row r="98" spans="1:7" x14ac:dyDescent="0.25">
      <c r="A98" s="3">
        <v>376</v>
      </c>
      <c r="B98" s="3" t="str">
        <f>_xlfn.XLOOKUP(A98,'Data Cleaning'!A98:A1567, 'Data Cleaning'!I98:I1567)</f>
        <v>45-54</v>
      </c>
      <c r="C98">
        <f>_xlfn.XLOOKUP(A98,'Data Cleaning'!A98:A1567,'Data Cleaning'!K98:K1567)</f>
        <v>1</v>
      </c>
      <c r="D98" t="str">
        <f>_xlfn.XLOOKUP(A98,'Data Cleaning'!A98:A1567, 'Data Cleaning'!D98:D1567)</f>
        <v>Bachelor</v>
      </c>
      <c r="E98" s="3" t="str">
        <f>_xlfn.XLOOKUP(A98,'Data Cleaning'!A98:A1567, 'Data Cleaning'!E98:E1567)</f>
        <v>Single</v>
      </c>
      <c r="F98" t="str">
        <f>_xlfn.XLOOKUP(A98,'Data Cleaning'!A98:A1567, 'Data Cleaning'!F98:F1567)</f>
        <v>None</v>
      </c>
      <c r="G98" s="3" t="str">
        <f>_xlfn.XLOOKUP(A98,'Data Cleaning'!A98:A1567, 'Data Cleaning'!J98:J1567)</f>
        <v>Long Promotion gap</v>
      </c>
    </row>
    <row r="99" spans="1:7" x14ac:dyDescent="0.25">
      <c r="A99" s="3">
        <v>741</v>
      </c>
      <c r="B99" s="3" t="str">
        <f>_xlfn.XLOOKUP(A99,'Data Cleaning'!A99:A1568, 'Data Cleaning'!I99:I1568)</f>
        <v>25-34</v>
      </c>
      <c r="C99">
        <f>_xlfn.XLOOKUP(A99,'Data Cleaning'!A99:A1568,'Data Cleaning'!K99:K1568)</f>
        <v>1</v>
      </c>
      <c r="D99" t="str">
        <f>_xlfn.XLOOKUP(A99,'Data Cleaning'!A99:A1568, 'Data Cleaning'!D99:D1568)</f>
        <v>Below College</v>
      </c>
      <c r="E99" s="3" t="str">
        <f>_xlfn.XLOOKUP(A99,'Data Cleaning'!A99:A1568, 'Data Cleaning'!E99:E1568)</f>
        <v>Single</v>
      </c>
      <c r="F99" t="str">
        <f>_xlfn.XLOOKUP(A99,'Data Cleaning'!A99:A1568, 'Data Cleaning'!F99:F1568)</f>
        <v>None</v>
      </c>
      <c r="G99" s="3" t="str">
        <f>_xlfn.XLOOKUP(A99,'Data Cleaning'!A99:A1568, 'Data Cleaning'!J99:J1568)</f>
        <v>Recently promoted</v>
      </c>
    </row>
    <row r="100" spans="1:7" x14ac:dyDescent="0.25">
      <c r="A100" s="3">
        <v>819</v>
      </c>
      <c r="B100" s="3" t="str">
        <f>_xlfn.XLOOKUP(A100,'Data Cleaning'!A100:A1569, 'Data Cleaning'!I100:I1569)</f>
        <v>25-34</v>
      </c>
      <c r="C100">
        <f>_xlfn.XLOOKUP(A100,'Data Cleaning'!A100:A1569,'Data Cleaning'!K100:K1569)</f>
        <v>1</v>
      </c>
      <c r="D100" t="str">
        <f>_xlfn.XLOOKUP(A100,'Data Cleaning'!A100:A1569, 'Data Cleaning'!D100:D1569)</f>
        <v>Bachelor</v>
      </c>
      <c r="E100" s="3" t="str">
        <f>_xlfn.XLOOKUP(A100,'Data Cleaning'!A100:A1569, 'Data Cleaning'!E100:E1569)</f>
        <v>Married</v>
      </c>
      <c r="F100" t="str">
        <f>_xlfn.XLOOKUP(A100,'Data Cleaning'!A100:A1569, 'Data Cleaning'!F100:F1569)</f>
        <v>Low</v>
      </c>
      <c r="G100" s="3" t="str">
        <f>_xlfn.XLOOKUP(A100,'Data Cleaning'!A100:A1569, 'Data Cleaning'!J100:J1569)</f>
        <v>Promoted in 1-3 years</v>
      </c>
    </row>
    <row r="101" spans="1:7" x14ac:dyDescent="0.25">
      <c r="A101" s="3">
        <v>394</v>
      </c>
      <c r="B101" s="3" t="str">
        <f>_xlfn.XLOOKUP(A101,'Data Cleaning'!A101:A1570, 'Data Cleaning'!I101:I1570)</f>
        <v>25-34</v>
      </c>
      <c r="C101">
        <f>_xlfn.XLOOKUP(A101,'Data Cleaning'!A101:A1570,'Data Cleaning'!K101:K1570)</f>
        <v>1</v>
      </c>
      <c r="D101" t="str">
        <f>_xlfn.XLOOKUP(A101,'Data Cleaning'!A101:A1570, 'Data Cleaning'!D101:D1570)</f>
        <v>Master</v>
      </c>
      <c r="E101" s="3" t="str">
        <f>_xlfn.XLOOKUP(A101,'Data Cleaning'!A101:A1570, 'Data Cleaning'!E101:E1570)</f>
        <v>Divorced</v>
      </c>
      <c r="F101" t="str">
        <f>_xlfn.XLOOKUP(A101,'Data Cleaning'!A101:A1570, 'Data Cleaning'!F101:F1570)</f>
        <v>Low</v>
      </c>
      <c r="G101" s="3" t="str">
        <f>_xlfn.XLOOKUP(A101,'Data Cleaning'!A101:A1570, 'Data Cleaning'!J101:J1570)</f>
        <v>Recently promoted</v>
      </c>
    </row>
    <row r="102" spans="1:7" x14ac:dyDescent="0.25">
      <c r="A102" s="3">
        <v>478</v>
      </c>
      <c r="B102" s="3" t="str">
        <f>_xlfn.XLOOKUP(A102,'Data Cleaning'!A102:A1571, 'Data Cleaning'!I102:I1571)</f>
        <v>18-24</v>
      </c>
      <c r="C102">
        <f>_xlfn.XLOOKUP(A102,'Data Cleaning'!A102:A1571,'Data Cleaning'!K102:K1571)</f>
        <v>1</v>
      </c>
      <c r="D102" t="str">
        <f>_xlfn.XLOOKUP(A102,'Data Cleaning'!A102:A1571, 'Data Cleaning'!D102:D1571)</f>
        <v>Below College</v>
      </c>
      <c r="E102" s="3" t="str">
        <f>_xlfn.XLOOKUP(A102,'Data Cleaning'!A102:A1571, 'Data Cleaning'!E102:E1571)</f>
        <v>Single</v>
      </c>
      <c r="F102" t="str">
        <f>_xlfn.XLOOKUP(A102,'Data Cleaning'!A102:A1571, 'Data Cleaning'!F102:F1571)</f>
        <v>None</v>
      </c>
      <c r="G102" s="3" t="str">
        <f>_xlfn.XLOOKUP(A102,'Data Cleaning'!A102:A1571, 'Data Cleaning'!J102:J1571)</f>
        <v>Promoted in 1-3 years</v>
      </c>
    </row>
    <row r="103" spans="1:7" x14ac:dyDescent="0.25">
      <c r="A103" s="3">
        <v>165</v>
      </c>
      <c r="B103" s="3" t="str">
        <f>_xlfn.XLOOKUP(A103,'Data Cleaning'!A103:A1572, 'Data Cleaning'!I103:I1572)</f>
        <v>55-60</v>
      </c>
      <c r="C103">
        <f>_xlfn.XLOOKUP(A103,'Data Cleaning'!A103:A1572,'Data Cleaning'!K103:K1572)</f>
        <v>1</v>
      </c>
      <c r="D103" t="str">
        <f>_xlfn.XLOOKUP(A103,'Data Cleaning'!A103:A1572, 'Data Cleaning'!D103:D1572)</f>
        <v>Bachelor</v>
      </c>
      <c r="E103" s="3" t="str">
        <f>_xlfn.XLOOKUP(A103,'Data Cleaning'!A103:A1572, 'Data Cleaning'!E103:E1572)</f>
        <v>Divorced</v>
      </c>
      <c r="F103" t="str">
        <f>_xlfn.XLOOKUP(A103,'Data Cleaning'!A103:A1572, 'Data Cleaning'!F103:F1572)</f>
        <v>High</v>
      </c>
      <c r="G103" s="3" t="str">
        <f>_xlfn.XLOOKUP(A103,'Data Cleaning'!A103:A1572, 'Data Cleaning'!J103:J1572)</f>
        <v>Recently promoted</v>
      </c>
    </row>
    <row r="104" spans="1:7" x14ac:dyDescent="0.25">
      <c r="A104" s="3">
        <v>47</v>
      </c>
      <c r="B104" s="3" t="str">
        <f>_xlfn.XLOOKUP(A104,'Data Cleaning'!A104:A1573, 'Data Cleaning'!I104:I1573)</f>
        <v>45-54</v>
      </c>
      <c r="C104">
        <f>_xlfn.XLOOKUP(A104,'Data Cleaning'!A104:A1573,'Data Cleaning'!K104:K1573)</f>
        <v>1</v>
      </c>
      <c r="D104" t="str">
        <f>_xlfn.XLOOKUP(A104,'Data Cleaning'!A104:A1573, 'Data Cleaning'!D104:D1573)</f>
        <v>Master</v>
      </c>
      <c r="E104" s="3" t="str">
        <f>_xlfn.XLOOKUP(A104,'Data Cleaning'!A104:A1573, 'Data Cleaning'!E104:E1573)</f>
        <v>Divorced</v>
      </c>
      <c r="F104" t="str">
        <f>_xlfn.XLOOKUP(A104,'Data Cleaning'!A104:A1573, 'Data Cleaning'!F104:F1573)</f>
        <v>None</v>
      </c>
      <c r="G104" s="3" t="str">
        <f>_xlfn.XLOOKUP(A104,'Data Cleaning'!A104:A1573, 'Data Cleaning'!J104:J1573)</f>
        <v>Recently promoted</v>
      </c>
    </row>
    <row r="105" spans="1:7" x14ac:dyDescent="0.25">
      <c r="A105" s="3">
        <v>65</v>
      </c>
      <c r="B105" s="3" t="str">
        <f>_xlfn.XLOOKUP(A105,'Data Cleaning'!A105:A1574, 'Data Cleaning'!I105:I1574)</f>
        <v>25-34</v>
      </c>
      <c r="C105">
        <f>_xlfn.XLOOKUP(A105,'Data Cleaning'!A105:A1574,'Data Cleaning'!K105:K1574)</f>
        <v>1</v>
      </c>
      <c r="D105" t="str">
        <f>_xlfn.XLOOKUP(A105,'Data Cleaning'!A105:A1574, 'Data Cleaning'!D105:D1574)</f>
        <v>College</v>
      </c>
      <c r="E105" s="3" t="str">
        <f>_xlfn.XLOOKUP(A105,'Data Cleaning'!A105:A1574, 'Data Cleaning'!E105:E1574)</f>
        <v>Single</v>
      </c>
      <c r="F105" t="str">
        <f>_xlfn.XLOOKUP(A105,'Data Cleaning'!A105:A1574, 'Data Cleaning'!F105:F1574)</f>
        <v>None</v>
      </c>
      <c r="G105" s="3" t="str">
        <f>_xlfn.XLOOKUP(A105,'Data Cleaning'!A105:A1574, 'Data Cleaning'!J105:J1574)</f>
        <v>Recently promoted</v>
      </c>
    </row>
    <row r="106" spans="1:7" x14ac:dyDescent="0.25">
      <c r="A106" s="3">
        <v>590</v>
      </c>
      <c r="B106" s="3" t="str">
        <f>_xlfn.XLOOKUP(A106,'Data Cleaning'!A106:A1575, 'Data Cleaning'!I106:I1575)</f>
        <v>25-34</v>
      </c>
      <c r="C106">
        <f>_xlfn.XLOOKUP(A106,'Data Cleaning'!A106:A1575,'Data Cleaning'!K106:K1575)</f>
        <v>1</v>
      </c>
      <c r="D106" t="str">
        <f>_xlfn.XLOOKUP(A106,'Data Cleaning'!A106:A1575, 'Data Cleaning'!D106:D1575)</f>
        <v>College</v>
      </c>
      <c r="E106" s="3" t="str">
        <f>_xlfn.XLOOKUP(A106,'Data Cleaning'!A106:A1575, 'Data Cleaning'!E106:E1575)</f>
        <v>Single</v>
      </c>
      <c r="F106" t="str">
        <f>_xlfn.XLOOKUP(A106,'Data Cleaning'!A106:A1575, 'Data Cleaning'!F106:F1575)</f>
        <v>None</v>
      </c>
      <c r="G106" s="3" t="str">
        <f>_xlfn.XLOOKUP(A106,'Data Cleaning'!A106:A1575, 'Data Cleaning'!J106:J1575)</f>
        <v>Promoted in 1-3 years</v>
      </c>
    </row>
    <row r="107" spans="1:7" x14ac:dyDescent="0.25">
      <c r="A107" s="3">
        <v>488</v>
      </c>
      <c r="B107" s="3" t="str">
        <f>_xlfn.XLOOKUP(A107,'Data Cleaning'!A107:A1576, 'Data Cleaning'!I107:I1576)</f>
        <v>35-44</v>
      </c>
      <c r="C107">
        <f>_xlfn.XLOOKUP(A107,'Data Cleaning'!A107:A1576,'Data Cleaning'!K107:K1576)</f>
        <v>1</v>
      </c>
      <c r="D107" t="str">
        <f>_xlfn.XLOOKUP(A107,'Data Cleaning'!A107:A1576, 'Data Cleaning'!D107:D1576)</f>
        <v>College</v>
      </c>
      <c r="E107" s="3" t="str">
        <f>_xlfn.XLOOKUP(A107,'Data Cleaning'!A107:A1576, 'Data Cleaning'!E107:E1576)</f>
        <v>Married</v>
      </c>
      <c r="F107" t="str">
        <f>_xlfn.XLOOKUP(A107,'Data Cleaning'!A107:A1576, 'Data Cleaning'!F107:F1576)</f>
        <v>None</v>
      </c>
      <c r="G107" s="3" t="str">
        <f>_xlfn.XLOOKUP(A107,'Data Cleaning'!A107:A1576, 'Data Cleaning'!J107:J1576)</f>
        <v>Promoted in 1-3 years</v>
      </c>
    </row>
    <row r="108" spans="1:7" x14ac:dyDescent="0.25">
      <c r="A108" s="3">
        <v>133</v>
      </c>
      <c r="B108" s="3" t="str">
        <f>_xlfn.XLOOKUP(A108,'Data Cleaning'!A108:A1577, 'Data Cleaning'!I108:I1577)</f>
        <v>35-44</v>
      </c>
      <c r="C108">
        <f>_xlfn.XLOOKUP(A108,'Data Cleaning'!A108:A1577,'Data Cleaning'!K108:K1577)</f>
        <v>1</v>
      </c>
      <c r="D108" t="str">
        <f>_xlfn.XLOOKUP(A108,'Data Cleaning'!A108:A1577, 'Data Cleaning'!D108:D1577)</f>
        <v>Bachelor</v>
      </c>
      <c r="E108" s="3" t="str">
        <f>_xlfn.XLOOKUP(A108,'Data Cleaning'!A108:A1577, 'Data Cleaning'!E108:E1577)</f>
        <v>Divorced</v>
      </c>
      <c r="F108" t="str">
        <f>_xlfn.XLOOKUP(A108,'Data Cleaning'!A108:A1577, 'Data Cleaning'!F108:F1577)</f>
        <v>Low</v>
      </c>
      <c r="G108" s="3" t="str">
        <f>_xlfn.XLOOKUP(A108,'Data Cleaning'!A108:A1577, 'Data Cleaning'!J108:J1577)</f>
        <v>Recently promoted</v>
      </c>
    </row>
    <row r="109" spans="1:7" x14ac:dyDescent="0.25">
      <c r="A109" s="3">
        <v>555</v>
      </c>
      <c r="B109" s="3" t="str">
        <f>_xlfn.XLOOKUP(A109,'Data Cleaning'!A109:A1578, 'Data Cleaning'!I109:I1578)</f>
        <v>25-34</v>
      </c>
      <c r="C109">
        <f>_xlfn.XLOOKUP(A109,'Data Cleaning'!A109:A1578,'Data Cleaning'!K109:K1578)</f>
        <v>1</v>
      </c>
      <c r="D109" t="str">
        <f>_xlfn.XLOOKUP(A109,'Data Cleaning'!A109:A1578, 'Data Cleaning'!D109:D1578)</f>
        <v>Bachelor</v>
      </c>
      <c r="E109" s="3" t="str">
        <f>_xlfn.XLOOKUP(A109,'Data Cleaning'!A109:A1578, 'Data Cleaning'!E109:E1578)</f>
        <v>Divorced</v>
      </c>
      <c r="F109" t="str">
        <f>_xlfn.XLOOKUP(A109,'Data Cleaning'!A109:A1578, 'Data Cleaning'!F109:F1578)</f>
        <v>High</v>
      </c>
      <c r="G109" s="3" t="str">
        <f>_xlfn.XLOOKUP(A109,'Data Cleaning'!A109:A1578, 'Data Cleaning'!J109:J1578)</f>
        <v>Recently promoted</v>
      </c>
    </row>
    <row r="110" spans="1:7" x14ac:dyDescent="0.25">
      <c r="A110" s="3">
        <v>720</v>
      </c>
      <c r="B110" s="3" t="str">
        <f>_xlfn.XLOOKUP(A110,'Data Cleaning'!A110:A1579, 'Data Cleaning'!I110:I1579)</f>
        <v>18-24</v>
      </c>
      <c r="C110">
        <f>_xlfn.XLOOKUP(A110,'Data Cleaning'!A110:A1579,'Data Cleaning'!K110:K1579)</f>
        <v>1</v>
      </c>
      <c r="D110" t="str">
        <f>_xlfn.XLOOKUP(A110,'Data Cleaning'!A110:A1579, 'Data Cleaning'!D110:D1579)</f>
        <v>Bachelor</v>
      </c>
      <c r="E110" s="3" t="str">
        <f>_xlfn.XLOOKUP(A110,'Data Cleaning'!A110:A1579, 'Data Cleaning'!E110:E1579)</f>
        <v>Married</v>
      </c>
      <c r="F110" t="str">
        <f>_xlfn.XLOOKUP(A110,'Data Cleaning'!A110:A1579, 'Data Cleaning'!F110:F1579)</f>
        <v>None</v>
      </c>
      <c r="G110" s="3" t="str">
        <f>_xlfn.XLOOKUP(A110,'Data Cleaning'!A110:A1579, 'Data Cleaning'!J110:J1579)</f>
        <v>Promoted in 1-3 years</v>
      </c>
    </row>
    <row r="111" spans="1:7" x14ac:dyDescent="0.25">
      <c r="A111" s="3">
        <v>881</v>
      </c>
      <c r="B111" s="3" t="str">
        <f>_xlfn.XLOOKUP(A111,'Data Cleaning'!A111:A1580, 'Data Cleaning'!I111:I1580)</f>
        <v>35-44</v>
      </c>
      <c r="C111">
        <f>_xlfn.XLOOKUP(A111,'Data Cleaning'!A111:A1580,'Data Cleaning'!K111:K1580)</f>
        <v>1</v>
      </c>
      <c r="D111" t="str">
        <f>_xlfn.XLOOKUP(A111,'Data Cleaning'!A111:A1580, 'Data Cleaning'!D111:D1580)</f>
        <v>College</v>
      </c>
      <c r="E111" s="3" t="str">
        <f>_xlfn.XLOOKUP(A111,'Data Cleaning'!A111:A1580, 'Data Cleaning'!E111:E1580)</f>
        <v>Single</v>
      </c>
      <c r="F111" t="str">
        <f>_xlfn.XLOOKUP(A111,'Data Cleaning'!A111:A1580, 'Data Cleaning'!F111:F1580)</f>
        <v>None</v>
      </c>
      <c r="G111" s="3" t="str">
        <f>_xlfn.XLOOKUP(A111,'Data Cleaning'!A111:A1580, 'Data Cleaning'!J111:J1580)</f>
        <v>Recently promoted</v>
      </c>
    </row>
    <row r="112" spans="1:7" x14ac:dyDescent="0.25">
      <c r="A112" s="3">
        <v>926</v>
      </c>
      <c r="B112" s="3" t="str">
        <f>_xlfn.XLOOKUP(A112,'Data Cleaning'!A112:A1581, 'Data Cleaning'!I112:I1581)</f>
        <v>18-24</v>
      </c>
      <c r="C112">
        <f>_xlfn.XLOOKUP(A112,'Data Cleaning'!A112:A1581,'Data Cleaning'!K112:K1581)</f>
        <v>1</v>
      </c>
      <c r="D112" t="str">
        <f>_xlfn.XLOOKUP(A112,'Data Cleaning'!A112:A1581, 'Data Cleaning'!D112:D1581)</f>
        <v>Below College</v>
      </c>
      <c r="E112" s="3" t="str">
        <f>_xlfn.XLOOKUP(A112,'Data Cleaning'!A112:A1581, 'Data Cleaning'!E112:E1581)</f>
        <v>Single</v>
      </c>
      <c r="F112" t="str">
        <f>_xlfn.XLOOKUP(A112,'Data Cleaning'!A112:A1581, 'Data Cleaning'!F112:F1581)</f>
        <v>None</v>
      </c>
      <c r="G112" s="3" t="str">
        <f>_xlfn.XLOOKUP(A112,'Data Cleaning'!A112:A1581, 'Data Cleaning'!J112:J1581)</f>
        <v>Long Promotion gap</v>
      </c>
    </row>
    <row r="113" spans="1:7" x14ac:dyDescent="0.25">
      <c r="A113" s="3">
        <v>932</v>
      </c>
      <c r="B113" s="3" t="str">
        <f>_xlfn.XLOOKUP(A113,'Data Cleaning'!A113:A1582, 'Data Cleaning'!I113:I1582)</f>
        <v>35-44</v>
      </c>
      <c r="C113">
        <f>_xlfn.XLOOKUP(A113,'Data Cleaning'!A113:A1582,'Data Cleaning'!K113:K1582)</f>
        <v>1</v>
      </c>
      <c r="D113" t="str">
        <f>_xlfn.XLOOKUP(A113,'Data Cleaning'!A113:A1582, 'Data Cleaning'!D113:D1582)</f>
        <v>Bachelor</v>
      </c>
      <c r="E113" s="3" t="str">
        <f>_xlfn.XLOOKUP(A113,'Data Cleaning'!A113:A1582, 'Data Cleaning'!E113:E1582)</f>
        <v>Single</v>
      </c>
      <c r="F113" t="str">
        <f>_xlfn.XLOOKUP(A113,'Data Cleaning'!A113:A1582, 'Data Cleaning'!F113:F1582)</f>
        <v>None</v>
      </c>
      <c r="G113" s="3" t="str">
        <f>_xlfn.XLOOKUP(A113,'Data Cleaning'!A113:A1582, 'Data Cleaning'!J113:J1582)</f>
        <v>Recently promoted</v>
      </c>
    </row>
    <row r="114" spans="1:7" x14ac:dyDescent="0.25">
      <c r="A114" s="3">
        <v>1439</v>
      </c>
      <c r="B114" s="3" t="str">
        <f>_xlfn.XLOOKUP(A114,'Data Cleaning'!A114:A1583, 'Data Cleaning'!I114:I1583)</f>
        <v>25-34</v>
      </c>
      <c r="C114">
        <f>_xlfn.XLOOKUP(A114,'Data Cleaning'!A114:A1583,'Data Cleaning'!K114:K1583)</f>
        <v>1</v>
      </c>
      <c r="D114" t="str">
        <f>_xlfn.XLOOKUP(A114,'Data Cleaning'!A114:A1583, 'Data Cleaning'!D114:D1583)</f>
        <v>Bachelor</v>
      </c>
      <c r="E114" s="3" t="str">
        <f>_xlfn.XLOOKUP(A114,'Data Cleaning'!A114:A1583, 'Data Cleaning'!E114:E1583)</f>
        <v>Married</v>
      </c>
      <c r="F114" t="str">
        <f>_xlfn.XLOOKUP(A114,'Data Cleaning'!A114:A1583, 'Data Cleaning'!F114:F1583)</f>
        <v>Low</v>
      </c>
      <c r="G114" s="3" t="str">
        <f>_xlfn.XLOOKUP(A114,'Data Cleaning'!A114:A1583, 'Data Cleaning'!J114:J1583)</f>
        <v>Long Promotion gap</v>
      </c>
    </row>
    <row r="115" spans="1:7" x14ac:dyDescent="0.25">
      <c r="A115" s="3">
        <v>1037</v>
      </c>
      <c r="B115" s="3" t="str">
        <f>_xlfn.XLOOKUP(A115,'Data Cleaning'!A115:A1584, 'Data Cleaning'!I115:I1584)</f>
        <v>25-34</v>
      </c>
      <c r="C115">
        <f>_xlfn.XLOOKUP(A115,'Data Cleaning'!A115:A1584,'Data Cleaning'!K115:K1584)</f>
        <v>1</v>
      </c>
      <c r="D115" t="str">
        <f>_xlfn.XLOOKUP(A115,'Data Cleaning'!A115:A1584, 'Data Cleaning'!D115:D1584)</f>
        <v>Bachelor</v>
      </c>
      <c r="E115" s="3" t="str">
        <f>_xlfn.XLOOKUP(A115,'Data Cleaning'!A115:A1584, 'Data Cleaning'!E115:E1584)</f>
        <v>Single</v>
      </c>
      <c r="F115" t="str">
        <f>_xlfn.XLOOKUP(A115,'Data Cleaning'!A115:A1584, 'Data Cleaning'!F115:F1584)</f>
        <v>None</v>
      </c>
      <c r="G115" s="3" t="str">
        <f>_xlfn.XLOOKUP(A115,'Data Cleaning'!A115:A1584, 'Data Cleaning'!J115:J1584)</f>
        <v>Promoted in 1-3 years</v>
      </c>
    </row>
    <row r="116" spans="1:7" x14ac:dyDescent="0.25">
      <c r="A116" s="3">
        <v>1160</v>
      </c>
      <c r="B116" s="3" t="str">
        <f>_xlfn.XLOOKUP(A116,'Data Cleaning'!A116:A1585, 'Data Cleaning'!I116:I1585)</f>
        <v>25-34</v>
      </c>
      <c r="C116">
        <f>_xlfn.XLOOKUP(A116,'Data Cleaning'!A116:A1585,'Data Cleaning'!K116:K1585)</f>
        <v>1</v>
      </c>
      <c r="D116" t="str">
        <f>_xlfn.XLOOKUP(A116,'Data Cleaning'!A116:A1585, 'Data Cleaning'!D116:D1585)</f>
        <v>College</v>
      </c>
      <c r="E116" s="3" t="str">
        <f>_xlfn.XLOOKUP(A116,'Data Cleaning'!A116:A1585, 'Data Cleaning'!E116:E1585)</f>
        <v>Married</v>
      </c>
      <c r="F116" t="str">
        <f>_xlfn.XLOOKUP(A116,'Data Cleaning'!A116:A1585, 'Data Cleaning'!F116:F1585)</f>
        <v>None</v>
      </c>
      <c r="G116" s="3" t="str">
        <f>_xlfn.XLOOKUP(A116,'Data Cleaning'!A116:A1585, 'Data Cleaning'!J116:J1585)</f>
        <v>Recently promoted</v>
      </c>
    </row>
    <row r="117" spans="1:7" x14ac:dyDescent="0.25">
      <c r="A117" s="3">
        <v>896</v>
      </c>
      <c r="B117" s="3" t="str">
        <f>_xlfn.XLOOKUP(A117,'Data Cleaning'!A117:A1586, 'Data Cleaning'!I117:I1586)</f>
        <v>25-34</v>
      </c>
      <c r="C117">
        <f>_xlfn.XLOOKUP(A117,'Data Cleaning'!A117:A1586,'Data Cleaning'!K117:K1586)</f>
        <v>1</v>
      </c>
      <c r="D117" t="str">
        <f>_xlfn.XLOOKUP(A117,'Data Cleaning'!A117:A1586, 'Data Cleaning'!D117:D1586)</f>
        <v>Master</v>
      </c>
      <c r="E117" s="3" t="str">
        <f>_xlfn.XLOOKUP(A117,'Data Cleaning'!A117:A1586, 'Data Cleaning'!E117:E1586)</f>
        <v>Divorced</v>
      </c>
      <c r="F117" t="str">
        <f>_xlfn.XLOOKUP(A117,'Data Cleaning'!A117:A1586, 'Data Cleaning'!F117:F1586)</f>
        <v>Low</v>
      </c>
      <c r="G117" s="3" t="str">
        <f>_xlfn.XLOOKUP(A117,'Data Cleaning'!A117:A1586, 'Data Cleaning'!J117:J1586)</f>
        <v>Long Promotion gap</v>
      </c>
    </row>
    <row r="118" spans="1:7" x14ac:dyDescent="0.25">
      <c r="A118" s="3">
        <v>922</v>
      </c>
      <c r="B118" s="3" t="str">
        <f>_xlfn.XLOOKUP(A118,'Data Cleaning'!A118:A1587, 'Data Cleaning'!I118:I1587)</f>
        <v>18-24</v>
      </c>
      <c r="C118">
        <f>_xlfn.XLOOKUP(A118,'Data Cleaning'!A118:A1587,'Data Cleaning'!K118:K1587)</f>
        <v>1</v>
      </c>
      <c r="D118" t="str">
        <f>_xlfn.XLOOKUP(A118,'Data Cleaning'!A118:A1587, 'Data Cleaning'!D118:D1587)</f>
        <v>Below College</v>
      </c>
      <c r="E118" s="3" t="str">
        <f>_xlfn.XLOOKUP(A118,'Data Cleaning'!A118:A1587, 'Data Cleaning'!E118:E1587)</f>
        <v>Married</v>
      </c>
      <c r="F118" t="str">
        <f>_xlfn.XLOOKUP(A118,'Data Cleaning'!A118:A1587, 'Data Cleaning'!F118:F1587)</f>
        <v>Low</v>
      </c>
      <c r="G118" s="3" t="str">
        <f>_xlfn.XLOOKUP(A118,'Data Cleaning'!A118:A1587, 'Data Cleaning'!J118:J1587)</f>
        <v>Recently promoted</v>
      </c>
    </row>
    <row r="119" spans="1:7" x14ac:dyDescent="0.25">
      <c r="A119" s="3">
        <v>1167</v>
      </c>
      <c r="B119" s="3" t="str">
        <f>_xlfn.XLOOKUP(A119,'Data Cleaning'!A119:A1588, 'Data Cleaning'!I119:I1588)</f>
        <v>35-44</v>
      </c>
      <c r="C119">
        <f>_xlfn.XLOOKUP(A119,'Data Cleaning'!A119:A1588,'Data Cleaning'!K119:K1588)</f>
        <v>1</v>
      </c>
      <c r="D119" t="str">
        <f>_xlfn.XLOOKUP(A119,'Data Cleaning'!A119:A1588, 'Data Cleaning'!D119:D1588)</f>
        <v>Master</v>
      </c>
      <c r="E119" s="3" t="str">
        <f>_xlfn.XLOOKUP(A119,'Data Cleaning'!A119:A1588, 'Data Cleaning'!E119:E1588)</f>
        <v>Married</v>
      </c>
      <c r="F119" t="str">
        <f>_xlfn.XLOOKUP(A119,'Data Cleaning'!A119:A1588, 'Data Cleaning'!F119:F1588)</f>
        <v>Low</v>
      </c>
      <c r="G119" s="3" t="str">
        <f>_xlfn.XLOOKUP(A119,'Data Cleaning'!A119:A1588, 'Data Cleaning'!J119:J1588)</f>
        <v>Long Promotion gap</v>
      </c>
    </row>
    <row r="120" spans="1:7" x14ac:dyDescent="0.25">
      <c r="A120" s="3">
        <v>1331</v>
      </c>
      <c r="B120" s="3" t="str">
        <f>_xlfn.XLOOKUP(A120,'Data Cleaning'!A120:A1589, 'Data Cleaning'!I120:I1589)</f>
        <v>25-34</v>
      </c>
      <c r="C120">
        <f>_xlfn.XLOOKUP(A120,'Data Cleaning'!A120:A1589,'Data Cleaning'!K120:K1589)</f>
        <v>1</v>
      </c>
      <c r="D120" t="str">
        <f>_xlfn.XLOOKUP(A120,'Data Cleaning'!A120:A1589, 'Data Cleaning'!D120:D1589)</f>
        <v>College</v>
      </c>
      <c r="E120" s="3" t="str">
        <f>_xlfn.XLOOKUP(A120,'Data Cleaning'!A120:A1589, 'Data Cleaning'!E120:E1589)</f>
        <v>Single</v>
      </c>
      <c r="F120" t="str">
        <f>_xlfn.XLOOKUP(A120,'Data Cleaning'!A120:A1589, 'Data Cleaning'!F120:F1589)</f>
        <v>None</v>
      </c>
      <c r="G120" s="3" t="str">
        <f>_xlfn.XLOOKUP(A120,'Data Cleaning'!A120:A1589, 'Data Cleaning'!J120:J1589)</f>
        <v>Recently promoted</v>
      </c>
    </row>
    <row r="121" spans="1:7" x14ac:dyDescent="0.25">
      <c r="A121" s="3">
        <v>1333</v>
      </c>
      <c r="B121" s="3" t="str">
        <f>_xlfn.XLOOKUP(A121,'Data Cleaning'!A121:A1590, 'Data Cleaning'!I121:I1590)</f>
        <v>35-44</v>
      </c>
      <c r="C121">
        <f>_xlfn.XLOOKUP(A121,'Data Cleaning'!A121:A1590,'Data Cleaning'!K121:K1590)</f>
        <v>1</v>
      </c>
      <c r="D121" t="str">
        <f>_xlfn.XLOOKUP(A121,'Data Cleaning'!A121:A1590, 'Data Cleaning'!D121:D1590)</f>
        <v>Bachelor</v>
      </c>
      <c r="E121" s="3" t="str">
        <f>_xlfn.XLOOKUP(A121,'Data Cleaning'!A121:A1590, 'Data Cleaning'!E121:E1590)</f>
        <v>Married</v>
      </c>
      <c r="F121" t="str">
        <f>_xlfn.XLOOKUP(A121,'Data Cleaning'!A121:A1590, 'Data Cleaning'!F121:F1590)</f>
        <v>None</v>
      </c>
      <c r="G121" s="3" t="str">
        <f>_xlfn.XLOOKUP(A121,'Data Cleaning'!A121:A1590, 'Data Cleaning'!J121:J1590)</f>
        <v>Promoted in 1-3 years</v>
      </c>
    </row>
    <row r="122" spans="1:7" x14ac:dyDescent="0.25">
      <c r="A122" s="3">
        <v>1156</v>
      </c>
      <c r="B122" s="3" t="str">
        <f>_xlfn.XLOOKUP(A122,'Data Cleaning'!A122:A1591, 'Data Cleaning'!I122:I1591)</f>
        <v>18-24</v>
      </c>
      <c r="C122">
        <f>_xlfn.XLOOKUP(A122,'Data Cleaning'!A122:A1591,'Data Cleaning'!K122:K1591)</f>
        <v>1</v>
      </c>
      <c r="D122" t="str">
        <f>_xlfn.XLOOKUP(A122,'Data Cleaning'!A122:A1591, 'Data Cleaning'!D122:D1591)</f>
        <v>Master</v>
      </c>
      <c r="E122" s="3" t="str">
        <f>_xlfn.XLOOKUP(A122,'Data Cleaning'!A122:A1591, 'Data Cleaning'!E122:E1591)</f>
        <v>Single</v>
      </c>
      <c r="F122" t="str">
        <f>_xlfn.XLOOKUP(A122,'Data Cleaning'!A122:A1591, 'Data Cleaning'!F122:F1591)</f>
        <v>None</v>
      </c>
      <c r="G122" s="3" t="str">
        <f>_xlfn.XLOOKUP(A122,'Data Cleaning'!A122:A1591, 'Data Cleaning'!J122:J1591)</f>
        <v>Promoted in 1-3 years</v>
      </c>
    </row>
    <row r="123" spans="1:7" x14ac:dyDescent="0.25">
      <c r="A123" s="3">
        <v>1372</v>
      </c>
      <c r="B123" s="3" t="str">
        <f>_xlfn.XLOOKUP(A123,'Data Cleaning'!A123:A1592, 'Data Cleaning'!I123:I1592)</f>
        <v>55-60</v>
      </c>
      <c r="C123">
        <f>_xlfn.XLOOKUP(A123,'Data Cleaning'!A123:A1592,'Data Cleaning'!K123:K1592)</f>
        <v>1</v>
      </c>
      <c r="D123" t="str">
        <f>_xlfn.XLOOKUP(A123,'Data Cleaning'!A123:A1592, 'Data Cleaning'!D123:D1592)</f>
        <v>Master</v>
      </c>
      <c r="E123" s="3" t="str">
        <f>_xlfn.XLOOKUP(A123,'Data Cleaning'!A123:A1592, 'Data Cleaning'!E123:E1592)</f>
        <v>Single</v>
      </c>
      <c r="F123" t="str">
        <f>_xlfn.XLOOKUP(A123,'Data Cleaning'!A123:A1592, 'Data Cleaning'!F123:F1592)</f>
        <v>None</v>
      </c>
      <c r="G123" s="3" t="str">
        <f>_xlfn.XLOOKUP(A123,'Data Cleaning'!A123:A1592, 'Data Cleaning'!J123:J1592)</f>
        <v>Promoted in 1-3 years</v>
      </c>
    </row>
    <row r="124" spans="1:7" x14ac:dyDescent="0.25">
      <c r="A124" s="3">
        <v>1405</v>
      </c>
      <c r="B124" s="3" t="str">
        <f>_xlfn.XLOOKUP(A124,'Data Cleaning'!A124:A1593, 'Data Cleaning'!I124:I1593)</f>
        <v>25-34</v>
      </c>
      <c r="C124">
        <f>_xlfn.XLOOKUP(A124,'Data Cleaning'!A124:A1593,'Data Cleaning'!K124:K1593)</f>
        <v>1</v>
      </c>
      <c r="D124" t="str">
        <f>_xlfn.XLOOKUP(A124,'Data Cleaning'!A124:A1593, 'Data Cleaning'!D124:D1593)</f>
        <v>Bachelor</v>
      </c>
      <c r="E124" s="3" t="str">
        <f>_xlfn.XLOOKUP(A124,'Data Cleaning'!A124:A1593, 'Data Cleaning'!E124:E1593)</f>
        <v>Single</v>
      </c>
      <c r="F124" t="str">
        <f>_xlfn.XLOOKUP(A124,'Data Cleaning'!A124:A1593, 'Data Cleaning'!F124:F1593)</f>
        <v>None</v>
      </c>
      <c r="G124" s="3" t="str">
        <f>_xlfn.XLOOKUP(A124,'Data Cleaning'!A124:A1593, 'Data Cleaning'!J124:J1593)</f>
        <v>Recently promoted</v>
      </c>
    </row>
    <row r="125" spans="1:7" x14ac:dyDescent="0.25">
      <c r="A125" s="3">
        <v>1467</v>
      </c>
      <c r="B125" s="3" t="str">
        <f>_xlfn.XLOOKUP(A125,'Data Cleaning'!A125:A1594, 'Data Cleaning'!I125:I1594)</f>
        <v>25-34</v>
      </c>
      <c r="C125">
        <f>_xlfn.XLOOKUP(A125,'Data Cleaning'!A125:A1594,'Data Cleaning'!K125:K1594)</f>
        <v>1</v>
      </c>
      <c r="D125" t="str">
        <f>_xlfn.XLOOKUP(A125,'Data Cleaning'!A125:A1594, 'Data Cleaning'!D125:D1594)</f>
        <v>College</v>
      </c>
      <c r="E125" s="3" t="str">
        <f>_xlfn.XLOOKUP(A125,'Data Cleaning'!A125:A1594, 'Data Cleaning'!E125:E1594)</f>
        <v>Married</v>
      </c>
      <c r="F125" t="str">
        <f>_xlfn.XLOOKUP(A125,'Data Cleaning'!A125:A1594, 'Data Cleaning'!F125:F1594)</f>
        <v>Low</v>
      </c>
      <c r="G125" s="3" t="str">
        <f>_xlfn.XLOOKUP(A125,'Data Cleaning'!A125:A1594, 'Data Cleaning'!J125:J1594)</f>
        <v>Promoted in 1-3 years</v>
      </c>
    </row>
    <row r="126" spans="1:7" x14ac:dyDescent="0.25">
      <c r="A126" s="3">
        <v>1486</v>
      </c>
      <c r="B126" s="3" t="str">
        <f>_xlfn.XLOOKUP(A126,'Data Cleaning'!A126:A1595, 'Data Cleaning'!I126:I1595)</f>
        <v>25-34</v>
      </c>
      <c r="C126">
        <f>_xlfn.XLOOKUP(A126,'Data Cleaning'!A126:A1595,'Data Cleaning'!K126:K1595)</f>
        <v>1</v>
      </c>
      <c r="D126" t="str">
        <f>_xlfn.XLOOKUP(A126,'Data Cleaning'!A126:A1595, 'Data Cleaning'!D126:D1595)</f>
        <v>College</v>
      </c>
      <c r="E126" s="3" t="str">
        <f>_xlfn.XLOOKUP(A126,'Data Cleaning'!A126:A1595, 'Data Cleaning'!E126:E1595)</f>
        <v>Single</v>
      </c>
      <c r="F126" t="str">
        <f>_xlfn.XLOOKUP(A126,'Data Cleaning'!A126:A1595, 'Data Cleaning'!F126:F1595)</f>
        <v>None</v>
      </c>
      <c r="G126" s="3" t="str">
        <f>_xlfn.XLOOKUP(A126,'Data Cleaning'!A126:A1595, 'Data Cleaning'!J126:J1595)</f>
        <v>Promoted in 1-3 years</v>
      </c>
    </row>
    <row r="127" spans="1:7" x14ac:dyDescent="0.25">
      <c r="A127" s="3">
        <v>1504</v>
      </c>
      <c r="B127" s="3" t="str">
        <f>_xlfn.XLOOKUP(A127,'Data Cleaning'!A127:A1596, 'Data Cleaning'!I127:I1596)</f>
        <v>25-34</v>
      </c>
      <c r="C127">
        <f>_xlfn.XLOOKUP(A127,'Data Cleaning'!A127:A1596,'Data Cleaning'!K127:K1596)</f>
        <v>1</v>
      </c>
      <c r="D127" t="str">
        <f>_xlfn.XLOOKUP(A127,'Data Cleaning'!A127:A1596, 'Data Cleaning'!D127:D1596)</f>
        <v>College</v>
      </c>
      <c r="E127" s="3" t="str">
        <f>_xlfn.XLOOKUP(A127,'Data Cleaning'!A127:A1596, 'Data Cleaning'!E127:E1596)</f>
        <v>Single</v>
      </c>
      <c r="F127" t="str">
        <f>_xlfn.XLOOKUP(A127,'Data Cleaning'!A127:A1596, 'Data Cleaning'!F127:F1596)</f>
        <v>None</v>
      </c>
      <c r="G127" s="3" t="str">
        <f>_xlfn.XLOOKUP(A127,'Data Cleaning'!A127:A1596, 'Data Cleaning'!J127:J1596)</f>
        <v>Promoted in 1-3 years</v>
      </c>
    </row>
    <row r="128" spans="1:7" x14ac:dyDescent="0.25">
      <c r="A128" s="3">
        <v>1562</v>
      </c>
      <c r="B128" s="3" t="str">
        <f>_xlfn.XLOOKUP(A128,'Data Cleaning'!A128:A1597, 'Data Cleaning'!I128:I1597)</f>
        <v>25-34</v>
      </c>
      <c r="C128">
        <f>_xlfn.XLOOKUP(A128,'Data Cleaning'!A128:A1597,'Data Cleaning'!K128:K1597)</f>
        <v>1</v>
      </c>
      <c r="D128" t="str">
        <f>_xlfn.XLOOKUP(A128,'Data Cleaning'!A128:A1597, 'Data Cleaning'!D128:D1597)</f>
        <v>Master</v>
      </c>
      <c r="E128" s="3" t="str">
        <f>_xlfn.XLOOKUP(A128,'Data Cleaning'!A128:A1597, 'Data Cleaning'!E128:E1597)</f>
        <v>Married</v>
      </c>
      <c r="F128" t="str">
        <f>_xlfn.XLOOKUP(A128,'Data Cleaning'!A128:A1597, 'Data Cleaning'!F128:F1597)</f>
        <v>High</v>
      </c>
      <c r="G128" s="3" t="str">
        <f>_xlfn.XLOOKUP(A128,'Data Cleaning'!A128:A1597, 'Data Cleaning'!J128:J1597)</f>
        <v>Promoted in 1-3 years</v>
      </c>
    </row>
    <row r="129" spans="1:7" x14ac:dyDescent="0.25">
      <c r="A129" s="3">
        <v>1624</v>
      </c>
      <c r="B129" s="3" t="str">
        <f>_xlfn.XLOOKUP(A129,'Data Cleaning'!A129:A1598, 'Data Cleaning'!I129:I1598)</f>
        <v>18-24</v>
      </c>
      <c r="C129">
        <f>_xlfn.XLOOKUP(A129,'Data Cleaning'!A129:A1598,'Data Cleaning'!K129:K1598)</f>
        <v>1</v>
      </c>
      <c r="D129" t="str">
        <f>_xlfn.XLOOKUP(A129,'Data Cleaning'!A129:A1598, 'Data Cleaning'!D129:D1598)</f>
        <v>Master</v>
      </c>
      <c r="E129" s="3" t="str">
        <f>_xlfn.XLOOKUP(A129,'Data Cleaning'!A129:A1598, 'Data Cleaning'!E129:E1598)</f>
        <v>Married</v>
      </c>
      <c r="F129" t="str">
        <f>_xlfn.XLOOKUP(A129,'Data Cleaning'!A129:A1598, 'Data Cleaning'!F129:F1598)</f>
        <v>Low</v>
      </c>
      <c r="G129" s="3" t="str">
        <f>_xlfn.XLOOKUP(A129,'Data Cleaning'!A129:A1598, 'Data Cleaning'!J129:J1598)</f>
        <v>Long Promotion gap</v>
      </c>
    </row>
    <row r="130" spans="1:7" x14ac:dyDescent="0.25">
      <c r="A130" s="3">
        <v>1649</v>
      </c>
      <c r="B130" s="3" t="str">
        <f>_xlfn.XLOOKUP(A130,'Data Cleaning'!A130:A1599, 'Data Cleaning'!I130:I1599)</f>
        <v>35-44</v>
      </c>
      <c r="C130">
        <f>_xlfn.XLOOKUP(A130,'Data Cleaning'!A130:A1599,'Data Cleaning'!K130:K1599)</f>
        <v>1</v>
      </c>
      <c r="D130" t="str">
        <f>_xlfn.XLOOKUP(A130,'Data Cleaning'!A130:A1599, 'Data Cleaning'!D130:D1599)</f>
        <v>Master</v>
      </c>
      <c r="E130" s="3" t="str">
        <f>_xlfn.XLOOKUP(A130,'Data Cleaning'!A130:A1599, 'Data Cleaning'!E130:E1599)</f>
        <v>Married</v>
      </c>
      <c r="F130" t="str">
        <f>_xlfn.XLOOKUP(A130,'Data Cleaning'!A130:A1599, 'Data Cleaning'!F130:F1599)</f>
        <v>None</v>
      </c>
      <c r="G130" s="3" t="str">
        <f>_xlfn.XLOOKUP(A130,'Data Cleaning'!A130:A1599, 'Data Cleaning'!J130:J1599)</f>
        <v>Promoted in 1-3 years</v>
      </c>
    </row>
    <row r="131" spans="1:7" x14ac:dyDescent="0.25">
      <c r="A131" s="3">
        <v>1421</v>
      </c>
      <c r="B131" s="3" t="str">
        <f>_xlfn.XLOOKUP(A131,'Data Cleaning'!A131:A1600, 'Data Cleaning'!I131:I1600)</f>
        <v>25-34</v>
      </c>
      <c r="C131">
        <f>_xlfn.XLOOKUP(A131,'Data Cleaning'!A131:A1600,'Data Cleaning'!K131:K1600)</f>
        <v>1</v>
      </c>
      <c r="D131" t="str">
        <f>_xlfn.XLOOKUP(A131,'Data Cleaning'!A131:A1600, 'Data Cleaning'!D131:D1600)</f>
        <v>Bachelor</v>
      </c>
      <c r="E131" s="3" t="str">
        <f>_xlfn.XLOOKUP(A131,'Data Cleaning'!A131:A1600, 'Data Cleaning'!E131:E1600)</f>
        <v>Divorced</v>
      </c>
      <c r="F131" t="str">
        <f>_xlfn.XLOOKUP(A131,'Data Cleaning'!A131:A1600, 'Data Cleaning'!F131:F1600)</f>
        <v>High</v>
      </c>
      <c r="G131" s="3" t="str">
        <f>_xlfn.XLOOKUP(A131,'Data Cleaning'!A131:A1600, 'Data Cleaning'!J131:J1600)</f>
        <v>Promoted in 1-3 years</v>
      </c>
    </row>
    <row r="132" spans="1:7" x14ac:dyDescent="0.25">
      <c r="A132" s="3">
        <v>1702</v>
      </c>
      <c r="B132" s="3" t="str">
        <f>_xlfn.XLOOKUP(A132,'Data Cleaning'!A132:A1601, 'Data Cleaning'!I132:I1601)</f>
        <v>18-24</v>
      </c>
      <c r="C132">
        <f>_xlfn.XLOOKUP(A132,'Data Cleaning'!A132:A1601,'Data Cleaning'!K132:K1601)</f>
        <v>1</v>
      </c>
      <c r="D132" t="str">
        <f>_xlfn.XLOOKUP(A132,'Data Cleaning'!A132:A1601, 'Data Cleaning'!D132:D1601)</f>
        <v>College</v>
      </c>
      <c r="E132" s="3" t="str">
        <f>_xlfn.XLOOKUP(A132,'Data Cleaning'!A132:A1601, 'Data Cleaning'!E132:E1601)</f>
        <v>Divorced</v>
      </c>
      <c r="F132" t="str">
        <f>_xlfn.XLOOKUP(A132,'Data Cleaning'!A132:A1601, 'Data Cleaning'!F132:F1601)</f>
        <v>Low</v>
      </c>
      <c r="G132" s="3" t="str">
        <f>_xlfn.XLOOKUP(A132,'Data Cleaning'!A132:A1601, 'Data Cleaning'!J132:J1601)</f>
        <v>Promoted in 1-3 years</v>
      </c>
    </row>
    <row r="133" spans="1:7" x14ac:dyDescent="0.25">
      <c r="A133" s="3">
        <v>1734</v>
      </c>
      <c r="B133" s="3" t="str">
        <f>_xlfn.XLOOKUP(A133,'Data Cleaning'!A133:A1602, 'Data Cleaning'!I133:I1602)</f>
        <v>25-34</v>
      </c>
      <c r="C133">
        <f>_xlfn.XLOOKUP(A133,'Data Cleaning'!A133:A1602,'Data Cleaning'!K133:K1602)</f>
        <v>1</v>
      </c>
      <c r="D133" t="str">
        <f>_xlfn.XLOOKUP(A133,'Data Cleaning'!A133:A1602, 'Data Cleaning'!D133:D1602)</f>
        <v>College</v>
      </c>
      <c r="E133" s="3" t="str">
        <f>_xlfn.XLOOKUP(A133,'Data Cleaning'!A133:A1602, 'Data Cleaning'!E133:E1602)</f>
        <v>Single</v>
      </c>
      <c r="F133" t="str">
        <f>_xlfn.XLOOKUP(A133,'Data Cleaning'!A133:A1602, 'Data Cleaning'!F133:F1602)</f>
        <v>None</v>
      </c>
      <c r="G133" s="3" t="str">
        <f>_xlfn.XLOOKUP(A133,'Data Cleaning'!A133:A1602, 'Data Cleaning'!J133:J1602)</f>
        <v>Promoted in 1-3 years</v>
      </c>
    </row>
    <row r="134" spans="1:7" x14ac:dyDescent="0.25">
      <c r="A134" s="3">
        <v>1758</v>
      </c>
      <c r="B134" s="3" t="str">
        <f>_xlfn.XLOOKUP(A134,'Data Cleaning'!A134:A1603, 'Data Cleaning'!I134:I1603)</f>
        <v>25-34</v>
      </c>
      <c r="C134">
        <f>_xlfn.XLOOKUP(A134,'Data Cleaning'!A134:A1603,'Data Cleaning'!K134:K1603)</f>
        <v>1</v>
      </c>
      <c r="D134" t="str">
        <f>_xlfn.XLOOKUP(A134,'Data Cleaning'!A134:A1603, 'Data Cleaning'!D134:D1603)</f>
        <v>Bachelor</v>
      </c>
      <c r="E134" s="3" t="str">
        <f>_xlfn.XLOOKUP(A134,'Data Cleaning'!A134:A1603, 'Data Cleaning'!E134:E1603)</f>
        <v>Single</v>
      </c>
      <c r="F134" t="str">
        <f>_xlfn.XLOOKUP(A134,'Data Cleaning'!A134:A1603, 'Data Cleaning'!F134:F1603)</f>
        <v>None</v>
      </c>
      <c r="G134" s="3" t="str">
        <f>_xlfn.XLOOKUP(A134,'Data Cleaning'!A134:A1603, 'Data Cleaning'!J134:J1603)</f>
        <v>Recently promoted</v>
      </c>
    </row>
    <row r="135" spans="1:7" x14ac:dyDescent="0.25">
      <c r="A135" s="3">
        <v>1844</v>
      </c>
      <c r="B135" s="3" t="str">
        <f>_xlfn.XLOOKUP(A135,'Data Cleaning'!A135:A1604, 'Data Cleaning'!I135:I1604)</f>
        <v>25-34</v>
      </c>
      <c r="C135">
        <f>_xlfn.XLOOKUP(A135,'Data Cleaning'!A135:A1604,'Data Cleaning'!K135:K1604)</f>
        <v>1</v>
      </c>
      <c r="D135" t="str">
        <f>_xlfn.XLOOKUP(A135,'Data Cleaning'!A135:A1604, 'Data Cleaning'!D135:D1604)</f>
        <v>Below College</v>
      </c>
      <c r="E135" s="3" t="str">
        <f>_xlfn.XLOOKUP(A135,'Data Cleaning'!A135:A1604, 'Data Cleaning'!E135:E1604)</f>
        <v>Single</v>
      </c>
      <c r="F135" t="str">
        <f>_xlfn.XLOOKUP(A135,'Data Cleaning'!A135:A1604, 'Data Cleaning'!F135:F1604)</f>
        <v>None</v>
      </c>
      <c r="G135" s="3" t="str">
        <f>_xlfn.XLOOKUP(A135,'Data Cleaning'!A135:A1604, 'Data Cleaning'!J135:J1604)</f>
        <v>Long Promotion gap</v>
      </c>
    </row>
    <row r="136" spans="1:7" x14ac:dyDescent="0.25">
      <c r="A136" s="3">
        <v>1821</v>
      </c>
      <c r="B136" s="3" t="str">
        <f>_xlfn.XLOOKUP(A136,'Data Cleaning'!A136:A1605, 'Data Cleaning'!I136:I1605)</f>
        <v>45-54</v>
      </c>
      <c r="C136">
        <f>_xlfn.XLOOKUP(A136,'Data Cleaning'!A136:A1605,'Data Cleaning'!K136:K1605)</f>
        <v>1</v>
      </c>
      <c r="D136" t="str">
        <f>_xlfn.XLOOKUP(A136,'Data Cleaning'!A136:A1605, 'Data Cleaning'!D136:D1605)</f>
        <v>Bachelor</v>
      </c>
      <c r="E136" s="3" t="str">
        <f>_xlfn.XLOOKUP(A136,'Data Cleaning'!A136:A1605, 'Data Cleaning'!E136:E1605)</f>
        <v>Married</v>
      </c>
      <c r="F136" t="str">
        <f>_xlfn.XLOOKUP(A136,'Data Cleaning'!A136:A1605, 'Data Cleaning'!F136:F1605)</f>
        <v>Low</v>
      </c>
      <c r="G136" s="3" t="str">
        <f>_xlfn.XLOOKUP(A136,'Data Cleaning'!A136:A1605, 'Data Cleaning'!J136:J1605)</f>
        <v>Promoted in 1-3 years</v>
      </c>
    </row>
    <row r="137" spans="1:7" x14ac:dyDescent="0.25">
      <c r="A137" s="3">
        <v>1933</v>
      </c>
      <c r="B137" s="3" t="str">
        <f>_xlfn.XLOOKUP(A137,'Data Cleaning'!A137:A1606, 'Data Cleaning'!I137:I1606)</f>
        <v>25-34</v>
      </c>
      <c r="C137">
        <f>_xlfn.XLOOKUP(A137,'Data Cleaning'!A137:A1606,'Data Cleaning'!K137:K1606)</f>
        <v>1</v>
      </c>
      <c r="D137" t="str">
        <f>_xlfn.XLOOKUP(A137,'Data Cleaning'!A137:A1606, 'Data Cleaning'!D137:D1606)</f>
        <v>Master</v>
      </c>
      <c r="E137" s="3" t="str">
        <f>_xlfn.XLOOKUP(A137,'Data Cleaning'!A137:A1606, 'Data Cleaning'!E137:E1606)</f>
        <v>Single</v>
      </c>
      <c r="F137" t="str">
        <f>_xlfn.XLOOKUP(A137,'Data Cleaning'!A137:A1606, 'Data Cleaning'!F137:F1606)</f>
        <v>None</v>
      </c>
      <c r="G137" s="3" t="str">
        <f>_xlfn.XLOOKUP(A137,'Data Cleaning'!A137:A1606, 'Data Cleaning'!J137:J1606)</f>
        <v>Long Promotion gap</v>
      </c>
    </row>
    <row r="138" spans="1:7" x14ac:dyDescent="0.25">
      <c r="A138" s="3">
        <v>2027</v>
      </c>
      <c r="B138" s="3" t="str">
        <f>_xlfn.XLOOKUP(A138,'Data Cleaning'!A138:A1607, 'Data Cleaning'!I138:I1607)</f>
        <v>25-34</v>
      </c>
      <c r="C138">
        <f>_xlfn.XLOOKUP(A138,'Data Cleaning'!A138:A1607,'Data Cleaning'!K138:K1607)</f>
        <v>1</v>
      </c>
      <c r="D138" t="str">
        <f>_xlfn.XLOOKUP(A138,'Data Cleaning'!A138:A1607, 'Data Cleaning'!D138:D1607)</f>
        <v>Bachelor</v>
      </c>
      <c r="E138" s="3" t="str">
        <f>_xlfn.XLOOKUP(A138,'Data Cleaning'!A138:A1607, 'Data Cleaning'!E138:E1607)</f>
        <v>Single</v>
      </c>
      <c r="F138" t="str">
        <f>_xlfn.XLOOKUP(A138,'Data Cleaning'!A138:A1607, 'Data Cleaning'!F138:F1607)</f>
        <v>None</v>
      </c>
      <c r="G138" s="3" t="str">
        <f>_xlfn.XLOOKUP(A138,'Data Cleaning'!A138:A1607, 'Data Cleaning'!J138:J1607)</f>
        <v>Recently promoted</v>
      </c>
    </row>
    <row r="139" spans="1:7" x14ac:dyDescent="0.25">
      <c r="A139" s="3">
        <v>752</v>
      </c>
      <c r="B139" s="3" t="str">
        <f>_xlfn.XLOOKUP(A139,'Data Cleaning'!A139:A1608, 'Data Cleaning'!I139:I1608)</f>
        <v>35-44</v>
      </c>
      <c r="C139">
        <f>_xlfn.XLOOKUP(A139,'Data Cleaning'!A139:A1608,'Data Cleaning'!K139:K1608)</f>
        <v>1</v>
      </c>
      <c r="D139" t="str">
        <f>_xlfn.XLOOKUP(A139,'Data Cleaning'!A139:A1608, 'Data Cleaning'!D139:D1608)</f>
        <v>Bachelor</v>
      </c>
      <c r="E139" s="3" t="str">
        <f>_xlfn.XLOOKUP(A139,'Data Cleaning'!A139:A1608, 'Data Cleaning'!E139:E1608)</f>
        <v>Divorced</v>
      </c>
      <c r="F139" t="str">
        <f>_xlfn.XLOOKUP(A139,'Data Cleaning'!A139:A1608, 'Data Cleaning'!F139:F1608)</f>
        <v>None</v>
      </c>
      <c r="G139" s="3" t="str">
        <f>_xlfn.XLOOKUP(A139,'Data Cleaning'!A139:A1608, 'Data Cleaning'!J139:J1608)</f>
        <v>Promoted in 1-3 years</v>
      </c>
    </row>
    <row r="140" spans="1:7" x14ac:dyDescent="0.25">
      <c r="A140" s="3">
        <v>593</v>
      </c>
      <c r="B140" s="3" t="str">
        <f>_xlfn.XLOOKUP(A140,'Data Cleaning'!A140:A1609, 'Data Cleaning'!I140:I1609)</f>
        <v>18-24</v>
      </c>
      <c r="C140">
        <f>_xlfn.XLOOKUP(A140,'Data Cleaning'!A140:A1609,'Data Cleaning'!K140:K1609)</f>
        <v>1</v>
      </c>
      <c r="D140" t="str">
        <f>_xlfn.XLOOKUP(A140,'Data Cleaning'!A140:A1609, 'Data Cleaning'!D140:D1609)</f>
        <v>Below College</v>
      </c>
      <c r="E140" s="3" t="str">
        <f>_xlfn.XLOOKUP(A140,'Data Cleaning'!A140:A1609, 'Data Cleaning'!E140:E1609)</f>
        <v>Single</v>
      </c>
      <c r="F140" t="str">
        <f>_xlfn.XLOOKUP(A140,'Data Cleaning'!A140:A1609, 'Data Cleaning'!F140:F1609)</f>
        <v>None</v>
      </c>
      <c r="G140" s="3" t="str">
        <f>_xlfn.XLOOKUP(A140,'Data Cleaning'!A140:A1609, 'Data Cleaning'!J140:J1609)</f>
        <v>Promoted in 1-3 years</v>
      </c>
    </row>
    <row r="141" spans="1:7" x14ac:dyDescent="0.25">
      <c r="A141" s="3">
        <v>1645</v>
      </c>
      <c r="B141" s="3" t="str">
        <f>_xlfn.XLOOKUP(A141,'Data Cleaning'!A141:A1610, 'Data Cleaning'!I141:I1610)</f>
        <v>35-44</v>
      </c>
      <c r="C141">
        <f>_xlfn.XLOOKUP(A141,'Data Cleaning'!A141:A1610,'Data Cleaning'!K141:K1610)</f>
        <v>1</v>
      </c>
      <c r="D141" t="str">
        <f>_xlfn.XLOOKUP(A141,'Data Cleaning'!A141:A1610, 'Data Cleaning'!D141:D1610)</f>
        <v>College</v>
      </c>
      <c r="E141" s="3" t="str">
        <f>_xlfn.XLOOKUP(A141,'Data Cleaning'!A141:A1610, 'Data Cleaning'!E141:E1610)</f>
        <v>Divorced</v>
      </c>
      <c r="F141" t="str">
        <f>_xlfn.XLOOKUP(A141,'Data Cleaning'!A141:A1610, 'Data Cleaning'!F141:F1610)</f>
        <v>Mid</v>
      </c>
      <c r="G141" s="3" t="str">
        <f>_xlfn.XLOOKUP(A141,'Data Cleaning'!A141:A1610, 'Data Cleaning'!J141:J1610)</f>
        <v>Promoted in 1-3 years</v>
      </c>
    </row>
    <row r="142" spans="1:7" x14ac:dyDescent="0.25">
      <c r="A142" s="3">
        <v>828</v>
      </c>
      <c r="B142" s="3" t="str">
        <f>_xlfn.XLOOKUP(A142,'Data Cleaning'!A142:A1611, 'Data Cleaning'!I142:I1611)</f>
        <v>25-34</v>
      </c>
      <c r="C142">
        <f>_xlfn.XLOOKUP(A142,'Data Cleaning'!A142:A1611,'Data Cleaning'!K142:K1611)</f>
        <v>1</v>
      </c>
      <c r="D142" t="str">
        <f>_xlfn.XLOOKUP(A142,'Data Cleaning'!A142:A1611, 'Data Cleaning'!D142:D1611)</f>
        <v>Master</v>
      </c>
      <c r="E142" s="3" t="str">
        <f>_xlfn.XLOOKUP(A142,'Data Cleaning'!A142:A1611, 'Data Cleaning'!E142:E1611)</f>
        <v>Single</v>
      </c>
      <c r="F142" t="str">
        <f>_xlfn.XLOOKUP(A142,'Data Cleaning'!A142:A1611, 'Data Cleaning'!F142:F1611)</f>
        <v>None</v>
      </c>
      <c r="G142" s="3" t="str">
        <f>_xlfn.XLOOKUP(A142,'Data Cleaning'!A142:A1611, 'Data Cleaning'!J142:J1611)</f>
        <v>Promoted in 1-3 years</v>
      </c>
    </row>
    <row r="143" spans="1:7" x14ac:dyDescent="0.25">
      <c r="A143" s="3">
        <v>235</v>
      </c>
      <c r="B143" s="3" t="str">
        <f>_xlfn.XLOOKUP(A143,'Data Cleaning'!A143:A1612, 'Data Cleaning'!I143:I1612)</f>
        <v>18-24</v>
      </c>
      <c r="C143">
        <f>_xlfn.XLOOKUP(A143,'Data Cleaning'!A143:A1612,'Data Cleaning'!K143:K1612)</f>
        <v>1</v>
      </c>
      <c r="D143" t="str">
        <f>_xlfn.XLOOKUP(A143,'Data Cleaning'!A143:A1612, 'Data Cleaning'!D143:D1612)</f>
        <v>Below College</v>
      </c>
      <c r="E143" s="3" t="str">
        <f>_xlfn.XLOOKUP(A143,'Data Cleaning'!A143:A1612, 'Data Cleaning'!E143:E1612)</f>
        <v>Single</v>
      </c>
      <c r="F143" t="str">
        <f>_xlfn.XLOOKUP(A143,'Data Cleaning'!A143:A1612, 'Data Cleaning'!F143:F1612)</f>
        <v>None</v>
      </c>
      <c r="G143" s="3" t="str">
        <f>_xlfn.XLOOKUP(A143,'Data Cleaning'!A143:A1612, 'Data Cleaning'!J143:J1612)</f>
        <v>Recently promoted</v>
      </c>
    </row>
    <row r="144" spans="1:7" x14ac:dyDescent="0.25">
      <c r="A144" s="3">
        <v>1464</v>
      </c>
      <c r="B144" s="3" t="str">
        <f>_xlfn.XLOOKUP(A144,'Data Cleaning'!A144:A1613, 'Data Cleaning'!I144:I1613)</f>
        <v>25-34</v>
      </c>
      <c r="C144">
        <f>_xlfn.XLOOKUP(A144,'Data Cleaning'!A144:A1613,'Data Cleaning'!K144:K1613)</f>
        <v>1</v>
      </c>
      <c r="D144" t="str">
        <f>_xlfn.XLOOKUP(A144,'Data Cleaning'!A144:A1613, 'Data Cleaning'!D144:D1613)</f>
        <v>Bachelor</v>
      </c>
      <c r="E144" s="3" t="str">
        <f>_xlfn.XLOOKUP(A144,'Data Cleaning'!A144:A1613, 'Data Cleaning'!E144:E1613)</f>
        <v>Married</v>
      </c>
      <c r="F144" t="str">
        <f>_xlfn.XLOOKUP(A144,'Data Cleaning'!A144:A1613, 'Data Cleaning'!F144:F1613)</f>
        <v>Low</v>
      </c>
      <c r="G144" s="3" t="str">
        <f>_xlfn.XLOOKUP(A144,'Data Cleaning'!A144:A1613, 'Data Cleaning'!J144:J1613)</f>
        <v>Promoted in 1-3 years</v>
      </c>
    </row>
    <row r="145" spans="1:7" x14ac:dyDescent="0.25">
      <c r="A145" s="3">
        <v>825</v>
      </c>
      <c r="B145" s="3" t="str">
        <f>_xlfn.XLOOKUP(A145,'Data Cleaning'!A145:A1614, 'Data Cleaning'!I145:I1614)</f>
        <v>55-60</v>
      </c>
      <c r="C145">
        <f>_xlfn.XLOOKUP(A145,'Data Cleaning'!A145:A1614,'Data Cleaning'!K145:K1614)</f>
        <v>1</v>
      </c>
      <c r="D145" t="str">
        <f>_xlfn.XLOOKUP(A145,'Data Cleaning'!A145:A1614, 'Data Cleaning'!D145:D1614)</f>
        <v>Master</v>
      </c>
      <c r="E145" s="3" t="str">
        <f>_xlfn.XLOOKUP(A145,'Data Cleaning'!A145:A1614, 'Data Cleaning'!E145:E1614)</f>
        <v>Single</v>
      </c>
      <c r="F145" t="str">
        <f>_xlfn.XLOOKUP(A145,'Data Cleaning'!A145:A1614, 'Data Cleaning'!F145:F1614)</f>
        <v>None</v>
      </c>
      <c r="G145" s="3" t="str">
        <f>_xlfn.XLOOKUP(A145,'Data Cleaning'!A145:A1614, 'Data Cleaning'!J145:J1614)</f>
        <v>Long Promotion gap</v>
      </c>
    </row>
    <row r="146" spans="1:7" x14ac:dyDescent="0.25">
      <c r="A146" s="3">
        <v>927</v>
      </c>
      <c r="B146" s="3" t="str">
        <f>_xlfn.XLOOKUP(A146,'Data Cleaning'!A146:A1615, 'Data Cleaning'!I146:I1615)</f>
        <v>35-44</v>
      </c>
      <c r="C146">
        <f>_xlfn.XLOOKUP(A146,'Data Cleaning'!A146:A1615,'Data Cleaning'!K146:K1615)</f>
        <v>1</v>
      </c>
      <c r="D146" t="str">
        <f>_xlfn.XLOOKUP(A146,'Data Cleaning'!A146:A1615, 'Data Cleaning'!D146:D1615)</f>
        <v>Master</v>
      </c>
      <c r="E146" s="3" t="str">
        <f>_xlfn.XLOOKUP(A146,'Data Cleaning'!A146:A1615, 'Data Cleaning'!E146:E1615)</f>
        <v>Divorced</v>
      </c>
      <c r="F146" t="str">
        <f>_xlfn.XLOOKUP(A146,'Data Cleaning'!A146:A1615, 'Data Cleaning'!F146:F1615)</f>
        <v>Low</v>
      </c>
      <c r="G146" s="3" t="str">
        <f>_xlfn.XLOOKUP(A146,'Data Cleaning'!A146:A1615, 'Data Cleaning'!J146:J1615)</f>
        <v>Promoted in 1-3 years</v>
      </c>
    </row>
    <row r="147" spans="1:7" x14ac:dyDescent="0.25">
      <c r="A147" s="3">
        <v>1108</v>
      </c>
      <c r="B147" s="3" t="str">
        <f>_xlfn.XLOOKUP(A147,'Data Cleaning'!A147:A1616, 'Data Cleaning'!I147:I1616)</f>
        <v>25-34</v>
      </c>
      <c r="C147">
        <f>_xlfn.XLOOKUP(A147,'Data Cleaning'!A147:A1616,'Data Cleaning'!K147:K1616)</f>
        <v>1</v>
      </c>
      <c r="D147" t="str">
        <f>_xlfn.XLOOKUP(A147,'Data Cleaning'!A147:A1616, 'Data Cleaning'!D147:D1616)</f>
        <v>Bachelor</v>
      </c>
      <c r="E147" s="3" t="str">
        <f>_xlfn.XLOOKUP(A147,'Data Cleaning'!A147:A1616, 'Data Cleaning'!E147:E1616)</f>
        <v>Single</v>
      </c>
      <c r="F147" t="str">
        <f>_xlfn.XLOOKUP(A147,'Data Cleaning'!A147:A1616, 'Data Cleaning'!F147:F1616)</f>
        <v>None</v>
      </c>
      <c r="G147" s="3" t="str">
        <f>_xlfn.XLOOKUP(A147,'Data Cleaning'!A147:A1616, 'Data Cleaning'!J147:J1616)</f>
        <v>Promoted in 1-3 years</v>
      </c>
    </row>
    <row r="148" spans="1:7" x14ac:dyDescent="0.25">
      <c r="A148" s="3">
        <v>1077</v>
      </c>
      <c r="B148" s="3" t="str">
        <f>_xlfn.XLOOKUP(A148,'Data Cleaning'!A148:A1617, 'Data Cleaning'!I148:I1617)</f>
        <v>18-24</v>
      </c>
      <c r="C148">
        <f>_xlfn.XLOOKUP(A148,'Data Cleaning'!A148:A1617,'Data Cleaning'!K148:K1617)</f>
        <v>1</v>
      </c>
      <c r="D148" t="str">
        <f>_xlfn.XLOOKUP(A148,'Data Cleaning'!A148:A1617, 'Data Cleaning'!D148:D1617)</f>
        <v>Bachelor</v>
      </c>
      <c r="E148" s="3" t="str">
        <f>_xlfn.XLOOKUP(A148,'Data Cleaning'!A148:A1617, 'Data Cleaning'!E148:E1617)</f>
        <v>Single</v>
      </c>
      <c r="F148" t="str">
        <f>_xlfn.XLOOKUP(A148,'Data Cleaning'!A148:A1617, 'Data Cleaning'!F148:F1617)</f>
        <v>None</v>
      </c>
      <c r="G148" s="3" t="str">
        <f>_xlfn.XLOOKUP(A148,'Data Cleaning'!A148:A1617, 'Data Cleaning'!J148:J1617)</f>
        <v>Recently promoted</v>
      </c>
    </row>
    <row r="149" spans="1:7" x14ac:dyDescent="0.25">
      <c r="A149" s="3">
        <v>1752</v>
      </c>
      <c r="B149" s="3" t="str">
        <f>_xlfn.XLOOKUP(A149,'Data Cleaning'!A149:A1618, 'Data Cleaning'!I149:I1618)</f>
        <v>25-34</v>
      </c>
      <c r="C149">
        <f>_xlfn.XLOOKUP(A149,'Data Cleaning'!A149:A1618,'Data Cleaning'!K149:K1618)</f>
        <v>1</v>
      </c>
      <c r="D149" t="str">
        <f>_xlfn.XLOOKUP(A149,'Data Cleaning'!A149:A1618, 'Data Cleaning'!D149:D1618)</f>
        <v>Bachelor</v>
      </c>
      <c r="E149" s="3" t="str">
        <f>_xlfn.XLOOKUP(A149,'Data Cleaning'!A149:A1618, 'Data Cleaning'!E149:E1618)</f>
        <v>Single</v>
      </c>
      <c r="F149" t="str">
        <f>_xlfn.XLOOKUP(A149,'Data Cleaning'!A149:A1618, 'Data Cleaning'!F149:F1618)</f>
        <v>None</v>
      </c>
      <c r="G149" s="3" t="str">
        <f>_xlfn.XLOOKUP(A149,'Data Cleaning'!A149:A1618, 'Data Cleaning'!J149:J1618)</f>
        <v>Promoted in 1-3 years</v>
      </c>
    </row>
    <row r="150" spans="1:7" x14ac:dyDescent="0.25">
      <c r="A150" s="3">
        <v>565</v>
      </c>
      <c r="B150" s="3" t="str">
        <f>_xlfn.XLOOKUP(A150,'Data Cleaning'!A150:A1619, 'Data Cleaning'!I150:I1619)</f>
        <v>25-34</v>
      </c>
      <c r="C150">
        <f>_xlfn.XLOOKUP(A150,'Data Cleaning'!A150:A1619,'Data Cleaning'!K150:K1619)</f>
        <v>1</v>
      </c>
      <c r="D150" t="str">
        <f>_xlfn.XLOOKUP(A150,'Data Cleaning'!A150:A1619, 'Data Cleaning'!D150:D1619)</f>
        <v>Doctor</v>
      </c>
      <c r="E150" s="3" t="str">
        <f>_xlfn.XLOOKUP(A150,'Data Cleaning'!A150:A1619, 'Data Cleaning'!E150:E1619)</f>
        <v>Married</v>
      </c>
      <c r="F150" t="str">
        <f>_xlfn.XLOOKUP(A150,'Data Cleaning'!A150:A1619, 'Data Cleaning'!F150:F1619)</f>
        <v>None</v>
      </c>
      <c r="G150" s="3" t="str">
        <f>_xlfn.XLOOKUP(A150,'Data Cleaning'!A150:A1619, 'Data Cleaning'!J150:J1619)</f>
        <v>Promoted in 1-3 years</v>
      </c>
    </row>
    <row r="151" spans="1:7" x14ac:dyDescent="0.25">
      <c r="A151" s="3">
        <v>1968</v>
      </c>
      <c r="B151" s="3" t="str">
        <f>_xlfn.XLOOKUP(A151,'Data Cleaning'!A151:A1620, 'Data Cleaning'!I151:I1620)</f>
        <v>45-54</v>
      </c>
      <c r="C151">
        <f>_xlfn.XLOOKUP(A151,'Data Cleaning'!A151:A1620,'Data Cleaning'!K151:K1620)</f>
        <v>1</v>
      </c>
      <c r="D151" t="str">
        <f>_xlfn.XLOOKUP(A151,'Data Cleaning'!A151:A1620, 'Data Cleaning'!D151:D1620)</f>
        <v>Master</v>
      </c>
      <c r="E151" s="3" t="str">
        <f>_xlfn.XLOOKUP(A151,'Data Cleaning'!A151:A1620, 'Data Cleaning'!E151:E1620)</f>
        <v>Single</v>
      </c>
      <c r="F151" t="str">
        <f>_xlfn.XLOOKUP(A151,'Data Cleaning'!A151:A1620, 'Data Cleaning'!F151:F1620)</f>
        <v>None</v>
      </c>
      <c r="G151" s="3" t="str">
        <f>_xlfn.XLOOKUP(A151,'Data Cleaning'!A151:A1620, 'Data Cleaning'!J151:J1620)</f>
        <v>Promoted in 1-3 years</v>
      </c>
    </row>
    <row r="152" spans="1:7" x14ac:dyDescent="0.25">
      <c r="A152" s="3">
        <v>1175</v>
      </c>
      <c r="B152" s="3" t="str">
        <f>_xlfn.XLOOKUP(A152,'Data Cleaning'!A152:A1621, 'Data Cleaning'!I152:I1621)</f>
        <v>25-34</v>
      </c>
      <c r="C152">
        <f>_xlfn.XLOOKUP(A152,'Data Cleaning'!A152:A1621,'Data Cleaning'!K152:K1621)</f>
        <v>1</v>
      </c>
      <c r="D152" t="str">
        <f>_xlfn.XLOOKUP(A152,'Data Cleaning'!A152:A1621, 'Data Cleaning'!D152:D1621)</f>
        <v>Below College</v>
      </c>
      <c r="E152" s="3" t="str">
        <f>_xlfn.XLOOKUP(A152,'Data Cleaning'!A152:A1621, 'Data Cleaning'!E152:E1621)</f>
        <v>Married</v>
      </c>
      <c r="F152" t="str">
        <f>_xlfn.XLOOKUP(A152,'Data Cleaning'!A152:A1621, 'Data Cleaning'!F152:F1621)</f>
        <v>None</v>
      </c>
      <c r="G152" s="3" t="str">
        <f>_xlfn.XLOOKUP(A152,'Data Cleaning'!A152:A1621, 'Data Cleaning'!J152:J1621)</f>
        <v>Recently promoted</v>
      </c>
    </row>
    <row r="153" spans="1:7" x14ac:dyDescent="0.25">
      <c r="A153" s="3">
        <v>58</v>
      </c>
      <c r="B153" s="3" t="str">
        <f>_xlfn.XLOOKUP(A153,'Data Cleaning'!A153:A1622, 'Data Cleaning'!I153:I1622)</f>
        <v>35-44</v>
      </c>
      <c r="C153">
        <f>_xlfn.XLOOKUP(A153,'Data Cleaning'!A153:A1622,'Data Cleaning'!K153:K1622)</f>
        <v>1</v>
      </c>
      <c r="D153" t="str">
        <f>_xlfn.XLOOKUP(A153,'Data Cleaning'!A153:A1622, 'Data Cleaning'!D153:D1622)</f>
        <v>Bachelor</v>
      </c>
      <c r="E153" s="3" t="str">
        <f>_xlfn.XLOOKUP(A153,'Data Cleaning'!A153:A1622, 'Data Cleaning'!E153:E1622)</f>
        <v>Married</v>
      </c>
      <c r="F153" t="str">
        <f>_xlfn.XLOOKUP(A153,'Data Cleaning'!A153:A1622, 'Data Cleaning'!F153:F1622)</f>
        <v>None</v>
      </c>
      <c r="G153" s="3" t="str">
        <f>_xlfn.XLOOKUP(A153,'Data Cleaning'!A153:A1622, 'Data Cleaning'!J153:J1622)</f>
        <v>Long Promotion gap</v>
      </c>
    </row>
    <row r="154" spans="1:7" x14ac:dyDescent="0.25">
      <c r="A154" s="3">
        <v>405</v>
      </c>
      <c r="B154" s="3" t="str">
        <f>_xlfn.XLOOKUP(A154,'Data Cleaning'!A154:A1623, 'Data Cleaning'!I154:I1623)</f>
        <v>18-24</v>
      </c>
      <c r="C154">
        <f>_xlfn.XLOOKUP(A154,'Data Cleaning'!A154:A1623,'Data Cleaning'!K154:K1623)</f>
        <v>1</v>
      </c>
      <c r="D154" t="str">
        <f>_xlfn.XLOOKUP(A154,'Data Cleaning'!A154:A1623, 'Data Cleaning'!D154:D1623)</f>
        <v>Bachelor</v>
      </c>
      <c r="E154" s="3" t="str">
        <f>_xlfn.XLOOKUP(A154,'Data Cleaning'!A154:A1623, 'Data Cleaning'!E154:E1623)</f>
        <v>Single</v>
      </c>
      <c r="F154" t="str">
        <f>_xlfn.XLOOKUP(A154,'Data Cleaning'!A154:A1623, 'Data Cleaning'!F154:F1623)</f>
        <v>None</v>
      </c>
      <c r="G154" s="3" t="str">
        <f>_xlfn.XLOOKUP(A154,'Data Cleaning'!A154:A1623, 'Data Cleaning'!J154:J1623)</f>
        <v>Recently promoted</v>
      </c>
    </row>
    <row r="155" spans="1:7" x14ac:dyDescent="0.25">
      <c r="A155" s="3">
        <v>1279</v>
      </c>
      <c r="B155" s="3" t="str">
        <f>_xlfn.XLOOKUP(A155,'Data Cleaning'!A155:A1624, 'Data Cleaning'!I155:I1624)</f>
        <v>18-24</v>
      </c>
      <c r="C155">
        <f>_xlfn.XLOOKUP(A155,'Data Cleaning'!A155:A1624,'Data Cleaning'!K155:K1624)</f>
        <v>1</v>
      </c>
      <c r="D155" t="str">
        <f>_xlfn.XLOOKUP(A155,'Data Cleaning'!A155:A1624, 'Data Cleaning'!D155:D1624)</f>
        <v>College</v>
      </c>
      <c r="E155" s="3" t="str">
        <f>_xlfn.XLOOKUP(A155,'Data Cleaning'!A155:A1624, 'Data Cleaning'!E155:E1624)</f>
        <v>Single</v>
      </c>
      <c r="F155" t="str">
        <f>_xlfn.XLOOKUP(A155,'Data Cleaning'!A155:A1624, 'Data Cleaning'!F155:F1624)</f>
        <v>None</v>
      </c>
      <c r="G155" s="3" t="str">
        <f>_xlfn.XLOOKUP(A155,'Data Cleaning'!A155:A1624, 'Data Cleaning'!J155:J1624)</f>
        <v>Promoted in 1-3 years</v>
      </c>
    </row>
    <row r="156" spans="1:7" x14ac:dyDescent="0.25">
      <c r="A156" s="3">
        <v>45</v>
      </c>
      <c r="B156" s="3" t="str">
        <f>_xlfn.XLOOKUP(A156,'Data Cleaning'!A156:A1625, 'Data Cleaning'!I156:I1625)</f>
        <v>18-24</v>
      </c>
      <c r="C156">
        <f>_xlfn.XLOOKUP(A156,'Data Cleaning'!A156:A1625,'Data Cleaning'!K156:K1625)</f>
        <v>1</v>
      </c>
      <c r="D156" t="str">
        <f>_xlfn.XLOOKUP(A156,'Data Cleaning'!A156:A1625, 'Data Cleaning'!D156:D1625)</f>
        <v>Bachelor</v>
      </c>
      <c r="E156" s="3" t="str">
        <f>_xlfn.XLOOKUP(A156,'Data Cleaning'!A156:A1625, 'Data Cleaning'!E156:E1625)</f>
        <v>Married</v>
      </c>
      <c r="F156" t="str">
        <f>_xlfn.XLOOKUP(A156,'Data Cleaning'!A156:A1625, 'Data Cleaning'!F156:F1625)</f>
        <v>Low</v>
      </c>
      <c r="G156" s="3" t="str">
        <f>_xlfn.XLOOKUP(A156,'Data Cleaning'!A156:A1625, 'Data Cleaning'!J156:J1625)</f>
        <v>Promoted in 1-3 years</v>
      </c>
    </row>
    <row r="157" spans="1:7" x14ac:dyDescent="0.25">
      <c r="A157" s="3">
        <v>1203</v>
      </c>
      <c r="B157" s="3" t="str">
        <f>_xlfn.XLOOKUP(A157,'Data Cleaning'!A157:A1626, 'Data Cleaning'!I157:I1626)</f>
        <v>18-24</v>
      </c>
      <c r="C157">
        <f>_xlfn.XLOOKUP(A157,'Data Cleaning'!A157:A1626,'Data Cleaning'!K157:K1626)</f>
        <v>1</v>
      </c>
      <c r="D157" t="str">
        <f>_xlfn.XLOOKUP(A157,'Data Cleaning'!A157:A1626, 'Data Cleaning'!D157:D1626)</f>
        <v>Master</v>
      </c>
      <c r="E157" s="3" t="str">
        <f>_xlfn.XLOOKUP(A157,'Data Cleaning'!A157:A1626, 'Data Cleaning'!E157:E1626)</f>
        <v>Married</v>
      </c>
      <c r="F157" t="str">
        <f>_xlfn.XLOOKUP(A157,'Data Cleaning'!A157:A1626, 'Data Cleaning'!F157:F1626)</f>
        <v>Low</v>
      </c>
      <c r="G157" s="3" t="str">
        <f>_xlfn.XLOOKUP(A157,'Data Cleaning'!A157:A1626, 'Data Cleaning'!J157:J1626)</f>
        <v>Recently promoted</v>
      </c>
    </row>
    <row r="158" spans="1:7" x14ac:dyDescent="0.25">
      <c r="A158" s="3">
        <v>1113</v>
      </c>
      <c r="B158" s="3" t="str">
        <f>_xlfn.XLOOKUP(A158,'Data Cleaning'!A158:A1627, 'Data Cleaning'!I158:I1627)</f>
        <v>45-54</v>
      </c>
      <c r="C158">
        <f>_xlfn.XLOOKUP(A158,'Data Cleaning'!A158:A1627,'Data Cleaning'!K158:K1627)</f>
        <v>1</v>
      </c>
      <c r="D158" t="str">
        <f>_xlfn.XLOOKUP(A158,'Data Cleaning'!A158:A1627, 'Data Cleaning'!D158:D1627)</f>
        <v>Master</v>
      </c>
      <c r="E158" s="3" t="str">
        <f>_xlfn.XLOOKUP(A158,'Data Cleaning'!A158:A1627, 'Data Cleaning'!E158:E1627)</f>
        <v>Single</v>
      </c>
      <c r="F158" t="str">
        <f>_xlfn.XLOOKUP(A158,'Data Cleaning'!A158:A1627, 'Data Cleaning'!F158:F1627)</f>
        <v>None</v>
      </c>
      <c r="G158" s="3" t="str">
        <f>_xlfn.XLOOKUP(A158,'Data Cleaning'!A158:A1627, 'Data Cleaning'!J158:J1627)</f>
        <v>Recently promoted</v>
      </c>
    </row>
    <row r="159" spans="1:7" x14ac:dyDescent="0.25">
      <c r="A159" s="3">
        <v>1219</v>
      </c>
      <c r="B159" s="3" t="str">
        <f>_xlfn.XLOOKUP(A159,'Data Cleaning'!A159:A1628, 'Data Cleaning'!I159:I1628)</f>
        <v>18-24</v>
      </c>
      <c r="C159">
        <f>_xlfn.XLOOKUP(A159,'Data Cleaning'!A159:A1628,'Data Cleaning'!K159:K1628)</f>
        <v>1</v>
      </c>
      <c r="D159" t="str">
        <f>_xlfn.XLOOKUP(A159,'Data Cleaning'!A159:A1628, 'Data Cleaning'!D159:D1628)</f>
        <v>College</v>
      </c>
      <c r="E159" s="3" t="str">
        <f>_xlfn.XLOOKUP(A159,'Data Cleaning'!A159:A1628, 'Data Cleaning'!E159:E1628)</f>
        <v>Married</v>
      </c>
      <c r="F159" t="str">
        <f>_xlfn.XLOOKUP(A159,'Data Cleaning'!A159:A1628, 'Data Cleaning'!F159:F1628)</f>
        <v>Low</v>
      </c>
      <c r="G159" s="3" t="str">
        <f>_xlfn.XLOOKUP(A159,'Data Cleaning'!A159:A1628, 'Data Cleaning'!J159:J1628)</f>
        <v>Recently promoted</v>
      </c>
    </row>
    <row r="160" spans="1:7" x14ac:dyDescent="0.25">
      <c r="A160" s="3">
        <v>175</v>
      </c>
      <c r="B160" s="3" t="str">
        <f>_xlfn.XLOOKUP(A160,'Data Cleaning'!A160:A1629, 'Data Cleaning'!I160:I1629)</f>
        <v>25-34</v>
      </c>
      <c r="C160">
        <f>_xlfn.XLOOKUP(A160,'Data Cleaning'!A160:A1629,'Data Cleaning'!K160:K1629)</f>
        <v>1</v>
      </c>
      <c r="D160" t="str">
        <f>_xlfn.XLOOKUP(A160,'Data Cleaning'!A160:A1629, 'Data Cleaning'!D160:D1629)</f>
        <v>Bachelor</v>
      </c>
      <c r="E160" s="3" t="str">
        <f>_xlfn.XLOOKUP(A160,'Data Cleaning'!A160:A1629, 'Data Cleaning'!E160:E1629)</f>
        <v>Married</v>
      </c>
      <c r="F160" t="str">
        <f>_xlfn.XLOOKUP(A160,'Data Cleaning'!A160:A1629, 'Data Cleaning'!F160:F1629)</f>
        <v>Low</v>
      </c>
      <c r="G160" s="3" t="str">
        <f>_xlfn.XLOOKUP(A160,'Data Cleaning'!A160:A1629, 'Data Cleaning'!J160:J1629)</f>
        <v>Promoted in 1-3 years</v>
      </c>
    </row>
    <row r="161" spans="1:7" x14ac:dyDescent="0.25">
      <c r="A161" s="3">
        <v>538</v>
      </c>
      <c r="B161" s="3" t="str">
        <f>_xlfn.XLOOKUP(A161,'Data Cleaning'!A161:A1630, 'Data Cleaning'!I161:I1630)</f>
        <v>25-34</v>
      </c>
      <c r="C161">
        <f>_xlfn.XLOOKUP(A161,'Data Cleaning'!A161:A1630,'Data Cleaning'!K161:K1630)</f>
        <v>1</v>
      </c>
      <c r="D161" t="str">
        <f>_xlfn.XLOOKUP(A161,'Data Cleaning'!A161:A1630, 'Data Cleaning'!D161:D1630)</f>
        <v>Bachelor</v>
      </c>
      <c r="E161" s="3" t="str">
        <f>_xlfn.XLOOKUP(A161,'Data Cleaning'!A161:A1630, 'Data Cleaning'!E161:E1630)</f>
        <v>Married</v>
      </c>
      <c r="F161" t="str">
        <f>_xlfn.XLOOKUP(A161,'Data Cleaning'!A161:A1630, 'Data Cleaning'!F161:F1630)</f>
        <v>Low</v>
      </c>
      <c r="G161" s="3" t="str">
        <f>_xlfn.XLOOKUP(A161,'Data Cleaning'!A161:A1630, 'Data Cleaning'!J161:J1630)</f>
        <v>Recently promoted</v>
      </c>
    </row>
    <row r="162" spans="1:7" x14ac:dyDescent="0.25">
      <c r="A162" s="3">
        <v>1733</v>
      </c>
      <c r="B162" s="3" t="str">
        <f>_xlfn.XLOOKUP(A162,'Data Cleaning'!A162:A1631, 'Data Cleaning'!I162:I1631)</f>
        <v>35-44</v>
      </c>
      <c r="C162">
        <f>_xlfn.XLOOKUP(A162,'Data Cleaning'!A162:A1631,'Data Cleaning'!K162:K1631)</f>
        <v>1</v>
      </c>
      <c r="D162" t="str">
        <f>_xlfn.XLOOKUP(A162,'Data Cleaning'!A162:A1631, 'Data Cleaning'!D162:D1631)</f>
        <v>Doctor</v>
      </c>
      <c r="E162" s="3" t="str">
        <f>_xlfn.XLOOKUP(A162,'Data Cleaning'!A162:A1631, 'Data Cleaning'!E162:E1631)</f>
        <v>Divorced</v>
      </c>
      <c r="F162" t="str">
        <f>_xlfn.XLOOKUP(A162,'Data Cleaning'!A162:A1631, 'Data Cleaning'!F162:F1631)</f>
        <v>High</v>
      </c>
      <c r="G162" s="3" t="str">
        <f>_xlfn.XLOOKUP(A162,'Data Cleaning'!A162:A1631, 'Data Cleaning'!J162:J1631)</f>
        <v>Promoted in 1-3 years</v>
      </c>
    </row>
    <row r="163" spans="1:7" x14ac:dyDescent="0.25">
      <c r="A163" s="3">
        <v>1862</v>
      </c>
      <c r="B163" s="3" t="str">
        <f>_xlfn.XLOOKUP(A163,'Data Cleaning'!A163:A1632, 'Data Cleaning'!I163:I1632)</f>
        <v>25-34</v>
      </c>
      <c r="C163">
        <f>_xlfn.XLOOKUP(A163,'Data Cleaning'!A163:A1632,'Data Cleaning'!K163:K1632)</f>
        <v>1</v>
      </c>
      <c r="D163" t="str">
        <f>_xlfn.XLOOKUP(A163,'Data Cleaning'!A163:A1632, 'Data Cleaning'!D163:D1632)</f>
        <v>Master</v>
      </c>
      <c r="E163" s="3" t="str">
        <f>_xlfn.XLOOKUP(A163,'Data Cleaning'!A163:A1632, 'Data Cleaning'!E163:E1632)</f>
        <v>Single</v>
      </c>
      <c r="F163" t="str">
        <f>_xlfn.XLOOKUP(A163,'Data Cleaning'!A163:A1632, 'Data Cleaning'!F163:F1632)</f>
        <v>None</v>
      </c>
      <c r="G163" s="3" t="str">
        <f>_xlfn.XLOOKUP(A163,'Data Cleaning'!A163:A1632, 'Data Cleaning'!J163:J1632)</f>
        <v>Promoted in 1-3 years</v>
      </c>
    </row>
    <row r="164" spans="1:7" x14ac:dyDescent="0.25">
      <c r="A164" s="3">
        <v>1667</v>
      </c>
      <c r="B164" s="3" t="str">
        <f>_xlfn.XLOOKUP(A164,'Data Cleaning'!A164:A1633, 'Data Cleaning'!I164:I1633)</f>
        <v>35-44</v>
      </c>
      <c r="C164">
        <f>_xlfn.XLOOKUP(A164,'Data Cleaning'!A164:A1633,'Data Cleaning'!K164:K1633)</f>
        <v>1</v>
      </c>
      <c r="D164" t="str">
        <f>_xlfn.XLOOKUP(A164,'Data Cleaning'!A164:A1633, 'Data Cleaning'!D164:D1633)</f>
        <v>Master</v>
      </c>
      <c r="E164" s="3" t="str">
        <f>_xlfn.XLOOKUP(A164,'Data Cleaning'!A164:A1633, 'Data Cleaning'!E164:E1633)</f>
        <v>Single</v>
      </c>
      <c r="F164" t="str">
        <f>_xlfn.XLOOKUP(A164,'Data Cleaning'!A164:A1633, 'Data Cleaning'!F164:F1633)</f>
        <v>None</v>
      </c>
      <c r="G164" s="3" t="str">
        <f>_xlfn.XLOOKUP(A164,'Data Cleaning'!A164:A1633, 'Data Cleaning'!J164:J1633)</f>
        <v>Long Promotion gap</v>
      </c>
    </row>
    <row r="165" spans="1:7" x14ac:dyDescent="0.25">
      <c r="A165" s="3">
        <v>1944</v>
      </c>
      <c r="B165" s="3" t="str">
        <f>_xlfn.XLOOKUP(A165,'Data Cleaning'!A165:A1634, 'Data Cleaning'!I165:I1634)</f>
        <v>25-34</v>
      </c>
      <c r="C165">
        <f>_xlfn.XLOOKUP(A165,'Data Cleaning'!A165:A1634,'Data Cleaning'!K165:K1634)</f>
        <v>1</v>
      </c>
      <c r="D165" t="str">
        <f>_xlfn.XLOOKUP(A165,'Data Cleaning'!A165:A1634, 'Data Cleaning'!D165:D1634)</f>
        <v>Bachelor</v>
      </c>
      <c r="E165" s="3" t="str">
        <f>_xlfn.XLOOKUP(A165,'Data Cleaning'!A165:A1634, 'Data Cleaning'!E165:E1634)</f>
        <v>Married</v>
      </c>
      <c r="F165" t="str">
        <f>_xlfn.XLOOKUP(A165,'Data Cleaning'!A165:A1634, 'Data Cleaning'!F165:F1634)</f>
        <v>None</v>
      </c>
      <c r="G165" s="3" t="str">
        <f>_xlfn.XLOOKUP(A165,'Data Cleaning'!A165:A1634, 'Data Cleaning'!J165:J1634)</f>
        <v>Recently promoted</v>
      </c>
    </row>
    <row r="166" spans="1:7" x14ac:dyDescent="0.25">
      <c r="A166" s="3">
        <v>331</v>
      </c>
      <c r="B166" s="3" t="str">
        <f>_xlfn.XLOOKUP(A166,'Data Cleaning'!A166:A1635, 'Data Cleaning'!I166:I1635)</f>
        <v>25-34</v>
      </c>
      <c r="C166">
        <f>_xlfn.XLOOKUP(A166,'Data Cleaning'!A166:A1635,'Data Cleaning'!K166:K1635)</f>
        <v>1</v>
      </c>
      <c r="D166" t="str">
        <f>_xlfn.XLOOKUP(A166,'Data Cleaning'!A166:A1635, 'Data Cleaning'!D166:D1635)</f>
        <v>Bachelor</v>
      </c>
      <c r="E166" s="3" t="str">
        <f>_xlfn.XLOOKUP(A166,'Data Cleaning'!A166:A1635, 'Data Cleaning'!E166:E1635)</f>
        <v>Single</v>
      </c>
      <c r="F166" t="str">
        <f>_xlfn.XLOOKUP(A166,'Data Cleaning'!A166:A1635, 'Data Cleaning'!F166:F1635)</f>
        <v>None</v>
      </c>
      <c r="G166" s="3" t="str">
        <f>_xlfn.XLOOKUP(A166,'Data Cleaning'!A166:A1635, 'Data Cleaning'!J166:J1635)</f>
        <v>Promoted in 1-3 years</v>
      </c>
    </row>
    <row r="167" spans="1:7" x14ac:dyDescent="0.25">
      <c r="A167" s="3">
        <v>1604</v>
      </c>
      <c r="B167" s="3" t="str">
        <f>_xlfn.XLOOKUP(A167,'Data Cleaning'!A167:A1636, 'Data Cleaning'!I167:I1636)</f>
        <v>25-34</v>
      </c>
      <c r="C167">
        <f>_xlfn.XLOOKUP(A167,'Data Cleaning'!A167:A1636,'Data Cleaning'!K167:K1636)</f>
        <v>1</v>
      </c>
      <c r="D167" t="str">
        <f>_xlfn.XLOOKUP(A167,'Data Cleaning'!A167:A1636, 'Data Cleaning'!D167:D1636)</f>
        <v>Bachelor</v>
      </c>
      <c r="E167" s="3" t="str">
        <f>_xlfn.XLOOKUP(A167,'Data Cleaning'!A167:A1636, 'Data Cleaning'!E167:E1636)</f>
        <v>Married</v>
      </c>
      <c r="F167" t="str">
        <f>_xlfn.XLOOKUP(A167,'Data Cleaning'!A167:A1636, 'Data Cleaning'!F167:F1636)</f>
        <v>High</v>
      </c>
      <c r="G167" s="3" t="str">
        <f>_xlfn.XLOOKUP(A167,'Data Cleaning'!A167:A1636, 'Data Cleaning'!J167:J1636)</f>
        <v>Recently promoted</v>
      </c>
    </row>
    <row r="168" spans="1:7" x14ac:dyDescent="0.25">
      <c r="A168" s="3">
        <v>1098</v>
      </c>
      <c r="B168" s="3" t="str">
        <f>_xlfn.XLOOKUP(A168,'Data Cleaning'!A168:A1637, 'Data Cleaning'!I168:I1637)</f>
        <v>35-44</v>
      </c>
      <c r="C168">
        <f>_xlfn.XLOOKUP(A168,'Data Cleaning'!A168:A1637,'Data Cleaning'!K168:K1637)</f>
        <v>1</v>
      </c>
      <c r="D168" t="str">
        <f>_xlfn.XLOOKUP(A168,'Data Cleaning'!A168:A1637, 'Data Cleaning'!D168:D1637)</f>
        <v>College</v>
      </c>
      <c r="E168" s="3" t="str">
        <f>_xlfn.XLOOKUP(A168,'Data Cleaning'!A168:A1637, 'Data Cleaning'!E168:E1637)</f>
        <v>Married</v>
      </c>
      <c r="F168" t="str">
        <f>_xlfn.XLOOKUP(A168,'Data Cleaning'!A168:A1637, 'Data Cleaning'!F168:F1637)</f>
        <v>Low</v>
      </c>
      <c r="G168" s="3" t="str">
        <f>_xlfn.XLOOKUP(A168,'Data Cleaning'!A168:A1637, 'Data Cleaning'!J168:J1637)</f>
        <v>Promoted in 1-3 years</v>
      </c>
    </row>
    <row r="169" spans="1:7" x14ac:dyDescent="0.25">
      <c r="A169" s="3">
        <v>977</v>
      </c>
      <c r="B169" s="3" t="str">
        <f>_xlfn.XLOOKUP(A169,'Data Cleaning'!A169:A1638, 'Data Cleaning'!I169:I1638)</f>
        <v>55-60</v>
      </c>
      <c r="C169">
        <f>_xlfn.XLOOKUP(A169,'Data Cleaning'!A169:A1638,'Data Cleaning'!K169:K1638)</f>
        <v>1</v>
      </c>
      <c r="D169" t="str">
        <f>_xlfn.XLOOKUP(A169,'Data Cleaning'!A169:A1638, 'Data Cleaning'!D169:D1638)</f>
        <v>Bachelor</v>
      </c>
      <c r="E169" s="3" t="str">
        <f>_xlfn.XLOOKUP(A169,'Data Cleaning'!A169:A1638, 'Data Cleaning'!E169:E1638)</f>
        <v>Single</v>
      </c>
      <c r="F169" t="str">
        <f>_xlfn.XLOOKUP(A169,'Data Cleaning'!A169:A1638, 'Data Cleaning'!F169:F1638)</f>
        <v>None</v>
      </c>
      <c r="G169" s="3" t="str">
        <f>_xlfn.XLOOKUP(A169,'Data Cleaning'!A169:A1638, 'Data Cleaning'!J169:J1638)</f>
        <v>Recently promoted</v>
      </c>
    </row>
    <row r="170" spans="1:7" x14ac:dyDescent="0.25">
      <c r="A170" s="3">
        <v>1052</v>
      </c>
      <c r="B170" s="3" t="str">
        <f>_xlfn.XLOOKUP(A170,'Data Cleaning'!A170:A1639, 'Data Cleaning'!I170:I1639)</f>
        <v>35-44</v>
      </c>
      <c r="C170">
        <f>_xlfn.XLOOKUP(A170,'Data Cleaning'!A170:A1639,'Data Cleaning'!K170:K1639)</f>
        <v>1</v>
      </c>
      <c r="D170" t="str">
        <f>_xlfn.XLOOKUP(A170,'Data Cleaning'!A170:A1639, 'Data Cleaning'!D170:D1639)</f>
        <v>Bachelor</v>
      </c>
      <c r="E170" s="3" t="str">
        <f>_xlfn.XLOOKUP(A170,'Data Cleaning'!A170:A1639, 'Data Cleaning'!E170:E1639)</f>
        <v>Divorced</v>
      </c>
      <c r="F170" t="str">
        <f>_xlfn.XLOOKUP(A170,'Data Cleaning'!A170:A1639, 'Data Cleaning'!F170:F1639)</f>
        <v>Low</v>
      </c>
      <c r="G170" s="3" t="str">
        <f>_xlfn.XLOOKUP(A170,'Data Cleaning'!A170:A1639, 'Data Cleaning'!J170:J1639)</f>
        <v>Recently promoted</v>
      </c>
    </row>
    <row r="171" spans="1:7" x14ac:dyDescent="0.25">
      <c r="A171" s="3">
        <v>1427</v>
      </c>
      <c r="B171" s="3" t="str">
        <f>_xlfn.XLOOKUP(A171,'Data Cleaning'!A171:A1640, 'Data Cleaning'!I171:I1640)</f>
        <v>25-34</v>
      </c>
      <c r="C171">
        <f>_xlfn.XLOOKUP(A171,'Data Cleaning'!A171:A1640,'Data Cleaning'!K171:K1640)</f>
        <v>1</v>
      </c>
      <c r="D171" t="str">
        <f>_xlfn.XLOOKUP(A171,'Data Cleaning'!A171:A1640, 'Data Cleaning'!D171:D1640)</f>
        <v>Master</v>
      </c>
      <c r="E171" s="3" t="str">
        <f>_xlfn.XLOOKUP(A171,'Data Cleaning'!A171:A1640, 'Data Cleaning'!E171:E1640)</f>
        <v>Single</v>
      </c>
      <c r="F171" t="str">
        <f>_xlfn.XLOOKUP(A171,'Data Cleaning'!A171:A1640, 'Data Cleaning'!F171:F1640)</f>
        <v>None</v>
      </c>
      <c r="G171" s="3" t="str">
        <f>_xlfn.XLOOKUP(A171,'Data Cleaning'!A171:A1640, 'Data Cleaning'!J171:J1640)</f>
        <v>Recently promoted</v>
      </c>
    </row>
    <row r="172" spans="1:7" x14ac:dyDescent="0.25">
      <c r="A172" s="3">
        <v>723</v>
      </c>
      <c r="B172" s="3" t="str">
        <f>_xlfn.XLOOKUP(A172,'Data Cleaning'!A172:A1641, 'Data Cleaning'!I172:I1641)</f>
        <v>45-54</v>
      </c>
      <c r="C172">
        <f>_xlfn.XLOOKUP(A172,'Data Cleaning'!A172:A1641,'Data Cleaning'!K172:K1641)</f>
        <v>1</v>
      </c>
      <c r="D172" t="str">
        <f>_xlfn.XLOOKUP(A172,'Data Cleaning'!A172:A1641, 'Data Cleaning'!D172:D1641)</f>
        <v>College</v>
      </c>
      <c r="E172" s="3" t="str">
        <f>_xlfn.XLOOKUP(A172,'Data Cleaning'!A172:A1641, 'Data Cleaning'!E172:E1641)</f>
        <v>Married</v>
      </c>
      <c r="F172" t="str">
        <f>_xlfn.XLOOKUP(A172,'Data Cleaning'!A172:A1641, 'Data Cleaning'!F172:F1641)</f>
        <v>Low</v>
      </c>
      <c r="G172" s="3" t="str">
        <f>_xlfn.XLOOKUP(A172,'Data Cleaning'!A172:A1641, 'Data Cleaning'!J172:J1641)</f>
        <v>Promoted in 1-3 years</v>
      </c>
    </row>
    <row r="173" spans="1:7" x14ac:dyDescent="0.25">
      <c r="A173" s="3">
        <v>701</v>
      </c>
      <c r="B173" s="3" t="str">
        <f>_xlfn.XLOOKUP(A173,'Data Cleaning'!A173:A1642, 'Data Cleaning'!I173:I1642)</f>
        <v>18-24</v>
      </c>
      <c r="C173">
        <f>_xlfn.XLOOKUP(A173,'Data Cleaning'!A173:A1642,'Data Cleaning'!K173:K1642)</f>
        <v>1</v>
      </c>
      <c r="D173" t="str">
        <f>_xlfn.XLOOKUP(A173,'Data Cleaning'!A173:A1642, 'Data Cleaning'!D173:D1642)</f>
        <v>Below College</v>
      </c>
      <c r="E173" s="3" t="str">
        <f>_xlfn.XLOOKUP(A173,'Data Cleaning'!A173:A1642, 'Data Cleaning'!E173:E1642)</f>
        <v>Single</v>
      </c>
      <c r="F173" t="str">
        <f>_xlfn.XLOOKUP(A173,'Data Cleaning'!A173:A1642, 'Data Cleaning'!F173:F1642)</f>
        <v>None</v>
      </c>
      <c r="G173" s="3" t="str">
        <f>_xlfn.XLOOKUP(A173,'Data Cleaning'!A173:A1642, 'Data Cleaning'!J173:J1642)</f>
        <v>Recently promoted</v>
      </c>
    </row>
    <row r="174" spans="1:7" x14ac:dyDescent="0.25">
      <c r="A174" s="3">
        <v>923</v>
      </c>
      <c r="B174" s="3" t="str">
        <f>_xlfn.XLOOKUP(A174,'Data Cleaning'!A174:A1643, 'Data Cleaning'!I174:I1643)</f>
        <v>18-24</v>
      </c>
      <c r="C174">
        <f>_xlfn.XLOOKUP(A174,'Data Cleaning'!A174:A1643,'Data Cleaning'!K174:K1643)</f>
        <v>1</v>
      </c>
      <c r="D174" t="str">
        <f>_xlfn.XLOOKUP(A174,'Data Cleaning'!A174:A1643, 'Data Cleaning'!D174:D1643)</f>
        <v>Below College</v>
      </c>
      <c r="E174" s="3" t="str">
        <f>_xlfn.XLOOKUP(A174,'Data Cleaning'!A174:A1643, 'Data Cleaning'!E174:E1643)</f>
        <v>Single</v>
      </c>
      <c r="F174" t="str">
        <f>_xlfn.XLOOKUP(A174,'Data Cleaning'!A174:A1643, 'Data Cleaning'!F174:F1643)</f>
        <v>None</v>
      </c>
      <c r="G174" s="3" t="str">
        <f>_xlfn.XLOOKUP(A174,'Data Cleaning'!A174:A1643, 'Data Cleaning'!J174:J1643)</f>
        <v>Recently promoted</v>
      </c>
    </row>
    <row r="175" spans="1:7" x14ac:dyDescent="0.25">
      <c r="A175" s="3">
        <v>1458</v>
      </c>
      <c r="B175" s="3" t="str">
        <f>_xlfn.XLOOKUP(A175,'Data Cleaning'!A175:A1644, 'Data Cleaning'!I175:I1644)</f>
        <v>35-44</v>
      </c>
      <c r="C175">
        <f>_xlfn.XLOOKUP(A175,'Data Cleaning'!A175:A1644,'Data Cleaning'!K175:K1644)</f>
        <v>1</v>
      </c>
      <c r="D175" t="str">
        <f>_xlfn.XLOOKUP(A175,'Data Cleaning'!A175:A1644, 'Data Cleaning'!D175:D1644)</f>
        <v>Bachelor</v>
      </c>
      <c r="E175" s="3" t="str">
        <f>_xlfn.XLOOKUP(A175,'Data Cleaning'!A175:A1644, 'Data Cleaning'!E175:E1644)</f>
        <v>Single</v>
      </c>
      <c r="F175" t="str">
        <f>_xlfn.XLOOKUP(A175,'Data Cleaning'!A175:A1644, 'Data Cleaning'!F175:F1644)</f>
        <v>None</v>
      </c>
      <c r="G175" s="3" t="str">
        <f>_xlfn.XLOOKUP(A175,'Data Cleaning'!A175:A1644, 'Data Cleaning'!J175:J1644)</f>
        <v>Recently promoted</v>
      </c>
    </row>
    <row r="176" spans="1:7" x14ac:dyDescent="0.25">
      <c r="A176" s="3">
        <v>1494</v>
      </c>
      <c r="B176" s="3" t="str">
        <f>_xlfn.XLOOKUP(A176,'Data Cleaning'!A176:A1645, 'Data Cleaning'!I176:I1645)</f>
        <v>18-24</v>
      </c>
      <c r="C176">
        <f>_xlfn.XLOOKUP(A176,'Data Cleaning'!A176:A1645,'Data Cleaning'!K176:K1645)</f>
        <v>1</v>
      </c>
      <c r="D176" t="str">
        <f>_xlfn.XLOOKUP(A176,'Data Cleaning'!A176:A1645, 'Data Cleaning'!D176:D1645)</f>
        <v>Bachelor</v>
      </c>
      <c r="E176" s="3" t="str">
        <f>_xlfn.XLOOKUP(A176,'Data Cleaning'!A176:A1645, 'Data Cleaning'!E176:E1645)</f>
        <v>Single</v>
      </c>
      <c r="F176" t="str">
        <f>_xlfn.XLOOKUP(A176,'Data Cleaning'!A176:A1645, 'Data Cleaning'!F176:F1645)</f>
        <v>None</v>
      </c>
      <c r="G176" s="3" t="str">
        <f>_xlfn.XLOOKUP(A176,'Data Cleaning'!A176:A1645, 'Data Cleaning'!J176:J1645)</f>
        <v>Recently promoted</v>
      </c>
    </row>
    <row r="177" spans="1:7" x14ac:dyDescent="0.25">
      <c r="A177" s="3">
        <v>42</v>
      </c>
      <c r="B177" s="3" t="str">
        <f>_xlfn.XLOOKUP(A177,'Data Cleaning'!A177:A1646, 'Data Cleaning'!I177:I1646)</f>
        <v>35-44</v>
      </c>
      <c r="C177">
        <f>_xlfn.XLOOKUP(A177,'Data Cleaning'!A177:A1646,'Data Cleaning'!K177:K1646)</f>
        <v>1</v>
      </c>
      <c r="D177" t="str">
        <f>_xlfn.XLOOKUP(A177,'Data Cleaning'!A177:A1646, 'Data Cleaning'!D177:D1646)</f>
        <v>Bachelor</v>
      </c>
      <c r="E177" s="3" t="str">
        <f>_xlfn.XLOOKUP(A177,'Data Cleaning'!A177:A1646, 'Data Cleaning'!E177:E1646)</f>
        <v>Married</v>
      </c>
      <c r="F177" t="str">
        <f>_xlfn.XLOOKUP(A177,'Data Cleaning'!A177:A1646, 'Data Cleaning'!F177:F1646)</f>
        <v>Low</v>
      </c>
      <c r="G177" s="3" t="str">
        <f>_xlfn.XLOOKUP(A177,'Data Cleaning'!A177:A1646, 'Data Cleaning'!J177:J1646)</f>
        <v>Recently promoted</v>
      </c>
    </row>
    <row r="178" spans="1:7" x14ac:dyDescent="0.25">
      <c r="A178" s="3">
        <v>1716</v>
      </c>
      <c r="B178" s="3" t="str">
        <f>_xlfn.XLOOKUP(A178,'Data Cleaning'!A178:A1647, 'Data Cleaning'!I178:I1647)</f>
        <v>45-54</v>
      </c>
      <c r="C178">
        <f>_xlfn.XLOOKUP(A178,'Data Cleaning'!A178:A1647,'Data Cleaning'!K178:K1647)</f>
        <v>1</v>
      </c>
      <c r="D178" t="str">
        <f>_xlfn.XLOOKUP(A178,'Data Cleaning'!A178:A1647, 'Data Cleaning'!D178:D1647)</f>
        <v>Bachelor</v>
      </c>
      <c r="E178" s="3" t="str">
        <f>_xlfn.XLOOKUP(A178,'Data Cleaning'!A178:A1647, 'Data Cleaning'!E178:E1647)</f>
        <v>Married</v>
      </c>
      <c r="F178" t="str">
        <f>_xlfn.XLOOKUP(A178,'Data Cleaning'!A178:A1647, 'Data Cleaning'!F178:F1647)</f>
        <v>None</v>
      </c>
      <c r="G178" s="3" t="str">
        <f>_xlfn.XLOOKUP(A178,'Data Cleaning'!A178:A1647, 'Data Cleaning'!J178:J1647)</f>
        <v>Long Promotion gap</v>
      </c>
    </row>
    <row r="179" spans="1:7" x14ac:dyDescent="0.25">
      <c r="A179" s="3">
        <v>2023</v>
      </c>
      <c r="B179" s="3" t="str">
        <f>_xlfn.XLOOKUP(A179,'Data Cleaning'!A179:A1648, 'Data Cleaning'!I179:I1648)</f>
        <v>18-24</v>
      </c>
      <c r="C179">
        <f>_xlfn.XLOOKUP(A179,'Data Cleaning'!A179:A1648,'Data Cleaning'!K179:K1648)</f>
        <v>1</v>
      </c>
      <c r="D179" t="str">
        <f>_xlfn.XLOOKUP(A179,'Data Cleaning'!A179:A1648, 'Data Cleaning'!D179:D1648)</f>
        <v>Bachelor</v>
      </c>
      <c r="E179" s="3" t="str">
        <f>_xlfn.XLOOKUP(A179,'Data Cleaning'!A179:A1648, 'Data Cleaning'!E179:E1648)</f>
        <v>Married</v>
      </c>
      <c r="F179" t="str">
        <f>_xlfn.XLOOKUP(A179,'Data Cleaning'!A179:A1648, 'Data Cleaning'!F179:F1648)</f>
        <v>Low</v>
      </c>
      <c r="G179" s="3" t="str">
        <f>_xlfn.XLOOKUP(A179,'Data Cleaning'!A179:A1648, 'Data Cleaning'!J179:J1648)</f>
        <v>Promoted in 1-3 years</v>
      </c>
    </row>
    <row r="180" spans="1:7" x14ac:dyDescent="0.25">
      <c r="A180" s="3">
        <v>986</v>
      </c>
      <c r="B180" s="3" t="str">
        <f>_xlfn.XLOOKUP(A180,'Data Cleaning'!A180:A1649, 'Data Cleaning'!I180:I1649)</f>
        <v>35-44</v>
      </c>
      <c r="C180">
        <f>_xlfn.XLOOKUP(A180,'Data Cleaning'!A180:A1649,'Data Cleaning'!K180:K1649)</f>
        <v>1</v>
      </c>
      <c r="D180" t="str">
        <f>_xlfn.XLOOKUP(A180,'Data Cleaning'!A180:A1649, 'Data Cleaning'!D180:D1649)</f>
        <v>Bachelor</v>
      </c>
      <c r="E180" s="3" t="str">
        <f>_xlfn.XLOOKUP(A180,'Data Cleaning'!A180:A1649, 'Data Cleaning'!E180:E1649)</f>
        <v>Single</v>
      </c>
      <c r="F180" t="str">
        <f>_xlfn.XLOOKUP(A180,'Data Cleaning'!A180:A1649, 'Data Cleaning'!F180:F1649)</f>
        <v>None</v>
      </c>
      <c r="G180" s="3" t="str">
        <f>_xlfn.XLOOKUP(A180,'Data Cleaning'!A180:A1649, 'Data Cleaning'!J180:J1649)</f>
        <v>Recently promoted</v>
      </c>
    </row>
    <row r="181" spans="1:7" x14ac:dyDescent="0.25">
      <c r="A181" s="3">
        <v>1761</v>
      </c>
      <c r="B181" s="3" t="str">
        <f>_xlfn.XLOOKUP(A181,'Data Cleaning'!A181:A1650, 'Data Cleaning'!I181:I1650)</f>
        <v>25-34</v>
      </c>
      <c r="C181">
        <f>_xlfn.XLOOKUP(A181,'Data Cleaning'!A181:A1650,'Data Cleaning'!K181:K1650)</f>
        <v>1</v>
      </c>
      <c r="D181" t="str">
        <f>_xlfn.XLOOKUP(A181,'Data Cleaning'!A181:A1650, 'Data Cleaning'!D181:D1650)</f>
        <v>Master</v>
      </c>
      <c r="E181" s="3" t="str">
        <f>_xlfn.XLOOKUP(A181,'Data Cleaning'!A181:A1650, 'Data Cleaning'!E181:E1650)</f>
        <v>Married</v>
      </c>
      <c r="F181" t="str">
        <f>_xlfn.XLOOKUP(A181,'Data Cleaning'!A181:A1650, 'Data Cleaning'!F181:F1650)</f>
        <v>High</v>
      </c>
      <c r="G181" s="3" t="str">
        <f>_xlfn.XLOOKUP(A181,'Data Cleaning'!A181:A1650, 'Data Cleaning'!J181:J1650)</f>
        <v>Recently promoted</v>
      </c>
    </row>
    <row r="182" spans="1:7" x14ac:dyDescent="0.25">
      <c r="A182" s="3">
        <v>1360</v>
      </c>
      <c r="B182" s="3" t="str">
        <f>_xlfn.XLOOKUP(A182,'Data Cleaning'!A182:A1651, 'Data Cleaning'!I182:I1651)</f>
        <v>55-60</v>
      </c>
      <c r="C182">
        <f>_xlfn.XLOOKUP(A182,'Data Cleaning'!A182:A1651,'Data Cleaning'!K182:K1651)</f>
        <v>1</v>
      </c>
      <c r="D182" t="str">
        <f>_xlfn.XLOOKUP(A182,'Data Cleaning'!A182:A1651, 'Data Cleaning'!D182:D1651)</f>
        <v>Master</v>
      </c>
      <c r="E182" s="3" t="str">
        <f>_xlfn.XLOOKUP(A182,'Data Cleaning'!A182:A1651, 'Data Cleaning'!E182:E1651)</f>
        <v>Married</v>
      </c>
      <c r="F182" t="str">
        <f>_xlfn.XLOOKUP(A182,'Data Cleaning'!A182:A1651, 'Data Cleaning'!F182:F1651)</f>
        <v>None</v>
      </c>
      <c r="G182" s="3" t="str">
        <f>_xlfn.XLOOKUP(A182,'Data Cleaning'!A182:A1651, 'Data Cleaning'!J182:J1651)</f>
        <v>Long Promotion gap</v>
      </c>
    </row>
    <row r="183" spans="1:7" x14ac:dyDescent="0.25">
      <c r="A183" s="3">
        <v>684</v>
      </c>
      <c r="B183" s="3" t="str">
        <f>_xlfn.XLOOKUP(A183,'Data Cleaning'!A183:A1652, 'Data Cleaning'!I183:I1652)</f>
        <v>45-54</v>
      </c>
      <c r="C183">
        <f>_xlfn.XLOOKUP(A183,'Data Cleaning'!A183:A1652,'Data Cleaning'!K183:K1652)</f>
        <v>1</v>
      </c>
      <c r="D183" t="str">
        <f>_xlfn.XLOOKUP(A183,'Data Cleaning'!A183:A1652, 'Data Cleaning'!D183:D1652)</f>
        <v>Master</v>
      </c>
      <c r="E183" s="3" t="str">
        <f>_xlfn.XLOOKUP(A183,'Data Cleaning'!A183:A1652, 'Data Cleaning'!E183:E1652)</f>
        <v>Married</v>
      </c>
      <c r="F183" t="str">
        <f>_xlfn.XLOOKUP(A183,'Data Cleaning'!A183:A1652, 'Data Cleaning'!F183:F1652)</f>
        <v>Mid</v>
      </c>
      <c r="G183" s="3" t="str">
        <f>_xlfn.XLOOKUP(A183,'Data Cleaning'!A183:A1652, 'Data Cleaning'!J183:J1652)</f>
        <v>Recently promoted</v>
      </c>
    </row>
    <row r="184" spans="1:7" x14ac:dyDescent="0.25">
      <c r="A184" s="3">
        <v>1572</v>
      </c>
      <c r="B184" s="3" t="str">
        <f>_xlfn.XLOOKUP(A184,'Data Cleaning'!A184:A1653, 'Data Cleaning'!I184:I1653)</f>
        <v>45-54</v>
      </c>
      <c r="C184">
        <f>_xlfn.XLOOKUP(A184,'Data Cleaning'!A184:A1653,'Data Cleaning'!K184:K1653)</f>
        <v>1</v>
      </c>
      <c r="D184" t="str">
        <f>_xlfn.XLOOKUP(A184,'Data Cleaning'!A184:A1653, 'Data Cleaning'!D184:D1653)</f>
        <v>Doctor</v>
      </c>
      <c r="E184" s="3" t="str">
        <f>_xlfn.XLOOKUP(A184,'Data Cleaning'!A184:A1653, 'Data Cleaning'!E184:E1653)</f>
        <v>Married</v>
      </c>
      <c r="F184" t="str">
        <f>_xlfn.XLOOKUP(A184,'Data Cleaning'!A184:A1653, 'Data Cleaning'!F184:F1653)</f>
        <v>Low</v>
      </c>
      <c r="G184" s="3" t="str">
        <f>_xlfn.XLOOKUP(A184,'Data Cleaning'!A184:A1653, 'Data Cleaning'!J184:J1653)</f>
        <v>Promoted in 1-3 years</v>
      </c>
    </row>
    <row r="185" spans="1:7" x14ac:dyDescent="0.25">
      <c r="A185" s="3">
        <v>1273</v>
      </c>
      <c r="B185" s="3" t="str">
        <f>_xlfn.XLOOKUP(A185,'Data Cleaning'!A185:A1654, 'Data Cleaning'!I185:I1654)</f>
        <v>25-34</v>
      </c>
      <c r="C185">
        <f>_xlfn.XLOOKUP(A185,'Data Cleaning'!A185:A1654,'Data Cleaning'!K185:K1654)</f>
        <v>1</v>
      </c>
      <c r="D185" t="str">
        <f>_xlfn.XLOOKUP(A185,'Data Cleaning'!A185:A1654, 'Data Cleaning'!D185:D1654)</f>
        <v>Below College</v>
      </c>
      <c r="E185" s="3" t="str">
        <f>_xlfn.XLOOKUP(A185,'Data Cleaning'!A185:A1654, 'Data Cleaning'!E185:E1654)</f>
        <v>Single</v>
      </c>
      <c r="F185" t="str">
        <f>_xlfn.XLOOKUP(A185,'Data Cleaning'!A185:A1654, 'Data Cleaning'!F185:F1654)</f>
        <v>None</v>
      </c>
      <c r="G185" s="3" t="str">
        <f>_xlfn.XLOOKUP(A185,'Data Cleaning'!A185:A1654, 'Data Cleaning'!J185:J1654)</f>
        <v>Promoted in 1-3 years</v>
      </c>
    </row>
    <row r="186" spans="1:7" x14ac:dyDescent="0.25">
      <c r="A186" s="3">
        <v>587</v>
      </c>
      <c r="B186" s="3" t="str">
        <f>_xlfn.XLOOKUP(A186,'Data Cleaning'!A186:A1655, 'Data Cleaning'!I186:I1655)</f>
        <v>25-34</v>
      </c>
      <c r="C186">
        <f>_xlfn.XLOOKUP(A186,'Data Cleaning'!A186:A1655,'Data Cleaning'!K186:K1655)</f>
        <v>1</v>
      </c>
      <c r="D186" t="str">
        <f>_xlfn.XLOOKUP(A186,'Data Cleaning'!A186:A1655, 'Data Cleaning'!D186:D1655)</f>
        <v>Bachelor</v>
      </c>
      <c r="E186" s="3" t="str">
        <f>_xlfn.XLOOKUP(A186,'Data Cleaning'!A186:A1655, 'Data Cleaning'!E186:E1655)</f>
        <v>Married</v>
      </c>
      <c r="F186" t="str">
        <f>_xlfn.XLOOKUP(A186,'Data Cleaning'!A186:A1655, 'Data Cleaning'!F186:F1655)</f>
        <v>None</v>
      </c>
      <c r="G186" s="3" t="str">
        <f>_xlfn.XLOOKUP(A186,'Data Cleaning'!A186:A1655, 'Data Cleaning'!J186:J1655)</f>
        <v>Recently promoted</v>
      </c>
    </row>
    <row r="187" spans="1:7" x14ac:dyDescent="0.25">
      <c r="A187" s="3">
        <v>494</v>
      </c>
      <c r="B187" s="3" t="str">
        <f>_xlfn.XLOOKUP(A187,'Data Cleaning'!A187:A1656, 'Data Cleaning'!I187:I1656)</f>
        <v>18-24</v>
      </c>
      <c r="C187">
        <f>_xlfn.XLOOKUP(A187,'Data Cleaning'!A187:A1656,'Data Cleaning'!K187:K1656)</f>
        <v>1</v>
      </c>
      <c r="D187" t="str">
        <f>_xlfn.XLOOKUP(A187,'Data Cleaning'!A187:A1656, 'Data Cleaning'!D187:D1656)</f>
        <v>Bachelor</v>
      </c>
      <c r="E187" s="3" t="str">
        <f>_xlfn.XLOOKUP(A187,'Data Cleaning'!A187:A1656, 'Data Cleaning'!E187:E1656)</f>
        <v>Single</v>
      </c>
      <c r="F187" t="str">
        <f>_xlfn.XLOOKUP(A187,'Data Cleaning'!A187:A1656, 'Data Cleaning'!F187:F1656)</f>
        <v>None</v>
      </c>
      <c r="G187" s="3" t="str">
        <f>_xlfn.XLOOKUP(A187,'Data Cleaning'!A187:A1656, 'Data Cleaning'!J187:J1656)</f>
        <v>Recently promoted</v>
      </c>
    </row>
    <row r="188" spans="1:7" x14ac:dyDescent="0.25">
      <c r="A188" s="3">
        <v>952</v>
      </c>
      <c r="B188" s="3" t="str">
        <f>_xlfn.XLOOKUP(A188,'Data Cleaning'!A188:A1657, 'Data Cleaning'!I188:I1657)</f>
        <v>25-34</v>
      </c>
      <c r="C188">
        <f>_xlfn.XLOOKUP(A188,'Data Cleaning'!A188:A1657,'Data Cleaning'!K188:K1657)</f>
        <v>1</v>
      </c>
      <c r="D188" t="str">
        <f>_xlfn.XLOOKUP(A188,'Data Cleaning'!A188:A1657, 'Data Cleaning'!D188:D1657)</f>
        <v>College</v>
      </c>
      <c r="E188" s="3" t="str">
        <f>_xlfn.XLOOKUP(A188,'Data Cleaning'!A188:A1657, 'Data Cleaning'!E188:E1657)</f>
        <v>Married</v>
      </c>
      <c r="F188" t="str">
        <f>_xlfn.XLOOKUP(A188,'Data Cleaning'!A188:A1657, 'Data Cleaning'!F188:F1657)</f>
        <v>High</v>
      </c>
      <c r="G188" s="3" t="str">
        <f>_xlfn.XLOOKUP(A188,'Data Cleaning'!A188:A1657, 'Data Cleaning'!J188:J1657)</f>
        <v>Recently promoted</v>
      </c>
    </row>
    <row r="189" spans="1:7" x14ac:dyDescent="0.25">
      <c r="A189" s="3">
        <v>1165</v>
      </c>
      <c r="B189" s="3" t="str">
        <f>_xlfn.XLOOKUP(A189,'Data Cleaning'!A189:A1658, 'Data Cleaning'!I189:I1658)</f>
        <v>25-34</v>
      </c>
      <c r="C189">
        <f>_xlfn.XLOOKUP(A189,'Data Cleaning'!A189:A1658,'Data Cleaning'!K189:K1658)</f>
        <v>1</v>
      </c>
      <c r="D189" t="str">
        <f>_xlfn.XLOOKUP(A189,'Data Cleaning'!A189:A1658, 'Data Cleaning'!D189:D1658)</f>
        <v>Below College</v>
      </c>
      <c r="E189" s="3" t="str">
        <f>_xlfn.XLOOKUP(A189,'Data Cleaning'!A189:A1658, 'Data Cleaning'!E189:E1658)</f>
        <v>Married</v>
      </c>
      <c r="F189" t="str">
        <f>_xlfn.XLOOKUP(A189,'Data Cleaning'!A189:A1658, 'Data Cleaning'!F189:F1658)</f>
        <v>Low</v>
      </c>
      <c r="G189" s="3" t="str">
        <f>_xlfn.XLOOKUP(A189,'Data Cleaning'!A189:A1658, 'Data Cleaning'!J189:J1658)</f>
        <v>Promoted in 1-3 years</v>
      </c>
    </row>
    <row r="190" spans="1:7" x14ac:dyDescent="0.25">
      <c r="A190" s="3">
        <v>1079</v>
      </c>
      <c r="B190" s="3" t="str">
        <f>_xlfn.XLOOKUP(A190,'Data Cleaning'!A190:A1659, 'Data Cleaning'!I190:I1659)</f>
        <v>18-24</v>
      </c>
      <c r="C190">
        <f>_xlfn.XLOOKUP(A190,'Data Cleaning'!A190:A1659,'Data Cleaning'!K190:K1659)</f>
        <v>1</v>
      </c>
      <c r="D190" t="str">
        <f>_xlfn.XLOOKUP(A190,'Data Cleaning'!A190:A1659, 'Data Cleaning'!D190:D1659)</f>
        <v>Bachelor</v>
      </c>
      <c r="E190" s="3" t="str">
        <f>_xlfn.XLOOKUP(A190,'Data Cleaning'!A190:A1659, 'Data Cleaning'!E190:E1659)</f>
        <v>Single</v>
      </c>
      <c r="F190" t="str">
        <f>_xlfn.XLOOKUP(A190,'Data Cleaning'!A190:A1659, 'Data Cleaning'!F190:F1659)</f>
        <v>None</v>
      </c>
      <c r="G190" s="3" t="str">
        <f>_xlfn.XLOOKUP(A190,'Data Cleaning'!A190:A1659, 'Data Cleaning'!J190:J1659)</f>
        <v>Recently promoted</v>
      </c>
    </row>
    <row r="191" spans="1:7" x14ac:dyDescent="0.25">
      <c r="A191" s="3">
        <v>1107</v>
      </c>
      <c r="B191" s="3" t="str">
        <f>_xlfn.XLOOKUP(A191,'Data Cleaning'!A191:A1660, 'Data Cleaning'!I191:I1660)</f>
        <v>25-34</v>
      </c>
      <c r="C191">
        <f>_xlfn.XLOOKUP(A191,'Data Cleaning'!A191:A1660,'Data Cleaning'!K191:K1660)</f>
        <v>1</v>
      </c>
      <c r="D191" t="str">
        <f>_xlfn.XLOOKUP(A191,'Data Cleaning'!A191:A1660, 'Data Cleaning'!D191:D1660)</f>
        <v>Bachelor</v>
      </c>
      <c r="E191" s="3" t="str">
        <f>_xlfn.XLOOKUP(A191,'Data Cleaning'!A191:A1660, 'Data Cleaning'!E191:E1660)</f>
        <v>Divorced</v>
      </c>
      <c r="F191" t="str">
        <f>_xlfn.XLOOKUP(A191,'Data Cleaning'!A191:A1660, 'Data Cleaning'!F191:F1660)</f>
        <v>Low</v>
      </c>
      <c r="G191" s="3" t="str">
        <f>_xlfn.XLOOKUP(A191,'Data Cleaning'!A191:A1660, 'Data Cleaning'!J191:J1660)</f>
        <v>Recently promoted</v>
      </c>
    </row>
    <row r="192" spans="1:7" x14ac:dyDescent="0.25">
      <c r="A192" s="3">
        <v>959</v>
      </c>
      <c r="B192" s="3" t="str">
        <f>_xlfn.XLOOKUP(A192,'Data Cleaning'!A192:A1661, 'Data Cleaning'!I192:I1661)</f>
        <v>18-24</v>
      </c>
      <c r="C192">
        <f>_xlfn.XLOOKUP(A192,'Data Cleaning'!A192:A1661,'Data Cleaning'!K192:K1661)</f>
        <v>1</v>
      </c>
      <c r="D192" t="str">
        <f>_xlfn.XLOOKUP(A192,'Data Cleaning'!A192:A1661, 'Data Cleaning'!D192:D1661)</f>
        <v>Bachelor</v>
      </c>
      <c r="E192" s="3" t="str">
        <f>_xlfn.XLOOKUP(A192,'Data Cleaning'!A192:A1661, 'Data Cleaning'!E192:E1661)</f>
        <v>Single</v>
      </c>
      <c r="F192" t="str">
        <f>_xlfn.XLOOKUP(A192,'Data Cleaning'!A192:A1661, 'Data Cleaning'!F192:F1661)</f>
        <v>None</v>
      </c>
      <c r="G192" s="3" t="str">
        <f>_xlfn.XLOOKUP(A192,'Data Cleaning'!A192:A1661, 'Data Cleaning'!J192:J1661)</f>
        <v>Recently promoted</v>
      </c>
    </row>
    <row r="193" spans="1:7" x14ac:dyDescent="0.25">
      <c r="A193" s="3">
        <v>702</v>
      </c>
      <c r="B193" s="3" t="str">
        <f>_xlfn.XLOOKUP(A193,'Data Cleaning'!A193:A1662, 'Data Cleaning'!I193:I1662)</f>
        <v>25-34</v>
      </c>
      <c r="C193">
        <f>_xlfn.XLOOKUP(A193,'Data Cleaning'!A193:A1662,'Data Cleaning'!K193:K1662)</f>
        <v>1</v>
      </c>
      <c r="D193" t="str">
        <f>_xlfn.XLOOKUP(A193,'Data Cleaning'!A193:A1662, 'Data Cleaning'!D193:D1662)</f>
        <v>Bachelor</v>
      </c>
      <c r="E193" s="3" t="str">
        <f>_xlfn.XLOOKUP(A193,'Data Cleaning'!A193:A1662, 'Data Cleaning'!E193:E1662)</f>
        <v>Single</v>
      </c>
      <c r="F193" t="str">
        <f>_xlfn.XLOOKUP(A193,'Data Cleaning'!A193:A1662, 'Data Cleaning'!F193:F1662)</f>
        <v>None</v>
      </c>
      <c r="G193" s="3" t="str">
        <f>_xlfn.XLOOKUP(A193,'Data Cleaning'!A193:A1662, 'Data Cleaning'!J193:J1662)</f>
        <v>Long Promotion gap</v>
      </c>
    </row>
    <row r="194" spans="1:7" x14ac:dyDescent="0.25">
      <c r="A194" s="3">
        <v>445</v>
      </c>
      <c r="B194" s="3" t="str">
        <f>_xlfn.XLOOKUP(A194,'Data Cleaning'!A194:A1663, 'Data Cleaning'!I194:I1663)</f>
        <v>35-44</v>
      </c>
      <c r="C194">
        <f>_xlfn.XLOOKUP(A194,'Data Cleaning'!A194:A1663,'Data Cleaning'!K194:K1663)</f>
        <v>1</v>
      </c>
      <c r="D194" t="str">
        <f>_xlfn.XLOOKUP(A194,'Data Cleaning'!A194:A1663, 'Data Cleaning'!D194:D1663)</f>
        <v>College</v>
      </c>
      <c r="E194" s="3" t="str">
        <f>_xlfn.XLOOKUP(A194,'Data Cleaning'!A194:A1663, 'Data Cleaning'!E194:E1663)</f>
        <v>Married</v>
      </c>
      <c r="F194" t="str">
        <f>_xlfn.XLOOKUP(A194,'Data Cleaning'!A194:A1663, 'Data Cleaning'!F194:F1663)</f>
        <v>None</v>
      </c>
      <c r="G194" s="3" t="str">
        <f>_xlfn.XLOOKUP(A194,'Data Cleaning'!A194:A1663, 'Data Cleaning'!J194:J1663)</f>
        <v>Recently promoted</v>
      </c>
    </row>
    <row r="195" spans="1:7" x14ac:dyDescent="0.25">
      <c r="A195" s="3">
        <v>1928</v>
      </c>
      <c r="B195" s="3" t="str">
        <f>_xlfn.XLOOKUP(A195,'Data Cleaning'!A195:A1664, 'Data Cleaning'!I195:I1664)</f>
        <v>25-34</v>
      </c>
      <c r="C195">
        <f>_xlfn.XLOOKUP(A195,'Data Cleaning'!A195:A1664,'Data Cleaning'!K195:K1664)</f>
        <v>1</v>
      </c>
      <c r="D195" t="str">
        <f>_xlfn.XLOOKUP(A195,'Data Cleaning'!A195:A1664, 'Data Cleaning'!D195:D1664)</f>
        <v>Bachelor</v>
      </c>
      <c r="E195" s="3" t="str">
        <f>_xlfn.XLOOKUP(A195,'Data Cleaning'!A195:A1664, 'Data Cleaning'!E195:E1664)</f>
        <v>Single</v>
      </c>
      <c r="F195" t="str">
        <f>_xlfn.XLOOKUP(A195,'Data Cleaning'!A195:A1664, 'Data Cleaning'!F195:F1664)</f>
        <v>None</v>
      </c>
      <c r="G195" s="3" t="str">
        <f>_xlfn.XLOOKUP(A195,'Data Cleaning'!A195:A1664, 'Data Cleaning'!J195:J1664)</f>
        <v>Recently promoted</v>
      </c>
    </row>
    <row r="196" spans="1:7" x14ac:dyDescent="0.25">
      <c r="A196" s="3">
        <v>282</v>
      </c>
      <c r="B196" s="3" t="str">
        <f>_xlfn.XLOOKUP(A196,'Data Cleaning'!A196:A1665, 'Data Cleaning'!I196:I1665)</f>
        <v>35-44</v>
      </c>
      <c r="C196">
        <f>_xlfn.XLOOKUP(A196,'Data Cleaning'!A196:A1665,'Data Cleaning'!K196:K1665)</f>
        <v>1</v>
      </c>
      <c r="D196" t="str">
        <f>_xlfn.XLOOKUP(A196,'Data Cleaning'!A196:A1665, 'Data Cleaning'!D196:D1665)</f>
        <v>Below College</v>
      </c>
      <c r="E196" s="3" t="str">
        <f>_xlfn.XLOOKUP(A196,'Data Cleaning'!A196:A1665, 'Data Cleaning'!E196:E1665)</f>
        <v>Married</v>
      </c>
      <c r="F196" t="str">
        <f>_xlfn.XLOOKUP(A196,'Data Cleaning'!A196:A1665, 'Data Cleaning'!F196:F1665)</f>
        <v>None</v>
      </c>
      <c r="G196" s="3" t="str">
        <f>_xlfn.XLOOKUP(A196,'Data Cleaning'!A196:A1665, 'Data Cleaning'!J196:J1665)</f>
        <v>Recently promoted</v>
      </c>
    </row>
    <row r="197" spans="1:7" x14ac:dyDescent="0.25">
      <c r="A197" s="3">
        <v>137</v>
      </c>
      <c r="B197" s="3" t="str">
        <f>_xlfn.XLOOKUP(A197,'Data Cleaning'!A197:A1666, 'Data Cleaning'!I197:I1666)</f>
        <v>18-24</v>
      </c>
      <c r="C197">
        <f>_xlfn.XLOOKUP(A197,'Data Cleaning'!A197:A1666,'Data Cleaning'!K197:K1666)</f>
        <v>1</v>
      </c>
      <c r="D197" t="str">
        <f>_xlfn.XLOOKUP(A197,'Data Cleaning'!A197:A1666, 'Data Cleaning'!D197:D1666)</f>
        <v>Bachelor</v>
      </c>
      <c r="E197" s="3" t="str">
        <f>_xlfn.XLOOKUP(A197,'Data Cleaning'!A197:A1666, 'Data Cleaning'!E197:E1666)</f>
        <v>Single</v>
      </c>
      <c r="F197" t="str">
        <f>_xlfn.XLOOKUP(A197,'Data Cleaning'!A197:A1666, 'Data Cleaning'!F197:F1666)</f>
        <v>None</v>
      </c>
      <c r="G197" s="3" t="str">
        <f>_xlfn.XLOOKUP(A197,'Data Cleaning'!A197:A1666, 'Data Cleaning'!J197:J1666)</f>
        <v>Recently promoted</v>
      </c>
    </row>
    <row r="198" spans="1:7" x14ac:dyDescent="0.25">
      <c r="A198" s="3">
        <v>780</v>
      </c>
      <c r="B198" s="3" t="str">
        <f>_xlfn.XLOOKUP(A198,'Data Cleaning'!A198:A1667, 'Data Cleaning'!I198:I1667)</f>
        <v>25-34</v>
      </c>
      <c r="C198">
        <f>_xlfn.XLOOKUP(A198,'Data Cleaning'!A198:A1667,'Data Cleaning'!K198:K1667)</f>
        <v>1</v>
      </c>
      <c r="D198" t="str">
        <f>_xlfn.XLOOKUP(A198,'Data Cleaning'!A198:A1667, 'Data Cleaning'!D198:D1667)</f>
        <v>Master</v>
      </c>
      <c r="E198" s="3" t="str">
        <f>_xlfn.XLOOKUP(A198,'Data Cleaning'!A198:A1667, 'Data Cleaning'!E198:E1667)</f>
        <v>Single</v>
      </c>
      <c r="F198" t="str">
        <f>_xlfn.XLOOKUP(A198,'Data Cleaning'!A198:A1667, 'Data Cleaning'!F198:F1667)</f>
        <v>None</v>
      </c>
      <c r="G198" s="3" t="str">
        <f>_xlfn.XLOOKUP(A198,'Data Cleaning'!A198:A1667, 'Data Cleaning'!J198:J1667)</f>
        <v>Long Promotion gap</v>
      </c>
    </row>
    <row r="199" spans="1:7" x14ac:dyDescent="0.25">
      <c r="A199" s="3">
        <v>1780</v>
      </c>
      <c r="B199" s="3" t="str">
        <f>_xlfn.XLOOKUP(A199,'Data Cleaning'!A199:A1668, 'Data Cleaning'!I199:I1668)</f>
        <v>18-24</v>
      </c>
      <c r="C199">
        <f>_xlfn.XLOOKUP(A199,'Data Cleaning'!A199:A1668,'Data Cleaning'!K199:K1668)</f>
        <v>1</v>
      </c>
      <c r="D199" t="str">
        <f>_xlfn.XLOOKUP(A199,'Data Cleaning'!A199:A1668, 'Data Cleaning'!D199:D1668)</f>
        <v>Below College</v>
      </c>
      <c r="E199" s="3" t="str">
        <f>_xlfn.XLOOKUP(A199,'Data Cleaning'!A199:A1668, 'Data Cleaning'!E199:E1668)</f>
        <v>Single</v>
      </c>
      <c r="F199" t="str">
        <f>_xlfn.XLOOKUP(A199,'Data Cleaning'!A199:A1668, 'Data Cleaning'!F199:F1668)</f>
        <v>None</v>
      </c>
      <c r="G199" s="3" t="str">
        <f>_xlfn.XLOOKUP(A199,'Data Cleaning'!A199:A1668, 'Data Cleaning'!J199:J1668)</f>
        <v>Recently promoted</v>
      </c>
    </row>
    <row r="200" spans="1:7" x14ac:dyDescent="0.25">
      <c r="A200" s="3">
        <v>1210</v>
      </c>
      <c r="B200" s="3" t="str">
        <f>_xlfn.XLOOKUP(A200,'Data Cleaning'!A200:A1669, 'Data Cleaning'!I200:I1669)</f>
        <v>35-44</v>
      </c>
      <c r="C200">
        <f>_xlfn.XLOOKUP(A200,'Data Cleaning'!A200:A1669,'Data Cleaning'!K200:K1669)</f>
        <v>1</v>
      </c>
      <c r="D200" t="str">
        <f>_xlfn.XLOOKUP(A200,'Data Cleaning'!A200:A1669, 'Data Cleaning'!D200:D1669)</f>
        <v>College</v>
      </c>
      <c r="E200" s="3" t="str">
        <f>_xlfn.XLOOKUP(A200,'Data Cleaning'!A200:A1669, 'Data Cleaning'!E200:E1669)</f>
        <v>Divorced</v>
      </c>
      <c r="F200" t="str">
        <f>_xlfn.XLOOKUP(A200,'Data Cleaning'!A200:A1669, 'Data Cleaning'!F200:F1669)</f>
        <v>Low</v>
      </c>
      <c r="G200" s="3" t="str">
        <f>_xlfn.XLOOKUP(A200,'Data Cleaning'!A200:A1669, 'Data Cleaning'!J200:J1669)</f>
        <v>Recently promoted</v>
      </c>
    </row>
    <row r="201" spans="1:7" x14ac:dyDescent="0.25">
      <c r="A201" s="3">
        <v>364</v>
      </c>
      <c r="B201" s="3" t="str">
        <f>_xlfn.XLOOKUP(A201,'Data Cleaning'!A201:A1670, 'Data Cleaning'!I201:I1670)</f>
        <v>25-34</v>
      </c>
      <c r="C201">
        <f>_xlfn.XLOOKUP(A201,'Data Cleaning'!A201:A1670,'Data Cleaning'!K201:K1670)</f>
        <v>1</v>
      </c>
      <c r="D201" t="str">
        <f>_xlfn.XLOOKUP(A201,'Data Cleaning'!A201:A1670, 'Data Cleaning'!D201:D1670)</f>
        <v>Master</v>
      </c>
      <c r="E201" s="3" t="str">
        <f>_xlfn.XLOOKUP(A201,'Data Cleaning'!A201:A1670, 'Data Cleaning'!E201:E1670)</f>
        <v>Single</v>
      </c>
      <c r="F201" t="str">
        <f>_xlfn.XLOOKUP(A201,'Data Cleaning'!A201:A1670, 'Data Cleaning'!F201:F1670)</f>
        <v>None</v>
      </c>
      <c r="G201" s="3" t="str">
        <f>_xlfn.XLOOKUP(A201,'Data Cleaning'!A201:A1670, 'Data Cleaning'!J201:J1670)</f>
        <v>Recently promoted</v>
      </c>
    </row>
    <row r="202" spans="1:7" x14ac:dyDescent="0.25">
      <c r="A202" s="3">
        <v>918</v>
      </c>
      <c r="B202" s="3" t="str">
        <f>_xlfn.XLOOKUP(A202,'Data Cleaning'!A202:A1671, 'Data Cleaning'!I202:I1671)</f>
        <v>55-60</v>
      </c>
      <c r="C202">
        <f>_xlfn.XLOOKUP(A202,'Data Cleaning'!A202:A1671,'Data Cleaning'!K202:K1671)</f>
        <v>1</v>
      </c>
      <c r="D202" t="str">
        <f>_xlfn.XLOOKUP(A202,'Data Cleaning'!A202:A1671, 'Data Cleaning'!D202:D1671)</f>
        <v>Below College</v>
      </c>
      <c r="E202" s="3" t="str">
        <f>_xlfn.XLOOKUP(A202,'Data Cleaning'!A202:A1671, 'Data Cleaning'!E202:E1671)</f>
        <v>Divorced</v>
      </c>
      <c r="F202" t="str">
        <f>_xlfn.XLOOKUP(A202,'Data Cleaning'!A202:A1671, 'Data Cleaning'!F202:F1671)</f>
        <v>Low</v>
      </c>
      <c r="G202" s="3" t="str">
        <f>_xlfn.XLOOKUP(A202,'Data Cleaning'!A202:A1671, 'Data Cleaning'!J202:J1671)</f>
        <v>Recently promoted</v>
      </c>
    </row>
    <row r="203" spans="1:7" x14ac:dyDescent="0.25">
      <c r="A203" s="3">
        <v>614</v>
      </c>
      <c r="B203" s="3" t="str">
        <f>_xlfn.XLOOKUP(A203,'Data Cleaning'!A203:A1672, 'Data Cleaning'!I203:I1672)</f>
        <v>18-24</v>
      </c>
      <c r="C203">
        <f>_xlfn.XLOOKUP(A203,'Data Cleaning'!A203:A1672,'Data Cleaning'!K203:K1672)</f>
        <v>1</v>
      </c>
      <c r="D203" t="str">
        <f>_xlfn.XLOOKUP(A203,'Data Cleaning'!A203:A1672, 'Data Cleaning'!D203:D1672)</f>
        <v>Bachelor</v>
      </c>
      <c r="E203" s="3" t="str">
        <f>_xlfn.XLOOKUP(A203,'Data Cleaning'!A203:A1672, 'Data Cleaning'!E203:E1672)</f>
        <v>Single</v>
      </c>
      <c r="F203" t="str">
        <f>_xlfn.XLOOKUP(A203,'Data Cleaning'!A203:A1672, 'Data Cleaning'!F203:F1672)</f>
        <v>None</v>
      </c>
      <c r="G203" s="3" t="str">
        <f>_xlfn.XLOOKUP(A203,'Data Cleaning'!A203:A1672, 'Data Cleaning'!J203:J1672)</f>
        <v>Recently promoted</v>
      </c>
    </row>
    <row r="204" spans="1:7" x14ac:dyDescent="0.25">
      <c r="A204" s="3">
        <v>4</v>
      </c>
      <c r="B204" s="3" t="str">
        <f>_xlfn.XLOOKUP(A204,'Data Cleaning'!A204:A1673, 'Data Cleaning'!I204:I1673)</f>
        <v>35-44</v>
      </c>
      <c r="C204">
        <f>_xlfn.XLOOKUP(A204,'Data Cleaning'!A204:A1673,'Data Cleaning'!K204:K1673)</f>
        <v>1</v>
      </c>
      <c r="D204" t="str">
        <f>_xlfn.XLOOKUP(A204,'Data Cleaning'!A204:A1673, 'Data Cleaning'!D204:D1673)</f>
        <v>College</v>
      </c>
      <c r="E204" s="3" t="str">
        <f>_xlfn.XLOOKUP(A204,'Data Cleaning'!A204:A1673, 'Data Cleaning'!E204:E1673)</f>
        <v>Single</v>
      </c>
      <c r="F204" t="str">
        <f>_xlfn.XLOOKUP(A204,'Data Cleaning'!A204:A1673, 'Data Cleaning'!F204:F1673)</f>
        <v>None</v>
      </c>
      <c r="G204" s="3" t="str">
        <f>_xlfn.XLOOKUP(A204,'Data Cleaning'!A204:A1673, 'Data Cleaning'!J204:J1673)</f>
        <v>Recently promoted</v>
      </c>
    </row>
    <row r="205" spans="1:7" x14ac:dyDescent="0.25">
      <c r="A205" s="3">
        <v>90</v>
      </c>
      <c r="B205" s="3" t="str">
        <f>_xlfn.XLOOKUP(A205,'Data Cleaning'!A205:A1674, 'Data Cleaning'!I205:I1674)</f>
        <v>35-44</v>
      </c>
      <c r="C205">
        <f>_xlfn.XLOOKUP(A205,'Data Cleaning'!A205:A1674,'Data Cleaning'!K205:K1674)</f>
        <v>1</v>
      </c>
      <c r="D205" t="str">
        <f>_xlfn.XLOOKUP(A205,'Data Cleaning'!A205:A1674, 'Data Cleaning'!D205:D1674)</f>
        <v>Bachelor</v>
      </c>
      <c r="E205" s="3" t="str">
        <f>_xlfn.XLOOKUP(A205,'Data Cleaning'!A205:A1674, 'Data Cleaning'!E205:E1674)</f>
        <v>Married</v>
      </c>
      <c r="F205" t="str">
        <f>_xlfn.XLOOKUP(A205,'Data Cleaning'!A205:A1674, 'Data Cleaning'!F205:F1674)</f>
        <v>Low</v>
      </c>
      <c r="G205" s="3" t="str">
        <f>_xlfn.XLOOKUP(A205,'Data Cleaning'!A205:A1674, 'Data Cleaning'!J205:J1674)</f>
        <v>Recently promoted</v>
      </c>
    </row>
    <row r="206" spans="1:7" x14ac:dyDescent="0.25">
      <c r="A206" s="3">
        <v>960</v>
      </c>
      <c r="B206" s="3" t="str">
        <f>_xlfn.XLOOKUP(A206,'Data Cleaning'!A206:A1675, 'Data Cleaning'!I206:I1675)</f>
        <v>18-24</v>
      </c>
      <c r="C206">
        <f>_xlfn.XLOOKUP(A206,'Data Cleaning'!A206:A1675,'Data Cleaning'!K206:K1675)</f>
        <v>1</v>
      </c>
      <c r="D206" t="str">
        <f>_xlfn.XLOOKUP(A206,'Data Cleaning'!A206:A1675, 'Data Cleaning'!D206:D1675)</f>
        <v>Bachelor</v>
      </c>
      <c r="E206" s="3" t="str">
        <f>_xlfn.XLOOKUP(A206,'Data Cleaning'!A206:A1675, 'Data Cleaning'!E206:E1675)</f>
        <v>Single</v>
      </c>
      <c r="F206" t="str">
        <f>_xlfn.XLOOKUP(A206,'Data Cleaning'!A206:A1675, 'Data Cleaning'!F206:F1675)</f>
        <v>None</v>
      </c>
      <c r="G206" s="3" t="str">
        <f>_xlfn.XLOOKUP(A206,'Data Cleaning'!A206:A1675, 'Data Cleaning'!J206:J1675)</f>
        <v>Recently promoted</v>
      </c>
    </row>
    <row r="207" spans="1:7" x14ac:dyDescent="0.25">
      <c r="A207" s="3">
        <v>1783</v>
      </c>
      <c r="B207" s="3" t="str">
        <f>_xlfn.XLOOKUP(A207,'Data Cleaning'!A207:A1676, 'Data Cleaning'!I207:I1676)</f>
        <v>18-24</v>
      </c>
      <c r="C207">
        <f>_xlfn.XLOOKUP(A207,'Data Cleaning'!A207:A1676,'Data Cleaning'!K207:K1676)</f>
        <v>1</v>
      </c>
      <c r="D207" t="str">
        <f>_xlfn.XLOOKUP(A207,'Data Cleaning'!A207:A1676, 'Data Cleaning'!D207:D1676)</f>
        <v>Below College</v>
      </c>
      <c r="E207" s="3" t="str">
        <f>_xlfn.XLOOKUP(A207,'Data Cleaning'!A207:A1676, 'Data Cleaning'!E207:E1676)</f>
        <v>Married</v>
      </c>
      <c r="F207" t="str">
        <f>_xlfn.XLOOKUP(A207,'Data Cleaning'!A207:A1676, 'Data Cleaning'!F207:F1676)</f>
        <v>None</v>
      </c>
      <c r="G207" s="3" t="str">
        <f>_xlfn.XLOOKUP(A207,'Data Cleaning'!A207:A1676, 'Data Cleaning'!J207:J1676)</f>
        <v>Recently promoted</v>
      </c>
    </row>
    <row r="208" spans="1:7" x14ac:dyDescent="0.25">
      <c r="A208" s="3">
        <v>64</v>
      </c>
      <c r="B208" s="3" t="str">
        <f>_xlfn.XLOOKUP(A208,'Data Cleaning'!A208:A1677, 'Data Cleaning'!I208:I1677)</f>
        <v>45-54</v>
      </c>
      <c r="C208">
        <f>_xlfn.XLOOKUP(A208,'Data Cleaning'!A208:A1677,'Data Cleaning'!K208:K1677)</f>
        <v>1</v>
      </c>
      <c r="D208" t="str">
        <f>_xlfn.XLOOKUP(A208,'Data Cleaning'!A208:A1677, 'Data Cleaning'!D208:D1677)</f>
        <v>College</v>
      </c>
      <c r="E208" s="3" t="str">
        <f>_xlfn.XLOOKUP(A208,'Data Cleaning'!A208:A1677, 'Data Cleaning'!E208:E1677)</f>
        <v>Single</v>
      </c>
      <c r="F208" t="str">
        <f>_xlfn.XLOOKUP(A208,'Data Cleaning'!A208:A1677, 'Data Cleaning'!F208:F1677)</f>
        <v>None</v>
      </c>
      <c r="G208" s="3" t="str">
        <f>_xlfn.XLOOKUP(A208,'Data Cleaning'!A208:A1677, 'Data Cleaning'!J208:J1677)</f>
        <v>Recently promoted</v>
      </c>
    </row>
    <row r="209" spans="1:7" x14ac:dyDescent="0.25">
      <c r="A209" s="3">
        <v>1876</v>
      </c>
      <c r="B209" s="3" t="str">
        <f>_xlfn.XLOOKUP(A209,'Data Cleaning'!A209:A1678, 'Data Cleaning'!I209:I1678)</f>
        <v>25-34</v>
      </c>
      <c r="C209">
        <f>_xlfn.XLOOKUP(A209,'Data Cleaning'!A209:A1678,'Data Cleaning'!K209:K1678)</f>
        <v>1</v>
      </c>
      <c r="D209" t="str">
        <f>_xlfn.XLOOKUP(A209,'Data Cleaning'!A209:A1678, 'Data Cleaning'!D209:D1678)</f>
        <v>Bachelor</v>
      </c>
      <c r="E209" s="3" t="str">
        <f>_xlfn.XLOOKUP(A209,'Data Cleaning'!A209:A1678, 'Data Cleaning'!E209:E1678)</f>
        <v>Single</v>
      </c>
      <c r="F209" t="str">
        <f>_xlfn.XLOOKUP(A209,'Data Cleaning'!A209:A1678, 'Data Cleaning'!F209:F1678)</f>
        <v>None</v>
      </c>
      <c r="G209" s="3" t="str">
        <f>_xlfn.XLOOKUP(A209,'Data Cleaning'!A209:A1678, 'Data Cleaning'!J209:J1678)</f>
        <v>Recently promoted</v>
      </c>
    </row>
    <row r="210" spans="1:7" x14ac:dyDescent="0.25">
      <c r="A210" s="3">
        <v>167</v>
      </c>
      <c r="B210" s="3" t="str">
        <f>_xlfn.XLOOKUP(A210,'Data Cleaning'!A210:A1679, 'Data Cleaning'!I210:I1679)</f>
        <v>18-24</v>
      </c>
      <c r="C210">
        <f>_xlfn.XLOOKUP(A210,'Data Cleaning'!A210:A1679,'Data Cleaning'!K210:K1679)</f>
        <v>1</v>
      </c>
      <c r="D210" t="str">
        <f>_xlfn.XLOOKUP(A210,'Data Cleaning'!A210:A1679, 'Data Cleaning'!D210:D1679)</f>
        <v>Below College</v>
      </c>
      <c r="E210" s="3" t="str">
        <f>_xlfn.XLOOKUP(A210,'Data Cleaning'!A210:A1679, 'Data Cleaning'!E210:E1679)</f>
        <v>Single</v>
      </c>
      <c r="F210" t="str">
        <f>_xlfn.XLOOKUP(A210,'Data Cleaning'!A210:A1679, 'Data Cleaning'!F210:F1679)</f>
        <v>None</v>
      </c>
      <c r="G210" s="3" t="str">
        <f>_xlfn.XLOOKUP(A210,'Data Cleaning'!A210:A1679, 'Data Cleaning'!J210:J1679)</f>
        <v>Recently promoted</v>
      </c>
    </row>
    <row r="211" spans="1:7" x14ac:dyDescent="0.25">
      <c r="A211" s="3">
        <v>1379</v>
      </c>
      <c r="B211" s="3" t="str">
        <f>_xlfn.XLOOKUP(A211,'Data Cleaning'!A211:A1680, 'Data Cleaning'!I211:I1680)</f>
        <v>25-34</v>
      </c>
      <c r="C211">
        <f>_xlfn.XLOOKUP(A211,'Data Cleaning'!A211:A1680,'Data Cleaning'!K211:K1680)</f>
        <v>1</v>
      </c>
      <c r="D211" t="str">
        <f>_xlfn.XLOOKUP(A211,'Data Cleaning'!A211:A1680, 'Data Cleaning'!D211:D1680)</f>
        <v>Bachelor</v>
      </c>
      <c r="E211" s="3" t="str">
        <f>_xlfn.XLOOKUP(A211,'Data Cleaning'!A211:A1680, 'Data Cleaning'!E211:E1680)</f>
        <v>Single</v>
      </c>
      <c r="F211" t="str">
        <f>_xlfn.XLOOKUP(A211,'Data Cleaning'!A211:A1680, 'Data Cleaning'!F211:F1680)</f>
        <v>None</v>
      </c>
      <c r="G211" s="3" t="str">
        <f>_xlfn.XLOOKUP(A211,'Data Cleaning'!A211:A1680, 'Data Cleaning'!J211:J1680)</f>
        <v>Recently promoted</v>
      </c>
    </row>
    <row r="212" spans="1:7" x14ac:dyDescent="0.25">
      <c r="A212" s="3">
        <v>648</v>
      </c>
      <c r="B212" s="3" t="str">
        <f>_xlfn.XLOOKUP(A212,'Data Cleaning'!A212:A1681, 'Data Cleaning'!I212:I1681)</f>
        <v>25-34</v>
      </c>
      <c r="C212">
        <f>_xlfn.XLOOKUP(A212,'Data Cleaning'!A212:A1681,'Data Cleaning'!K212:K1681)</f>
        <v>1</v>
      </c>
      <c r="D212" t="str">
        <f>_xlfn.XLOOKUP(A212,'Data Cleaning'!A212:A1681, 'Data Cleaning'!D212:D1681)</f>
        <v>Master</v>
      </c>
      <c r="E212" s="3" t="str">
        <f>_xlfn.XLOOKUP(A212,'Data Cleaning'!A212:A1681, 'Data Cleaning'!E212:E1681)</f>
        <v>Married</v>
      </c>
      <c r="F212" t="str">
        <f>_xlfn.XLOOKUP(A212,'Data Cleaning'!A212:A1681, 'Data Cleaning'!F212:F1681)</f>
        <v>Low</v>
      </c>
      <c r="G212" s="3" t="str">
        <f>_xlfn.XLOOKUP(A212,'Data Cleaning'!A212:A1681, 'Data Cleaning'!J212:J1681)</f>
        <v>Recently promoted</v>
      </c>
    </row>
    <row r="213" spans="1:7" x14ac:dyDescent="0.25">
      <c r="A213" s="3">
        <v>243</v>
      </c>
      <c r="B213" s="3" t="str">
        <f>_xlfn.XLOOKUP(A213,'Data Cleaning'!A213:A1682, 'Data Cleaning'!I213:I1682)</f>
        <v>18-24</v>
      </c>
      <c r="C213">
        <f>_xlfn.XLOOKUP(A213,'Data Cleaning'!A213:A1682,'Data Cleaning'!K213:K1682)</f>
        <v>1</v>
      </c>
      <c r="D213" t="str">
        <f>_xlfn.XLOOKUP(A213,'Data Cleaning'!A213:A1682, 'Data Cleaning'!D213:D1682)</f>
        <v>Bachelor</v>
      </c>
      <c r="E213" s="3" t="str">
        <f>_xlfn.XLOOKUP(A213,'Data Cleaning'!A213:A1682, 'Data Cleaning'!E213:E1682)</f>
        <v>Single</v>
      </c>
      <c r="F213" t="str">
        <f>_xlfn.XLOOKUP(A213,'Data Cleaning'!A213:A1682, 'Data Cleaning'!F213:F1682)</f>
        <v>None</v>
      </c>
      <c r="G213" s="3" t="str">
        <f>_xlfn.XLOOKUP(A213,'Data Cleaning'!A213:A1682, 'Data Cleaning'!J213:J1682)</f>
        <v>Promoted in 1-3 years</v>
      </c>
    </row>
    <row r="214" spans="1:7" x14ac:dyDescent="0.25">
      <c r="A214" s="3">
        <v>811</v>
      </c>
      <c r="B214" s="3" t="str">
        <f>_xlfn.XLOOKUP(A214,'Data Cleaning'!A214:A1683, 'Data Cleaning'!I214:I1683)</f>
        <v>18-24</v>
      </c>
      <c r="C214">
        <f>_xlfn.XLOOKUP(A214,'Data Cleaning'!A214:A1683,'Data Cleaning'!K214:K1683)</f>
        <v>1</v>
      </c>
      <c r="D214" t="str">
        <f>_xlfn.XLOOKUP(A214,'Data Cleaning'!A214:A1683, 'Data Cleaning'!D214:D1683)</f>
        <v>Bachelor</v>
      </c>
      <c r="E214" s="3" t="str">
        <f>_xlfn.XLOOKUP(A214,'Data Cleaning'!A214:A1683, 'Data Cleaning'!E214:E1683)</f>
        <v>Married</v>
      </c>
      <c r="F214" t="str">
        <f>_xlfn.XLOOKUP(A214,'Data Cleaning'!A214:A1683, 'Data Cleaning'!F214:F1683)</f>
        <v>Mid</v>
      </c>
      <c r="G214" s="3" t="str">
        <f>_xlfn.XLOOKUP(A214,'Data Cleaning'!A214:A1683, 'Data Cleaning'!J214:J1683)</f>
        <v>Recently promoted</v>
      </c>
    </row>
    <row r="215" spans="1:7" x14ac:dyDescent="0.25">
      <c r="A215" s="3">
        <v>994</v>
      </c>
      <c r="B215" s="3" t="str">
        <f>_xlfn.XLOOKUP(A215,'Data Cleaning'!A215:A1684, 'Data Cleaning'!I215:I1684)</f>
        <v>25-34</v>
      </c>
      <c r="C215">
        <f>_xlfn.XLOOKUP(A215,'Data Cleaning'!A215:A1684,'Data Cleaning'!K215:K1684)</f>
        <v>1</v>
      </c>
      <c r="D215" t="str">
        <f>_xlfn.XLOOKUP(A215,'Data Cleaning'!A215:A1684, 'Data Cleaning'!D215:D1684)</f>
        <v>Bachelor</v>
      </c>
      <c r="E215" s="3" t="str">
        <f>_xlfn.XLOOKUP(A215,'Data Cleaning'!A215:A1684, 'Data Cleaning'!E215:E1684)</f>
        <v>Single</v>
      </c>
      <c r="F215" t="str">
        <f>_xlfn.XLOOKUP(A215,'Data Cleaning'!A215:A1684, 'Data Cleaning'!F215:F1684)</f>
        <v>None</v>
      </c>
      <c r="G215" s="3" t="str">
        <f>_xlfn.XLOOKUP(A215,'Data Cleaning'!A215:A1684, 'Data Cleaning'!J215:J1684)</f>
        <v>Recently promoted</v>
      </c>
    </row>
    <row r="216" spans="1:7" x14ac:dyDescent="0.25">
      <c r="A216" s="3">
        <v>1569</v>
      </c>
      <c r="B216" s="3" t="str">
        <f>_xlfn.XLOOKUP(A216,'Data Cleaning'!A216:A1685, 'Data Cleaning'!I216:I1685)</f>
        <v>35-44</v>
      </c>
      <c r="C216">
        <f>_xlfn.XLOOKUP(A216,'Data Cleaning'!A216:A1685,'Data Cleaning'!K216:K1685)</f>
        <v>1</v>
      </c>
      <c r="D216" t="str">
        <f>_xlfn.XLOOKUP(A216,'Data Cleaning'!A216:A1685, 'Data Cleaning'!D216:D1685)</f>
        <v>Bachelor</v>
      </c>
      <c r="E216" s="3" t="str">
        <f>_xlfn.XLOOKUP(A216,'Data Cleaning'!A216:A1685, 'Data Cleaning'!E216:E1685)</f>
        <v>Divorced</v>
      </c>
      <c r="F216" t="str">
        <f>_xlfn.XLOOKUP(A216,'Data Cleaning'!A216:A1685, 'Data Cleaning'!F216:F1685)</f>
        <v>Low</v>
      </c>
      <c r="G216" s="3" t="str">
        <f>_xlfn.XLOOKUP(A216,'Data Cleaning'!A216:A1685, 'Data Cleaning'!J216:J1685)</f>
        <v>Recently promoted</v>
      </c>
    </row>
    <row r="217" spans="1:7" x14ac:dyDescent="0.25">
      <c r="A217" s="3">
        <v>622</v>
      </c>
      <c r="B217" s="3" t="str">
        <f>_xlfn.XLOOKUP(A217,'Data Cleaning'!A217:A1686, 'Data Cleaning'!I217:I1686)</f>
        <v>25-34</v>
      </c>
      <c r="C217">
        <f>_xlfn.XLOOKUP(A217,'Data Cleaning'!A217:A1686,'Data Cleaning'!K217:K1686)</f>
        <v>1</v>
      </c>
      <c r="D217" t="str">
        <f>_xlfn.XLOOKUP(A217,'Data Cleaning'!A217:A1686, 'Data Cleaning'!D217:D1686)</f>
        <v>Bachelor</v>
      </c>
      <c r="E217" s="3" t="str">
        <f>_xlfn.XLOOKUP(A217,'Data Cleaning'!A217:A1686, 'Data Cleaning'!E217:E1686)</f>
        <v>Single</v>
      </c>
      <c r="F217" t="str">
        <f>_xlfn.XLOOKUP(A217,'Data Cleaning'!A217:A1686, 'Data Cleaning'!F217:F1686)</f>
        <v>None</v>
      </c>
      <c r="G217" s="3" t="str">
        <f>_xlfn.XLOOKUP(A217,'Data Cleaning'!A217:A1686, 'Data Cleaning'!J217:J1686)</f>
        <v>Recently promoted</v>
      </c>
    </row>
    <row r="218" spans="1:7" x14ac:dyDescent="0.25">
      <c r="A218" s="3">
        <v>1111</v>
      </c>
      <c r="B218" s="3" t="str">
        <f>_xlfn.XLOOKUP(A218,'Data Cleaning'!A218:A1687, 'Data Cleaning'!I218:I1687)</f>
        <v>25-34</v>
      </c>
      <c r="C218">
        <f>_xlfn.XLOOKUP(A218,'Data Cleaning'!A218:A1687,'Data Cleaning'!K218:K1687)</f>
        <v>1</v>
      </c>
      <c r="D218" t="str">
        <f>_xlfn.XLOOKUP(A218,'Data Cleaning'!A218:A1687, 'Data Cleaning'!D218:D1687)</f>
        <v>Bachelor</v>
      </c>
      <c r="E218" s="3" t="str">
        <f>_xlfn.XLOOKUP(A218,'Data Cleaning'!A218:A1687, 'Data Cleaning'!E218:E1687)</f>
        <v>Divorced</v>
      </c>
      <c r="F218" t="str">
        <f>_xlfn.XLOOKUP(A218,'Data Cleaning'!A218:A1687, 'Data Cleaning'!F218:F1687)</f>
        <v>Mid</v>
      </c>
      <c r="G218" s="3" t="str">
        <f>_xlfn.XLOOKUP(A218,'Data Cleaning'!A218:A1687, 'Data Cleaning'!J218:J1687)</f>
        <v>Recently promoted</v>
      </c>
    </row>
    <row r="219" spans="1:7" x14ac:dyDescent="0.25">
      <c r="A219" s="3">
        <v>342</v>
      </c>
      <c r="B219" s="3" t="str">
        <f>_xlfn.XLOOKUP(A219,'Data Cleaning'!A219:A1688, 'Data Cleaning'!I219:I1688)</f>
        <v>35-44</v>
      </c>
      <c r="C219">
        <f>_xlfn.XLOOKUP(A219,'Data Cleaning'!A219:A1688,'Data Cleaning'!K219:K1688)</f>
        <v>1</v>
      </c>
      <c r="D219" t="str">
        <f>_xlfn.XLOOKUP(A219,'Data Cleaning'!A219:A1688, 'Data Cleaning'!D219:D1688)</f>
        <v>Bachelor</v>
      </c>
      <c r="E219" s="3" t="str">
        <f>_xlfn.XLOOKUP(A219,'Data Cleaning'!A219:A1688, 'Data Cleaning'!E219:E1688)</f>
        <v>Divorced</v>
      </c>
      <c r="F219" t="str">
        <f>_xlfn.XLOOKUP(A219,'Data Cleaning'!A219:A1688, 'Data Cleaning'!F219:F1688)</f>
        <v>Mid</v>
      </c>
      <c r="G219" s="3" t="str">
        <f>_xlfn.XLOOKUP(A219,'Data Cleaning'!A219:A1688, 'Data Cleaning'!J219:J1688)</f>
        <v>Recently promoted</v>
      </c>
    </row>
    <row r="220" spans="1:7" x14ac:dyDescent="0.25">
      <c r="A220" s="3">
        <v>261</v>
      </c>
      <c r="B220" s="3" t="str">
        <f>_xlfn.XLOOKUP(A220,'Data Cleaning'!A220:A1689, 'Data Cleaning'!I220:I1689)</f>
        <v>35-44</v>
      </c>
      <c r="C220">
        <f>_xlfn.XLOOKUP(A220,'Data Cleaning'!A220:A1689,'Data Cleaning'!K220:K1689)</f>
        <v>1</v>
      </c>
      <c r="D220" t="str">
        <f>_xlfn.XLOOKUP(A220,'Data Cleaning'!A220:A1689, 'Data Cleaning'!D220:D1689)</f>
        <v>College</v>
      </c>
      <c r="E220" s="3" t="str">
        <f>_xlfn.XLOOKUP(A220,'Data Cleaning'!A220:A1689, 'Data Cleaning'!E220:E1689)</f>
        <v>Married</v>
      </c>
      <c r="F220" t="str">
        <f>_xlfn.XLOOKUP(A220,'Data Cleaning'!A220:A1689, 'Data Cleaning'!F220:F1689)</f>
        <v>None</v>
      </c>
      <c r="G220" s="3" t="str">
        <f>_xlfn.XLOOKUP(A220,'Data Cleaning'!A220:A1689, 'Data Cleaning'!J220:J1689)</f>
        <v>Recently promoted</v>
      </c>
    </row>
    <row r="221" spans="1:7" x14ac:dyDescent="0.25">
      <c r="A221" s="3">
        <v>1868</v>
      </c>
      <c r="B221" s="3" t="str">
        <f>_xlfn.XLOOKUP(A221,'Data Cleaning'!A221:A1690, 'Data Cleaning'!I221:I1690)</f>
        <v>25-34</v>
      </c>
      <c r="C221">
        <f>_xlfn.XLOOKUP(A221,'Data Cleaning'!A221:A1690,'Data Cleaning'!K221:K1690)</f>
        <v>1</v>
      </c>
      <c r="D221" t="str">
        <f>_xlfn.XLOOKUP(A221,'Data Cleaning'!A221:A1690, 'Data Cleaning'!D221:D1690)</f>
        <v>College</v>
      </c>
      <c r="E221" s="3" t="str">
        <f>_xlfn.XLOOKUP(A221,'Data Cleaning'!A221:A1690, 'Data Cleaning'!E221:E1690)</f>
        <v>Single</v>
      </c>
      <c r="F221" t="str">
        <f>_xlfn.XLOOKUP(A221,'Data Cleaning'!A221:A1690, 'Data Cleaning'!F221:F1690)</f>
        <v>None</v>
      </c>
      <c r="G221" s="3" t="str">
        <f>_xlfn.XLOOKUP(A221,'Data Cleaning'!A221:A1690, 'Data Cleaning'!J221:J1690)</f>
        <v>Promoted in 1-3 years</v>
      </c>
    </row>
    <row r="222" spans="1:7" x14ac:dyDescent="0.25">
      <c r="A222" s="3">
        <v>1433</v>
      </c>
      <c r="B222" s="3" t="str">
        <f>_xlfn.XLOOKUP(A222,'Data Cleaning'!A222:A1691, 'Data Cleaning'!I222:I1691)</f>
        <v>25-34</v>
      </c>
      <c r="C222">
        <f>_xlfn.XLOOKUP(A222,'Data Cleaning'!A222:A1691,'Data Cleaning'!K222:K1691)</f>
        <v>1</v>
      </c>
      <c r="D222" t="str">
        <f>_xlfn.XLOOKUP(A222,'Data Cleaning'!A222:A1691, 'Data Cleaning'!D222:D1691)</f>
        <v>Bachelor</v>
      </c>
      <c r="E222" s="3" t="str">
        <f>_xlfn.XLOOKUP(A222,'Data Cleaning'!A222:A1691, 'Data Cleaning'!E222:E1691)</f>
        <v>Single</v>
      </c>
      <c r="F222" t="str">
        <f>_xlfn.XLOOKUP(A222,'Data Cleaning'!A222:A1691, 'Data Cleaning'!F222:F1691)</f>
        <v>None</v>
      </c>
      <c r="G222" s="3" t="str">
        <f>_xlfn.XLOOKUP(A222,'Data Cleaning'!A222:A1691, 'Data Cleaning'!J222:J1691)</f>
        <v>Recently promoted</v>
      </c>
    </row>
    <row r="223" spans="1:7" x14ac:dyDescent="0.25">
      <c r="A223" s="3">
        <v>1878</v>
      </c>
      <c r="B223" s="3" t="str">
        <f>_xlfn.XLOOKUP(A223,'Data Cleaning'!A223:A1692, 'Data Cleaning'!I223:I1692)</f>
        <v>18-24</v>
      </c>
      <c r="C223">
        <f>_xlfn.XLOOKUP(A223,'Data Cleaning'!A223:A1692,'Data Cleaning'!K223:K1692)</f>
        <v>1</v>
      </c>
      <c r="D223" t="str">
        <f>_xlfn.XLOOKUP(A223,'Data Cleaning'!A223:A1692, 'Data Cleaning'!D223:D1692)</f>
        <v>Below College</v>
      </c>
      <c r="E223" s="3" t="str">
        <f>_xlfn.XLOOKUP(A223,'Data Cleaning'!A223:A1692, 'Data Cleaning'!E223:E1692)</f>
        <v>Single</v>
      </c>
      <c r="F223" t="str">
        <f>_xlfn.XLOOKUP(A223,'Data Cleaning'!A223:A1692, 'Data Cleaning'!F223:F1692)</f>
        <v>None</v>
      </c>
      <c r="G223" s="3" t="str">
        <f>_xlfn.XLOOKUP(A223,'Data Cleaning'!A223:A1692, 'Data Cleaning'!J223:J1692)</f>
        <v>Recently promoted</v>
      </c>
    </row>
    <row r="224" spans="1:7" x14ac:dyDescent="0.25">
      <c r="A224" s="3">
        <v>1692</v>
      </c>
      <c r="B224" s="3" t="str">
        <f>_xlfn.XLOOKUP(A224,'Data Cleaning'!A224:A1693, 'Data Cleaning'!I224:I1693)</f>
        <v>25-34</v>
      </c>
      <c r="C224">
        <f>_xlfn.XLOOKUP(A224,'Data Cleaning'!A224:A1693,'Data Cleaning'!K224:K1693)</f>
        <v>1</v>
      </c>
      <c r="D224" t="str">
        <f>_xlfn.XLOOKUP(A224,'Data Cleaning'!A224:A1693, 'Data Cleaning'!D224:D1693)</f>
        <v>Master</v>
      </c>
      <c r="E224" s="3" t="str">
        <f>_xlfn.XLOOKUP(A224,'Data Cleaning'!A224:A1693, 'Data Cleaning'!E224:E1693)</f>
        <v>Single</v>
      </c>
      <c r="F224" t="str">
        <f>_xlfn.XLOOKUP(A224,'Data Cleaning'!A224:A1693, 'Data Cleaning'!F224:F1693)</f>
        <v>None</v>
      </c>
      <c r="G224" s="3" t="str">
        <f>_xlfn.XLOOKUP(A224,'Data Cleaning'!A224:A1693, 'Data Cleaning'!J224:J1693)</f>
        <v>Recently promoted</v>
      </c>
    </row>
    <row r="225" spans="1:7" x14ac:dyDescent="0.25">
      <c r="A225" s="3">
        <v>514</v>
      </c>
      <c r="B225" s="3" t="str">
        <f>_xlfn.XLOOKUP(A225,'Data Cleaning'!A225:A1694, 'Data Cleaning'!I225:I1694)</f>
        <v>25-34</v>
      </c>
      <c r="C225">
        <f>_xlfn.XLOOKUP(A225,'Data Cleaning'!A225:A1694,'Data Cleaning'!K225:K1694)</f>
        <v>1</v>
      </c>
      <c r="D225" t="str">
        <f>_xlfn.XLOOKUP(A225,'Data Cleaning'!A225:A1694, 'Data Cleaning'!D225:D1694)</f>
        <v>Bachelor</v>
      </c>
      <c r="E225" s="3" t="str">
        <f>_xlfn.XLOOKUP(A225,'Data Cleaning'!A225:A1694, 'Data Cleaning'!E225:E1694)</f>
        <v>Single</v>
      </c>
      <c r="F225" t="str">
        <f>_xlfn.XLOOKUP(A225,'Data Cleaning'!A225:A1694, 'Data Cleaning'!F225:F1694)</f>
        <v>None</v>
      </c>
      <c r="G225" s="3" t="str">
        <f>_xlfn.XLOOKUP(A225,'Data Cleaning'!A225:A1694, 'Data Cleaning'!J225:J1694)</f>
        <v>Recently promoted</v>
      </c>
    </row>
    <row r="226" spans="1:7" x14ac:dyDescent="0.25">
      <c r="A226" s="3">
        <v>55</v>
      </c>
      <c r="B226" s="3" t="str">
        <f>_xlfn.XLOOKUP(A226,'Data Cleaning'!A226:A1695, 'Data Cleaning'!I226:I1695)</f>
        <v>25-34</v>
      </c>
      <c r="C226">
        <f>_xlfn.XLOOKUP(A226,'Data Cleaning'!A226:A1695,'Data Cleaning'!K226:K1695)</f>
        <v>1</v>
      </c>
      <c r="D226" t="str">
        <f>_xlfn.XLOOKUP(A226,'Data Cleaning'!A226:A1695, 'Data Cleaning'!D226:D1695)</f>
        <v>Bachelor</v>
      </c>
      <c r="E226" s="3" t="str">
        <f>_xlfn.XLOOKUP(A226,'Data Cleaning'!A226:A1695, 'Data Cleaning'!E226:E1695)</f>
        <v>Single</v>
      </c>
      <c r="F226" t="str">
        <f>_xlfn.XLOOKUP(A226,'Data Cleaning'!A226:A1695, 'Data Cleaning'!F226:F1695)</f>
        <v>None</v>
      </c>
      <c r="G226" s="3" t="str">
        <f>_xlfn.XLOOKUP(A226,'Data Cleaning'!A226:A1695, 'Data Cleaning'!J226:J1695)</f>
        <v>Recently promoted</v>
      </c>
    </row>
    <row r="227" spans="1:7" x14ac:dyDescent="0.25">
      <c r="A227" s="3">
        <v>485</v>
      </c>
      <c r="B227" s="3" t="str">
        <f>_xlfn.XLOOKUP(A227,'Data Cleaning'!A227:A1696, 'Data Cleaning'!I227:I1696)</f>
        <v>25-34</v>
      </c>
      <c r="C227">
        <f>_xlfn.XLOOKUP(A227,'Data Cleaning'!A227:A1696,'Data Cleaning'!K227:K1696)</f>
        <v>1</v>
      </c>
      <c r="D227" t="str">
        <f>_xlfn.XLOOKUP(A227,'Data Cleaning'!A227:A1696, 'Data Cleaning'!D227:D1696)</f>
        <v>Bachelor</v>
      </c>
      <c r="E227" s="3" t="str">
        <f>_xlfn.XLOOKUP(A227,'Data Cleaning'!A227:A1696, 'Data Cleaning'!E227:E1696)</f>
        <v>Single</v>
      </c>
      <c r="F227" t="str">
        <f>_xlfn.XLOOKUP(A227,'Data Cleaning'!A227:A1696, 'Data Cleaning'!F227:F1696)</f>
        <v>None</v>
      </c>
      <c r="G227" s="3" t="str">
        <f>_xlfn.XLOOKUP(A227,'Data Cleaning'!A227:A1696, 'Data Cleaning'!J227:J1696)</f>
        <v>Recently promoted</v>
      </c>
    </row>
    <row r="228" spans="1:7" x14ac:dyDescent="0.25">
      <c r="A228" s="3">
        <v>911</v>
      </c>
      <c r="B228" s="3" t="str">
        <f>_xlfn.XLOOKUP(A228,'Data Cleaning'!A228:A1697, 'Data Cleaning'!I228:I1697)</f>
        <v>25-34</v>
      </c>
      <c r="C228">
        <f>_xlfn.XLOOKUP(A228,'Data Cleaning'!A228:A1697,'Data Cleaning'!K228:K1697)</f>
        <v>1</v>
      </c>
      <c r="D228" t="str">
        <f>_xlfn.XLOOKUP(A228,'Data Cleaning'!A228:A1697, 'Data Cleaning'!D228:D1697)</f>
        <v>Master</v>
      </c>
      <c r="E228" s="3" t="str">
        <f>_xlfn.XLOOKUP(A228,'Data Cleaning'!A228:A1697, 'Data Cleaning'!E228:E1697)</f>
        <v>Single</v>
      </c>
      <c r="F228" t="str">
        <f>_xlfn.XLOOKUP(A228,'Data Cleaning'!A228:A1697, 'Data Cleaning'!F228:F1697)</f>
        <v>None</v>
      </c>
      <c r="G228" s="3" t="str">
        <f>_xlfn.XLOOKUP(A228,'Data Cleaning'!A228:A1697, 'Data Cleaning'!J228:J1697)</f>
        <v>Recently promoted</v>
      </c>
    </row>
    <row r="229" spans="1:7" x14ac:dyDescent="0.25">
      <c r="A229" s="3">
        <v>1016</v>
      </c>
      <c r="B229" s="3" t="str">
        <f>_xlfn.XLOOKUP(A229,'Data Cleaning'!A229:A1698, 'Data Cleaning'!I229:I1698)</f>
        <v>18-24</v>
      </c>
      <c r="C229">
        <f>_xlfn.XLOOKUP(A229,'Data Cleaning'!A229:A1698,'Data Cleaning'!K229:K1698)</f>
        <v>1</v>
      </c>
      <c r="D229" t="str">
        <f>_xlfn.XLOOKUP(A229,'Data Cleaning'!A229:A1698, 'Data Cleaning'!D229:D1698)</f>
        <v>Bachelor</v>
      </c>
      <c r="E229" s="3" t="str">
        <f>_xlfn.XLOOKUP(A229,'Data Cleaning'!A229:A1698, 'Data Cleaning'!E229:E1698)</f>
        <v>Single</v>
      </c>
      <c r="F229" t="str">
        <f>_xlfn.XLOOKUP(A229,'Data Cleaning'!A229:A1698, 'Data Cleaning'!F229:F1698)</f>
        <v>None</v>
      </c>
      <c r="G229" s="3" t="str">
        <f>_xlfn.XLOOKUP(A229,'Data Cleaning'!A229:A1698, 'Data Cleaning'!J229:J1698)</f>
        <v>Recently promoted</v>
      </c>
    </row>
    <row r="230" spans="1:7" x14ac:dyDescent="0.25">
      <c r="A230" s="3">
        <v>566</v>
      </c>
      <c r="B230" s="3" t="str">
        <f>_xlfn.XLOOKUP(A230,'Data Cleaning'!A230:A1699, 'Data Cleaning'!I230:I1699)</f>
        <v>18-24</v>
      </c>
      <c r="C230">
        <f>_xlfn.XLOOKUP(A230,'Data Cleaning'!A230:A1699,'Data Cleaning'!K230:K1699)</f>
        <v>1</v>
      </c>
      <c r="D230" t="str">
        <f>_xlfn.XLOOKUP(A230,'Data Cleaning'!A230:A1699, 'Data Cleaning'!D230:D1699)</f>
        <v>College</v>
      </c>
      <c r="E230" s="3" t="str">
        <f>_xlfn.XLOOKUP(A230,'Data Cleaning'!A230:A1699, 'Data Cleaning'!E230:E1699)</f>
        <v>Single</v>
      </c>
      <c r="F230" t="str">
        <f>_xlfn.XLOOKUP(A230,'Data Cleaning'!A230:A1699, 'Data Cleaning'!F230:F1699)</f>
        <v>None</v>
      </c>
      <c r="G230" s="3" t="str">
        <f>_xlfn.XLOOKUP(A230,'Data Cleaning'!A230:A1699, 'Data Cleaning'!J230:J1699)</f>
        <v>Recently promoted</v>
      </c>
    </row>
    <row r="231" spans="1:7" x14ac:dyDescent="0.25">
      <c r="A231" s="3">
        <v>1033</v>
      </c>
      <c r="B231" s="3" t="str">
        <f>_xlfn.XLOOKUP(A231,'Data Cleaning'!A231:A1700, 'Data Cleaning'!I231:I1700)</f>
        <v>35-44</v>
      </c>
      <c r="C231">
        <f>_xlfn.XLOOKUP(A231,'Data Cleaning'!A231:A1700,'Data Cleaning'!K231:K1700)</f>
        <v>1</v>
      </c>
      <c r="D231" t="str">
        <f>_xlfn.XLOOKUP(A231,'Data Cleaning'!A231:A1700, 'Data Cleaning'!D231:D1700)</f>
        <v>College</v>
      </c>
      <c r="E231" s="3" t="str">
        <f>_xlfn.XLOOKUP(A231,'Data Cleaning'!A231:A1700, 'Data Cleaning'!E231:E1700)</f>
        <v>Married</v>
      </c>
      <c r="F231" t="str">
        <f>_xlfn.XLOOKUP(A231,'Data Cleaning'!A231:A1700, 'Data Cleaning'!F231:F1700)</f>
        <v>None</v>
      </c>
      <c r="G231" s="3" t="str">
        <f>_xlfn.XLOOKUP(A231,'Data Cleaning'!A231:A1700, 'Data Cleaning'!J231:J1700)</f>
        <v>Recently promoted</v>
      </c>
    </row>
    <row r="232" spans="1:7" x14ac:dyDescent="0.25">
      <c r="A232" s="3">
        <v>1248</v>
      </c>
      <c r="B232" s="3" t="str">
        <f>_xlfn.XLOOKUP(A232,'Data Cleaning'!A232:A1701, 'Data Cleaning'!I232:I1701)</f>
        <v>18-24</v>
      </c>
      <c r="C232">
        <f>_xlfn.XLOOKUP(A232,'Data Cleaning'!A232:A1701,'Data Cleaning'!K232:K1701)</f>
        <v>1</v>
      </c>
      <c r="D232" t="str">
        <f>_xlfn.XLOOKUP(A232,'Data Cleaning'!A232:A1701, 'Data Cleaning'!D232:D1701)</f>
        <v>Bachelor</v>
      </c>
      <c r="E232" s="3" t="str">
        <f>_xlfn.XLOOKUP(A232,'Data Cleaning'!A232:A1701, 'Data Cleaning'!E232:E1701)</f>
        <v>Single</v>
      </c>
      <c r="F232" t="str">
        <f>_xlfn.XLOOKUP(A232,'Data Cleaning'!A232:A1701, 'Data Cleaning'!F232:F1701)</f>
        <v>None</v>
      </c>
      <c r="G232" s="3" t="str">
        <f>_xlfn.XLOOKUP(A232,'Data Cleaning'!A232:A1701, 'Data Cleaning'!J232:J1701)</f>
        <v>Recently promoted</v>
      </c>
    </row>
    <row r="233" spans="1:7" x14ac:dyDescent="0.25">
      <c r="A233" s="3">
        <v>392</v>
      </c>
      <c r="B233" s="3" t="str">
        <f>_xlfn.XLOOKUP(A233,'Data Cleaning'!A233:A1702, 'Data Cleaning'!I233:I1702)</f>
        <v>35-44</v>
      </c>
      <c r="C233">
        <f>_xlfn.XLOOKUP(A233,'Data Cleaning'!A233:A1702,'Data Cleaning'!K233:K1702)</f>
        <v>1</v>
      </c>
      <c r="D233" t="str">
        <f>_xlfn.XLOOKUP(A233,'Data Cleaning'!A233:A1702, 'Data Cleaning'!D233:D1702)</f>
        <v>Bachelor</v>
      </c>
      <c r="E233" s="3" t="str">
        <f>_xlfn.XLOOKUP(A233,'Data Cleaning'!A233:A1702, 'Data Cleaning'!E233:E1702)</f>
        <v>Divorced</v>
      </c>
      <c r="F233" t="str">
        <f>_xlfn.XLOOKUP(A233,'Data Cleaning'!A233:A1702, 'Data Cleaning'!F233:F1702)</f>
        <v>Low</v>
      </c>
      <c r="G233" s="3" t="str">
        <f>_xlfn.XLOOKUP(A233,'Data Cleaning'!A233:A1702, 'Data Cleaning'!J233:J1702)</f>
        <v>Recently promoted</v>
      </c>
    </row>
    <row r="234" spans="1:7" x14ac:dyDescent="0.25">
      <c r="A234" s="3">
        <v>1842</v>
      </c>
      <c r="B234" s="3" t="str">
        <f>_xlfn.XLOOKUP(A234,'Data Cleaning'!A234:A1703, 'Data Cleaning'!I234:I1703)</f>
        <v>25-34</v>
      </c>
      <c r="C234">
        <f>_xlfn.XLOOKUP(A234,'Data Cleaning'!A234:A1703,'Data Cleaning'!K234:K1703)</f>
        <v>1</v>
      </c>
      <c r="D234" t="str">
        <f>_xlfn.XLOOKUP(A234,'Data Cleaning'!A234:A1703, 'Data Cleaning'!D234:D1703)</f>
        <v>Doctor</v>
      </c>
      <c r="E234" s="3" t="str">
        <f>_xlfn.XLOOKUP(A234,'Data Cleaning'!A234:A1703, 'Data Cleaning'!E234:E1703)</f>
        <v>Married</v>
      </c>
      <c r="F234" t="str">
        <f>_xlfn.XLOOKUP(A234,'Data Cleaning'!A234:A1703, 'Data Cleaning'!F234:F1703)</f>
        <v>None</v>
      </c>
      <c r="G234" s="3" t="str">
        <f>_xlfn.XLOOKUP(A234,'Data Cleaning'!A234:A1703, 'Data Cleaning'!J234:J1703)</f>
        <v>Recently promoted</v>
      </c>
    </row>
    <row r="235" spans="1:7" x14ac:dyDescent="0.25">
      <c r="A235" s="3">
        <v>1767</v>
      </c>
      <c r="B235" s="3" t="str">
        <f>_xlfn.XLOOKUP(A235,'Data Cleaning'!A235:A1704, 'Data Cleaning'!I235:I1704)</f>
        <v>35-44</v>
      </c>
      <c r="C235">
        <f>_xlfn.XLOOKUP(A235,'Data Cleaning'!A235:A1704,'Data Cleaning'!K235:K1704)</f>
        <v>1</v>
      </c>
      <c r="D235" t="str">
        <f>_xlfn.XLOOKUP(A235,'Data Cleaning'!A235:A1704, 'Data Cleaning'!D235:D1704)</f>
        <v>Bachelor</v>
      </c>
      <c r="E235" s="3" t="str">
        <f>_xlfn.XLOOKUP(A235,'Data Cleaning'!A235:A1704, 'Data Cleaning'!E235:E1704)</f>
        <v>Married</v>
      </c>
      <c r="F235" t="str">
        <f>_xlfn.XLOOKUP(A235,'Data Cleaning'!A235:A1704, 'Data Cleaning'!F235:F1704)</f>
        <v>Low</v>
      </c>
      <c r="G235" s="3" t="str">
        <f>_xlfn.XLOOKUP(A235,'Data Cleaning'!A235:A1704, 'Data Cleaning'!J235:J1704)</f>
        <v>Recently promoted</v>
      </c>
    </row>
    <row r="236" spans="1:7" x14ac:dyDescent="0.25">
      <c r="A236" s="3">
        <v>1714</v>
      </c>
      <c r="B236" s="3" t="str">
        <f>_xlfn.XLOOKUP(A236,'Data Cleaning'!A236:A1705, 'Data Cleaning'!I236:I1705)</f>
        <v>18-24</v>
      </c>
      <c r="C236">
        <f>_xlfn.XLOOKUP(A236,'Data Cleaning'!A236:A1705,'Data Cleaning'!K236:K1705)</f>
        <v>1</v>
      </c>
      <c r="D236" t="str">
        <f>_xlfn.XLOOKUP(A236,'Data Cleaning'!A236:A1705, 'Data Cleaning'!D236:D1705)</f>
        <v>Below College</v>
      </c>
      <c r="E236" s="3" t="str">
        <f>_xlfn.XLOOKUP(A236,'Data Cleaning'!A236:A1705, 'Data Cleaning'!E236:E1705)</f>
        <v>Married</v>
      </c>
      <c r="F236" t="str">
        <f>_xlfn.XLOOKUP(A236,'Data Cleaning'!A236:A1705, 'Data Cleaning'!F236:F1705)</f>
        <v>Low</v>
      </c>
      <c r="G236" s="3" t="str">
        <f>_xlfn.XLOOKUP(A236,'Data Cleaning'!A236:A1705, 'Data Cleaning'!J236:J1705)</f>
        <v>Recently promoted</v>
      </c>
    </row>
    <row r="237" spans="1:7" x14ac:dyDescent="0.25">
      <c r="A237" s="3">
        <v>816</v>
      </c>
      <c r="B237" s="3" t="str">
        <f>_xlfn.XLOOKUP(A237,'Data Cleaning'!A237:A1706, 'Data Cleaning'!I237:I1706)</f>
        <v>25-34</v>
      </c>
      <c r="C237">
        <f>_xlfn.XLOOKUP(A237,'Data Cleaning'!A237:A1706,'Data Cleaning'!K237:K1706)</f>
        <v>1</v>
      </c>
      <c r="D237" t="str">
        <f>_xlfn.XLOOKUP(A237,'Data Cleaning'!A237:A1706, 'Data Cleaning'!D237:D1706)</f>
        <v>College</v>
      </c>
      <c r="E237" s="3" t="str">
        <f>_xlfn.XLOOKUP(A237,'Data Cleaning'!A237:A1706, 'Data Cleaning'!E237:E1706)</f>
        <v>Married</v>
      </c>
      <c r="F237" t="str">
        <f>_xlfn.XLOOKUP(A237,'Data Cleaning'!A237:A1706, 'Data Cleaning'!F237:F1706)</f>
        <v>Low</v>
      </c>
      <c r="G237" s="3" t="str">
        <f>_xlfn.XLOOKUP(A237,'Data Cleaning'!A237:A1706, 'Data Cleaning'!J237:J1706)</f>
        <v>Recently promoted</v>
      </c>
    </row>
    <row r="238" spans="1:7" x14ac:dyDescent="0.25">
      <c r="A238" s="3">
        <v>355</v>
      </c>
      <c r="B238" s="3" t="str">
        <f>_xlfn.XLOOKUP(A238,'Data Cleaning'!A238:A1707, 'Data Cleaning'!I238:I1707)</f>
        <v>25-34</v>
      </c>
      <c r="C238">
        <f>_xlfn.XLOOKUP(A238,'Data Cleaning'!A238:A1707,'Data Cleaning'!K238:K1707)</f>
        <v>1</v>
      </c>
      <c r="D238" t="str">
        <f>_xlfn.XLOOKUP(A238,'Data Cleaning'!A238:A1707, 'Data Cleaning'!D238:D1707)</f>
        <v>College</v>
      </c>
      <c r="E238" s="3" t="str">
        <f>_xlfn.XLOOKUP(A238,'Data Cleaning'!A238:A1707, 'Data Cleaning'!E238:E1707)</f>
        <v>Single</v>
      </c>
      <c r="F238" t="str">
        <f>_xlfn.XLOOKUP(A238,'Data Cleaning'!A238:A1707, 'Data Cleaning'!F238:F1707)</f>
        <v>None</v>
      </c>
      <c r="G238" s="3" t="str">
        <f>_xlfn.XLOOKUP(A238,'Data Cleaning'!A238:A1707, 'Data Cleaning'!J238:J1707)</f>
        <v>Promoted in 1-3 years</v>
      </c>
    </row>
    <row r="239" spans="1:7" x14ac:dyDescent="0.25">
      <c r="A239" s="3">
        <v>2019</v>
      </c>
      <c r="B239" s="3" t="str">
        <f>_xlfn.XLOOKUP(A239,'Data Cleaning'!A239:A1708, 'Data Cleaning'!I239:I1708)</f>
        <v>45-54</v>
      </c>
      <c r="C239">
        <f>_xlfn.XLOOKUP(A239,'Data Cleaning'!A239:A1708,'Data Cleaning'!K239:K1708)</f>
        <v>0</v>
      </c>
      <c r="D239" t="str">
        <f>_xlfn.XLOOKUP(A239,'Data Cleaning'!A239:A1708, 'Data Cleaning'!D239:D1708)</f>
        <v>Master</v>
      </c>
      <c r="E239" s="3" t="str">
        <f>_xlfn.XLOOKUP(A239,'Data Cleaning'!A239:A1708, 'Data Cleaning'!E239:E1708)</f>
        <v>Divorced</v>
      </c>
      <c r="F239" t="str">
        <f>_xlfn.XLOOKUP(A239,'Data Cleaning'!A239:A1708, 'Data Cleaning'!F239:F1708)</f>
        <v>Mid</v>
      </c>
      <c r="G239" s="3" t="str">
        <f>_xlfn.XLOOKUP(A239,'Data Cleaning'!A239:A1708, 'Data Cleaning'!J239:J1708)</f>
        <v>Recently promoted</v>
      </c>
    </row>
    <row r="240" spans="1:7" x14ac:dyDescent="0.25">
      <c r="A240" s="3">
        <v>1374</v>
      </c>
      <c r="B240" s="3" t="str">
        <f>_xlfn.XLOOKUP(A240,'Data Cleaning'!A240:A1709, 'Data Cleaning'!I240:I1709)</f>
        <v>25-34</v>
      </c>
      <c r="C240">
        <f>_xlfn.XLOOKUP(A240,'Data Cleaning'!A240:A1709,'Data Cleaning'!K240:K1709)</f>
        <v>0</v>
      </c>
      <c r="D240" t="str">
        <f>_xlfn.XLOOKUP(A240,'Data Cleaning'!A240:A1709, 'Data Cleaning'!D240:D1709)</f>
        <v>Below College</v>
      </c>
      <c r="E240" s="3" t="str">
        <f>_xlfn.XLOOKUP(A240,'Data Cleaning'!A240:A1709, 'Data Cleaning'!E240:E1709)</f>
        <v>Divorced</v>
      </c>
      <c r="F240" t="str">
        <f>_xlfn.XLOOKUP(A240,'Data Cleaning'!A240:A1709, 'Data Cleaning'!F240:F1709)</f>
        <v>High</v>
      </c>
      <c r="G240" s="3" t="str">
        <f>_xlfn.XLOOKUP(A240,'Data Cleaning'!A240:A1709, 'Data Cleaning'!J240:J1709)</f>
        <v>Recently promoted</v>
      </c>
    </row>
    <row r="241" spans="1:7" x14ac:dyDescent="0.25">
      <c r="A241" s="3">
        <v>900</v>
      </c>
      <c r="B241" s="3" t="str">
        <f>_xlfn.XLOOKUP(A241,'Data Cleaning'!A241:A1710, 'Data Cleaning'!I241:I1710)</f>
        <v>35-44</v>
      </c>
      <c r="C241">
        <f>_xlfn.XLOOKUP(A241,'Data Cleaning'!A241:A1710,'Data Cleaning'!K241:K1710)</f>
        <v>0</v>
      </c>
      <c r="D241" t="str">
        <f>_xlfn.XLOOKUP(A241,'Data Cleaning'!A241:A1710, 'Data Cleaning'!D241:D1710)</f>
        <v>College</v>
      </c>
      <c r="E241" s="3" t="str">
        <f>_xlfn.XLOOKUP(A241,'Data Cleaning'!A241:A1710, 'Data Cleaning'!E241:E1710)</f>
        <v>Married</v>
      </c>
      <c r="F241" t="str">
        <f>_xlfn.XLOOKUP(A241,'Data Cleaning'!A241:A1710, 'Data Cleaning'!F241:F1710)</f>
        <v>Low</v>
      </c>
      <c r="G241" s="3" t="str">
        <f>_xlfn.XLOOKUP(A241,'Data Cleaning'!A241:A1710, 'Data Cleaning'!J241:J1710)</f>
        <v>Recently promoted</v>
      </c>
    </row>
    <row r="242" spans="1:7" x14ac:dyDescent="0.25">
      <c r="A242" s="3">
        <v>1340</v>
      </c>
      <c r="B242" s="3" t="str">
        <f>_xlfn.XLOOKUP(A242,'Data Cleaning'!A242:A1711, 'Data Cleaning'!I242:I1711)</f>
        <v>35-44</v>
      </c>
      <c r="C242">
        <f>_xlfn.XLOOKUP(A242,'Data Cleaning'!A242:A1711,'Data Cleaning'!K242:K1711)</f>
        <v>0</v>
      </c>
      <c r="D242" t="str">
        <f>_xlfn.XLOOKUP(A242,'Data Cleaning'!A242:A1711, 'Data Cleaning'!D242:D1711)</f>
        <v>College</v>
      </c>
      <c r="E242" s="3" t="str">
        <f>_xlfn.XLOOKUP(A242,'Data Cleaning'!A242:A1711, 'Data Cleaning'!E242:E1711)</f>
        <v>Divorced</v>
      </c>
      <c r="F242" t="str">
        <f>_xlfn.XLOOKUP(A242,'Data Cleaning'!A242:A1711, 'Data Cleaning'!F242:F1711)</f>
        <v>Low</v>
      </c>
      <c r="G242" s="3" t="str">
        <f>_xlfn.XLOOKUP(A242,'Data Cleaning'!A242:A1711, 'Data Cleaning'!J242:J1711)</f>
        <v>Recently promoted</v>
      </c>
    </row>
    <row r="243" spans="1:7" x14ac:dyDescent="0.25">
      <c r="A243" s="3">
        <v>2060</v>
      </c>
      <c r="B243" s="3" t="str">
        <f>_xlfn.XLOOKUP(A243,'Data Cleaning'!A243:A1712, 'Data Cleaning'!I243:I1712)</f>
        <v>25-34</v>
      </c>
      <c r="C243">
        <f>_xlfn.XLOOKUP(A243,'Data Cleaning'!A243:A1712,'Data Cleaning'!K243:K1712)</f>
        <v>0</v>
      </c>
      <c r="D243" t="str">
        <f>_xlfn.XLOOKUP(A243,'Data Cleaning'!A243:A1712, 'Data Cleaning'!D243:D1712)</f>
        <v>Bachelor</v>
      </c>
      <c r="E243" s="3" t="str">
        <f>_xlfn.XLOOKUP(A243,'Data Cleaning'!A243:A1712, 'Data Cleaning'!E243:E1712)</f>
        <v>Single</v>
      </c>
      <c r="F243" t="str">
        <f>_xlfn.XLOOKUP(A243,'Data Cleaning'!A243:A1712, 'Data Cleaning'!F243:F1712)</f>
        <v>None</v>
      </c>
      <c r="G243" s="3" t="str">
        <f>_xlfn.XLOOKUP(A243,'Data Cleaning'!A243:A1712, 'Data Cleaning'!J243:J1712)</f>
        <v>Recently promoted</v>
      </c>
    </row>
    <row r="244" spans="1:7" x14ac:dyDescent="0.25">
      <c r="A244" s="3">
        <v>1839</v>
      </c>
      <c r="B244" s="3" t="str">
        <f>_xlfn.XLOOKUP(A244,'Data Cleaning'!A244:A1713, 'Data Cleaning'!I244:I1713)</f>
        <v>18-24</v>
      </c>
      <c r="C244">
        <f>_xlfn.XLOOKUP(A244,'Data Cleaning'!A244:A1713,'Data Cleaning'!K244:K1713)</f>
        <v>0</v>
      </c>
      <c r="D244" t="str">
        <f>_xlfn.XLOOKUP(A244,'Data Cleaning'!A244:A1713, 'Data Cleaning'!D244:D1713)</f>
        <v>Bachelor</v>
      </c>
      <c r="E244" s="3" t="str">
        <f>_xlfn.XLOOKUP(A244,'Data Cleaning'!A244:A1713, 'Data Cleaning'!E244:E1713)</f>
        <v>Single</v>
      </c>
      <c r="F244" t="str">
        <f>_xlfn.XLOOKUP(A244,'Data Cleaning'!A244:A1713, 'Data Cleaning'!F244:F1713)</f>
        <v>None</v>
      </c>
      <c r="G244" s="3" t="str">
        <f>_xlfn.XLOOKUP(A244,'Data Cleaning'!A244:A1713, 'Data Cleaning'!J244:J1713)</f>
        <v>Recently promoted</v>
      </c>
    </row>
    <row r="245" spans="1:7" x14ac:dyDescent="0.25">
      <c r="A245" s="3">
        <v>113</v>
      </c>
      <c r="B245" s="3" t="str">
        <f>_xlfn.XLOOKUP(A245,'Data Cleaning'!A245:A1714, 'Data Cleaning'!I245:I1714)</f>
        <v>18-24</v>
      </c>
      <c r="C245">
        <f>_xlfn.XLOOKUP(A245,'Data Cleaning'!A245:A1714,'Data Cleaning'!K245:K1714)</f>
        <v>0</v>
      </c>
      <c r="D245" t="str">
        <f>_xlfn.XLOOKUP(A245,'Data Cleaning'!A245:A1714, 'Data Cleaning'!D245:D1714)</f>
        <v>Below College</v>
      </c>
      <c r="E245" s="3" t="str">
        <f>_xlfn.XLOOKUP(A245,'Data Cleaning'!A245:A1714, 'Data Cleaning'!E245:E1714)</f>
        <v>Divorced</v>
      </c>
      <c r="F245" t="str">
        <f>_xlfn.XLOOKUP(A245,'Data Cleaning'!A245:A1714, 'Data Cleaning'!F245:F1714)</f>
        <v>Low</v>
      </c>
      <c r="G245" s="3" t="str">
        <f>_xlfn.XLOOKUP(A245,'Data Cleaning'!A245:A1714, 'Data Cleaning'!J245:J1714)</f>
        <v>Recently promoted</v>
      </c>
    </row>
    <row r="246" spans="1:7" x14ac:dyDescent="0.25">
      <c r="A246" s="3">
        <v>850</v>
      </c>
      <c r="B246" s="3" t="str">
        <f>_xlfn.XLOOKUP(A246,'Data Cleaning'!A246:A1715, 'Data Cleaning'!I246:I1715)</f>
        <v>25-34</v>
      </c>
      <c r="C246">
        <f>_xlfn.XLOOKUP(A246,'Data Cleaning'!A246:A1715,'Data Cleaning'!K246:K1715)</f>
        <v>0</v>
      </c>
      <c r="D246" t="str">
        <f>_xlfn.XLOOKUP(A246,'Data Cleaning'!A246:A1715, 'Data Cleaning'!D246:D1715)</f>
        <v>Bachelor</v>
      </c>
      <c r="E246" s="3" t="str">
        <f>_xlfn.XLOOKUP(A246,'Data Cleaning'!A246:A1715, 'Data Cleaning'!E246:E1715)</f>
        <v>Married</v>
      </c>
      <c r="F246" t="str">
        <f>_xlfn.XLOOKUP(A246,'Data Cleaning'!A246:A1715, 'Data Cleaning'!F246:F1715)</f>
        <v>High</v>
      </c>
      <c r="G246" s="3" t="str">
        <f>_xlfn.XLOOKUP(A246,'Data Cleaning'!A246:A1715, 'Data Cleaning'!J246:J1715)</f>
        <v>Recently promoted</v>
      </c>
    </row>
    <row r="247" spans="1:7" x14ac:dyDescent="0.25">
      <c r="A247" s="3">
        <v>1860</v>
      </c>
      <c r="B247" s="3" t="str">
        <f>_xlfn.XLOOKUP(A247,'Data Cleaning'!A247:A1716, 'Data Cleaning'!I247:I1716)</f>
        <v>35-44</v>
      </c>
      <c r="C247">
        <f>_xlfn.XLOOKUP(A247,'Data Cleaning'!A247:A1716,'Data Cleaning'!K247:K1716)</f>
        <v>0</v>
      </c>
      <c r="D247" t="str">
        <f>_xlfn.XLOOKUP(A247,'Data Cleaning'!A247:A1716, 'Data Cleaning'!D247:D1716)</f>
        <v>Bachelor</v>
      </c>
      <c r="E247" s="3" t="str">
        <f>_xlfn.XLOOKUP(A247,'Data Cleaning'!A247:A1716, 'Data Cleaning'!E247:E1716)</f>
        <v>Single</v>
      </c>
      <c r="F247" t="str">
        <f>_xlfn.XLOOKUP(A247,'Data Cleaning'!A247:A1716, 'Data Cleaning'!F247:F1716)</f>
        <v>None</v>
      </c>
      <c r="G247" s="3" t="str">
        <f>_xlfn.XLOOKUP(A247,'Data Cleaning'!A247:A1716, 'Data Cleaning'!J247:J1716)</f>
        <v>Recently promoted</v>
      </c>
    </row>
    <row r="248" spans="1:7" x14ac:dyDescent="0.25">
      <c r="A248" s="3">
        <v>1012</v>
      </c>
      <c r="B248" s="3" t="str">
        <f>_xlfn.XLOOKUP(A248,'Data Cleaning'!A248:A1717, 'Data Cleaning'!I248:I1717)</f>
        <v>18-24</v>
      </c>
      <c r="C248">
        <f>_xlfn.XLOOKUP(A248,'Data Cleaning'!A248:A1717,'Data Cleaning'!K248:K1717)</f>
        <v>0</v>
      </c>
      <c r="D248" t="str">
        <f>_xlfn.XLOOKUP(A248,'Data Cleaning'!A248:A1717, 'Data Cleaning'!D248:D1717)</f>
        <v>College</v>
      </c>
      <c r="E248" s="3" t="str">
        <f>_xlfn.XLOOKUP(A248,'Data Cleaning'!A248:A1717, 'Data Cleaning'!E248:E1717)</f>
        <v>Single</v>
      </c>
      <c r="F248" t="str">
        <f>_xlfn.XLOOKUP(A248,'Data Cleaning'!A248:A1717, 'Data Cleaning'!F248:F1717)</f>
        <v>None</v>
      </c>
      <c r="G248" s="3" t="str">
        <f>_xlfn.XLOOKUP(A248,'Data Cleaning'!A248:A1717, 'Data Cleaning'!J248:J1717)</f>
        <v>Recently promoted</v>
      </c>
    </row>
    <row r="249" spans="1:7" x14ac:dyDescent="0.25">
      <c r="A249" s="3">
        <v>834</v>
      </c>
      <c r="B249" s="3" t="str">
        <f>_xlfn.XLOOKUP(A249,'Data Cleaning'!A249:A1718, 'Data Cleaning'!I249:I1718)</f>
        <v>45-54</v>
      </c>
      <c r="C249">
        <f>_xlfn.XLOOKUP(A249,'Data Cleaning'!A249:A1718,'Data Cleaning'!K249:K1718)</f>
        <v>0</v>
      </c>
      <c r="D249" t="str">
        <f>_xlfn.XLOOKUP(A249,'Data Cleaning'!A249:A1718, 'Data Cleaning'!D249:D1718)</f>
        <v>Bachelor</v>
      </c>
      <c r="E249" s="3" t="str">
        <f>_xlfn.XLOOKUP(A249,'Data Cleaning'!A249:A1718, 'Data Cleaning'!E249:E1718)</f>
        <v>Single</v>
      </c>
      <c r="F249" t="str">
        <f>_xlfn.XLOOKUP(A249,'Data Cleaning'!A249:A1718, 'Data Cleaning'!F249:F1718)</f>
        <v>None</v>
      </c>
      <c r="G249" s="3" t="str">
        <f>_xlfn.XLOOKUP(A249,'Data Cleaning'!A249:A1718, 'Data Cleaning'!J249:J1718)</f>
        <v>Recently promoted</v>
      </c>
    </row>
    <row r="250" spans="1:7" x14ac:dyDescent="0.25">
      <c r="A250" s="3">
        <v>1581</v>
      </c>
      <c r="B250" s="3" t="str">
        <f>_xlfn.XLOOKUP(A250,'Data Cleaning'!A250:A1719, 'Data Cleaning'!I250:I1719)</f>
        <v>25-34</v>
      </c>
      <c r="C250">
        <f>_xlfn.XLOOKUP(A250,'Data Cleaning'!A250:A1719,'Data Cleaning'!K250:K1719)</f>
        <v>0</v>
      </c>
      <c r="D250" t="str">
        <f>_xlfn.XLOOKUP(A250,'Data Cleaning'!A250:A1719, 'Data Cleaning'!D250:D1719)</f>
        <v>Bachelor</v>
      </c>
      <c r="E250" s="3" t="str">
        <f>_xlfn.XLOOKUP(A250,'Data Cleaning'!A250:A1719, 'Data Cleaning'!E250:E1719)</f>
        <v>Married</v>
      </c>
      <c r="F250" t="str">
        <f>_xlfn.XLOOKUP(A250,'Data Cleaning'!A250:A1719, 'Data Cleaning'!F250:F1719)</f>
        <v>None</v>
      </c>
      <c r="G250" s="3" t="str">
        <f>_xlfn.XLOOKUP(A250,'Data Cleaning'!A250:A1719, 'Data Cleaning'!J250:J1719)</f>
        <v>Recently promoted</v>
      </c>
    </row>
    <row r="251" spans="1:7" x14ac:dyDescent="0.25">
      <c r="A251" s="3">
        <v>134</v>
      </c>
      <c r="B251" s="3" t="str">
        <f>_xlfn.XLOOKUP(A251,'Data Cleaning'!A251:A1720, 'Data Cleaning'!I251:I1720)</f>
        <v>25-34</v>
      </c>
      <c r="C251">
        <f>_xlfn.XLOOKUP(A251,'Data Cleaning'!A251:A1720,'Data Cleaning'!K251:K1720)</f>
        <v>0</v>
      </c>
      <c r="D251" t="str">
        <f>_xlfn.XLOOKUP(A251,'Data Cleaning'!A251:A1720, 'Data Cleaning'!D251:D1720)</f>
        <v>Below College</v>
      </c>
      <c r="E251" s="3" t="str">
        <f>_xlfn.XLOOKUP(A251,'Data Cleaning'!A251:A1720, 'Data Cleaning'!E251:E1720)</f>
        <v>Single</v>
      </c>
      <c r="F251" t="str">
        <f>_xlfn.XLOOKUP(A251,'Data Cleaning'!A251:A1720, 'Data Cleaning'!F251:F1720)</f>
        <v>None</v>
      </c>
      <c r="G251" s="3" t="str">
        <f>_xlfn.XLOOKUP(A251,'Data Cleaning'!A251:A1720, 'Data Cleaning'!J251:J1720)</f>
        <v>Recently promoted</v>
      </c>
    </row>
    <row r="252" spans="1:7" x14ac:dyDescent="0.25">
      <c r="A252" s="3">
        <v>1542</v>
      </c>
      <c r="B252" s="3" t="str">
        <f>_xlfn.XLOOKUP(A252,'Data Cleaning'!A252:A1721, 'Data Cleaning'!I252:I1721)</f>
        <v>35-44</v>
      </c>
      <c r="C252">
        <f>_xlfn.XLOOKUP(A252,'Data Cleaning'!A252:A1721,'Data Cleaning'!K252:K1721)</f>
        <v>0</v>
      </c>
      <c r="D252" t="str">
        <f>_xlfn.XLOOKUP(A252,'Data Cleaning'!A252:A1721, 'Data Cleaning'!D252:D1721)</f>
        <v>Bachelor</v>
      </c>
      <c r="E252" s="3" t="str">
        <f>_xlfn.XLOOKUP(A252,'Data Cleaning'!A252:A1721, 'Data Cleaning'!E252:E1721)</f>
        <v>Married</v>
      </c>
      <c r="F252" t="str">
        <f>_xlfn.XLOOKUP(A252,'Data Cleaning'!A252:A1721, 'Data Cleaning'!F252:F1721)</f>
        <v>Low</v>
      </c>
      <c r="G252" s="3" t="str">
        <f>_xlfn.XLOOKUP(A252,'Data Cleaning'!A252:A1721, 'Data Cleaning'!J252:J1721)</f>
        <v>Recently promoted</v>
      </c>
    </row>
    <row r="253" spans="1:7" x14ac:dyDescent="0.25">
      <c r="A253" s="3">
        <v>1994</v>
      </c>
      <c r="B253" s="3" t="str">
        <f>_xlfn.XLOOKUP(A253,'Data Cleaning'!A253:A1722, 'Data Cleaning'!I253:I1722)</f>
        <v>25-34</v>
      </c>
      <c r="C253">
        <f>_xlfn.XLOOKUP(A253,'Data Cleaning'!A253:A1722,'Data Cleaning'!K253:K1722)</f>
        <v>0</v>
      </c>
      <c r="D253" t="str">
        <f>_xlfn.XLOOKUP(A253,'Data Cleaning'!A253:A1722, 'Data Cleaning'!D253:D1722)</f>
        <v>College</v>
      </c>
      <c r="E253" s="3" t="str">
        <f>_xlfn.XLOOKUP(A253,'Data Cleaning'!A253:A1722, 'Data Cleaning'!E253:E1722)</f>
        <v>Divorced</v>
      </c>
      <c r="F253" t="str">
        <f>_xlfn.XLOOKUP(A253,'Data Cleaning'!A253:A1722, 'Data Cleaning'!F253:F1722)</f>
        <v>High</v>
      </c>
      <c r="G253" s="3" t="str">
        <f>_xlfn.XLOOKUP(A253,'Data Cleaning'!A253:A1722, 'Data Cleaning'!J253:J1722)</f>
        <v>Recently promoted</v>
      </c>
    </row>
    <row r="254" spans="1:7" x14ac:dyDescent="0.25">
      <c r="A254" s="3">
        <v>1762</v>
      </c>
      <c r="B254" s="3" t="str">
        <f>_xlfn.XLOOKUP(A254,'Data Cleaning'!A254:A1723, 'Data Cleaning'!I254:I1723)</f>
        <v>25-34</v>
      </c>
      <c r="C254">
        <f>_xlfn.XLOOKUP(A254,'Data Cleaning'!A254:A1723,'Data Cleaning'!K254:K1723)</f>
        <v>0</v>
      </c>
      <c r="D254" t="str">
        <f>_xlfn.XLOOKUP(A254,'Data Cleaning'!A254:A1723, 'Data Cleaning'!D254:D1723)</f>
        <v>Bachelor</v>
      </c>
      <c r="E254" s="3" t="str">
        <f>_xlfn.XLOOKUP(A254,'Data Cleaning'!A254:A1723, 'Data Cleaning'!E254:E1723)</f>
        <v>Divorced</v>
      </c>
      <c r="F254" t="str">
        <f>_xlfn.XLOOKUP(A254,'Data Cleaning'!A254:A1723, 'Data Cleaning'!F254:F1723)</f>
        <v>Low</v>
      </c>
      <c r="G254" s="3" t="str">
        <f>_xlfn.XLOOKUP(A254,'Data Cleaning'!A254:A1723, 'Data Cleaning'!J254:J1723)</f>
        <v>Recently promoted</v>
      </c>
    </row>
    <row r="255" spans="1:7" x14ac:dyDescent="0.25">
      <c r="A255" s="3">
        <v>1364</v>
      </c>
      <c r="B255" s="3" t="str">
        <f>_xlfn.XLOOKUP(A255,'Data Cleaning'!A255:A1724, 'Data Cleaning'!I255:I1724)</f>
        <v>25-34</v>
      </c>
      <c r="C255">
        <f>_xlfn.XLOOKUP(A255,'Data Cleaning'!A255:A1724,'Data Cleaning'!K255:K1724)</f>
        <v>0</v>
      </c>
      <c r="D255" t="str">
        <f>_xlfn.XLOOKUP(A255,'Data Cleaning'!A255:A1724, 'Data Cleaning'!D255:D1724)</f>
        <v>Bachelor</v>
      </c>
      <c r="E255" s="3" t="str">
        <f>_xlfn.XLOOKUP(A255,'Data Cleaning'!A255:A1724, 'Data Cleaning'!E255:E1724)</f>
        <v>Married</v>
      </c>
      <c r="F255" t="str">
        <f>_xlfn.XLOOKUP(A255,'Data Cleaning'!A255:A1724, 'Data Cleaning'!F255:F1724)</f>
        <v>Low</v>
      </c>
      <c r="G255" s="3" t="str">
        <f>_xlfn.XLOOKUP(A255,'Data Cleaning'!A255:A1724, 'Data Cleaning'!J255:J1724)</f>
        <v>Recently promoted</v>
      </c>
    </row>
    <row r="256" spans="1:7" x14ac:dyDescent="0.25">
      <c r="A256" s="3">
        <v>704</v>
      </c>
      <c r="B256" s="3" t="str">
        <f>_xlfn.XLOOKUP(A256,'Data Cleaning'!A256:A1725, 'Data Cleaning'!I256:I1725)</f>
        <v>35-44</v>
      </c>
      <c r="C256">
        <f>_xlfn.XLOOKUP(A256,'Data Cleaning'!A256:A1725,'Data Cleaning'!K256:K1725)</f>
        <v>0</v>
      </c>
      <c r="D256" t="str">
        <f>_xlfn.XLOOKUP(A256,'Data Cleaning'!A256:A1725, 'Data Cleaning'!D256:D1725)</f>
        <v>Bachelor</v>
      </c>
      <c r="E256" s="3" t="str">
        <f>_xlfn.XLOOKUP(A256,'Data Cleaning'!A256:A1725, 'Data Cleaning'!E256:E1725)</f>
        <v>Married</v>
      </c>
      <c r="F256" t="str">
        <f>_xlfn.XLOOKUP(A256,'Data Cleaning'!A256:A1725, 'Data Cleaning'!F256:F1725)</f>
        <v>Mid</v>
      </c>
      <c r="G256" s="3" t="str">
        <f>_xlfn.XLOOKUP(A256,'Data Cleaning'!A256:A1725, 'Data Cleaning'!J256:J1725)</f>
        <v>Recently promoted</v>
      </c>
    </row>
    <row r="257" spans="1:7" x14ac:dyDescent="0.25">
      <c r="A257" s="3">
        <v>353</v>
      </c>
      <c r="B257" s="3" t="str">
        <f>_xlfn.XLOOKUP(A257,'Data Cleaning'!A257:A1726, 'Data Cleaning'!I257:I1726)</f>
        <v>45-54</v>
      </c>
      <c r="C257">
        <f>_xlfn.XLOOKUP(A257,'Data Cleaning'!A257:A1726,'Data Cleaning'!K257:K1726)</f>
        <v>0</v>
      </c>
      <c r="D257" t="str">
        <f>_xlfn.XLOOKUP(A257,'Data Cleaning'!A257:A1726, 'Data Cleaning'!D257:D1726)</f>
        <v>Bachelor</v>
      </c>
      <c r="E257" s="3" t="str">
        <f>_xlfn.XLOOKUP(A257,'Data Cleaning'!A257:A1726, 'Data Cleaning'!E257:E1726)</f>
        <v>Married</v>
      </c>
      <c r="F257" t="str">
        <f>_xlfn.XLOOKUP(A257,'Data Cleaning'!A257:A1726, 'Data Cleaning'!F257:F1726)</f>
        <v>None</v>
      </c>
      <c r="G257" s="3" t="str">
        <f>_xlfn.XLOOKUP(A257,'Data Cleaning'!A257:A1726, 'Data Cleaning'!J257:J1726)</f>
        <v>Recently promoted</v>
      </c>
    </row>
    <row r="258" spans="1:7" x14ac:dyDescent="0.25">
      <c r="A258" s="3">
        <v>933</v>
      </c>
      <c r="B258" s="3" t="str">
        <f>_xlfn.XLOOKUP(A258,'Data Cleaning'!A258:A1727, 'Data Cleaning'!I258:I1727)</f>
        <v>25-34</v>
      </c>
      <c r="C258">
        <f>_xlfn.XLOOKUP(A258,'Data Cleaning'!A258:A1727,'Data Cleaning'!K258:K1727)</f>
        <v>0</v>
      </c>
      <c r="D258" t="str">
        <f>_xlfn.XLOOKUP(A258,'Data Cleaning'!A258:A1727, 'Data Cleaning'!D258:D1727)</f>
        <v>Bachelor</v>
      </c>
      <c r="E258" s="3" t="str">
        <f>_xlfn.XLOOKUP(A258,'Data Cleaning'!A258:A1727, 'Data Cleaning'!E258:E1727)</f>
        <v>Single</v>
      </c>
      <c r="F258" t="str">
        <f>_xlfn.XLOOKUP(A258,'Data Cleaning'!A258:A1727, 'Data Cleaning'!F258:F1727)</f>
        <v>None</v>
      </c>
      <c r="G258" s="3" t="str">
        <f>_xlfn.XLOOKUP(A258,'Data Cleaning'!A258:A1727, 'Data Cleaning'!J258:J1727)</f>
        <v>Recently promoted</v>
      </c>
    </row>
    <row r="259" spans="1:7" x14ac:dyDescent="0.25">
      <c r="A259" s="3">
        <v>11</v>
      </c>
      <c r="B259" s="3" t="str">
        <f>_xlfn.XLOOKUP(A259,'Data Cleaning'!A259:A1728, 'Data Cleaning'!I259:I1728)</f>
        <v>25-34</v>
      </c>
      <c r="C259">
        <f>_xlfn.XLOOKUP(A259,'Data Cleaning'!A259:A1728,'Data Cleaning'!K259:K1728)</f>
        <v>0</v>
      </c>
      <c r="D259" t="str">
        <f>_xlfn.XLOOKUP(A259,'Data Cleaning'!A259:A1728, 'Data Cleaning'!D259:D1728)</f>
        <v>Below College</v>
      </c>
      <c r="E259" s="3" t="str">
        <f>_xlfn.XLOOKUP(A259,'Data Cleaning'!A259:A1728, 'Data Cleaning'!E259:E1728)</f>
        <v>Divorced</v>
      </c>
      <c r="F259" t="str">
        <f>_xlfn.XLOOKUP(A259,'Data Cleaning'!A259:A1728, 'Data Cleaning'!F259:F1728)</f>
        <v>Low</v>
      </c>
      <c r="G259" s="3" t="str">
        <f>_xlfn.XLOOKUP(A259,'Data Cleaning'!A259:A1728, 'Data Cleaning'!J259:J1728)</f>
        <v>Recently promoted</v>
      </c>
    </row>
    <row r="260" spans="1:7" x14ac:dyDescent="0.25">
      <c r="A260" s="3">
        <v>1193</v>
      </c>
      <c r="B260" s="3" t="str">
        <f>_xlfn.XLOOKUP(A260,'Data Cleaning'!A260:A1729, 'Data Cleaning'!I260:I1729)</f>
        <v>18-24</v>
      </c>
      <c r="C260">
        <f>_xlfn.XLOOKUP(A260,'Data Cleaning'!A260:A1729,'Data Cleaning'!K260:K1729)</f>
        <v>0</v>
      </c>
      <c r="D260" t="str">
        <f>_xlfn.XLOOKUP(A260,'Data Cleaning'!A260:A1729, 'Data Cleaning'!D260:D1729)</f>
        <v>College</v>
      </c>
      <c r="E260" s="3" t="str">
        <f>_xlfn.XLOOKUP(A260,'Data Cleaning'!A260:A1729, 'Data Cleaning'!E260:E1729)</f>
        <v>Single</v>
      </c>
      <c r="F260" t="str">
        <f>_xlfn.XLOOKUP(A260,'Data Cleaning'!A260:A1729, 'Data Cleaning'!F260:F1729)</f>
        <v>None</v>
      </c>
      <c r="G260" s="3" t="str">
        <f>_xlfn.XLOOKUP(A260,'Data Cleaning'!A260:A1729, 'Data Cleaning'!J260:J1729)</f>
        <v>Recently promoted</v>
      </c>
    </row>
    <row r="261" spans="1:7" x14ac:dyDescent="0.25">
      <c r="A261" s="3">
        <v>657</v>
      </c>
      <c r="B261" s="3" t="str">
        <f>_xlfn.XLOOKUP(A261,'Data Cleaning'!A261:A1730, 'Data Cleaning'!I261:I1730)</f>
        <v>18-24</v>
      </c>
      <c r="C261">
        <f>_xlfn.XLOOKUP(A261,'Data Cleaning'!A261:A1730,'Data Cleaning'!K261:K1730)</f>
        <v>0</v>
      </c>
      <c r="D261" t="str">
        <f>_xlfn.XLOOKUP(A261,'Data Cleaning'!A261:A1730, 'Data Cleaning'!D261:D1730)</f>
        <v>Bachelor</v>
      </c>
      <c r="E261" s="3" t="str">
        <f>_xlfn.XLOOKUP(A261,'Data Cleaning'!A261:A1730, 'Data Cleaning'!E261:E1730)</f>
        <v>Single</v>
      </c>
      <c r="F261" t="str">
        <f>_xlfn.XLOOKUP(A261,'Data Cleaning'!A261:A1730, 'Data Cleaning'!F261:F1730)</f>
        <v>None</v>
      </c>
      <c r="G261" s="3" t="str">
        <f>_xlfn.XLOOKUP(A261,'Data Cleaning'!A261:A1730, 'Data Cleaning'!J261:J1730)</f>
        <v>Recently promoted</v>
      </c>
    </row>
    <row r="262" spans="1:7" x14ac:dyDescent="0.25">
      <c r="A262" s="3">
        <v>309</v>
      </c>
      <c r="B262" s="3" t="str">
        <f>_xlfn.XLOOKUP(A262,'Data Cleaning'!A262:A1731, 'Data Cleaning'!I262:I1731)</f>
        <v>55-60</v>
      </c>
      <c r="C262">
        <f>_xlfn.XLOOKUP(A262,'Data Cleaning'!A262:A1731,'Data Cleaning'!K262:K1731)</f>
        <v>0</v>
      </c>
      <c r="D262" t="str">
        <f>_xlfn.XLOOKUP(A262,'Data Cleaning'!A262:A1731, 'Data Cleaning'!D262:D1731)</f>
        <v>Bachelor</v>
      </c>
      <c r="E262" s="3" t="str">
        <f>_xlfn.XLOOKUP(A262,'Data Cleaning'!A262:A1731, 'Data Cleaning'!E262:E1731)</f>
        <v>Married</v>
      </c>
      <c r="F262" t="str">
        <f>_xlfn.XLOOKUP(A262,'Data Cleaning'!A262:A1731, 'Data Cleaning'!F262:F1731)</f>
        <v>Low</v>
      </c>
      <c r="G262" s="3" t="str">
        <f>_xlfn.XLOOKUP(A262,'Data Cleaning'!A262:A1731, 'Data Cleaning'!J262:J1731)</f>
        <v>Recently promoted</v>
      </c>
    </row>
    <row r="263" spans="1:7" x14ac:dyDescent="0.25">
      <c r="A263" s="3">
        <v>1265</v>
      </c>
      <c r="B263" s="3" t="str">
        <f>_xlfn.XLOOKUP(A263,'Data Cleaning'!A263:A1732, 'Data Cleaning'!I263:I1732)</f>
        <v>25-34</v>
      </c>
      <c r="C263">
        <f>_xlfn.XLOOKUP(A263,'Data Cleaning'!A263:A1732,'Data Cleaning'!K263:K1732)</f>
        <v>0</v>
      </c>
      <c r="D263" t="str">
        <f>_xlfn.XLOOKUP(A263,'Data Cleaning'!A263:A1732, 'Data Cleaning'!D263:D1732)</f>
        <v>Bachelor</v>
      </c>
      <c r="E263" s="3" t="str">
        <f>_xlfn.XLOOKUP(A263,'Data Cleaning'!A263:A1732, 'Data Cleaning'!E263:E1732)</f>
        <v>Married</v>
      </c>
      <c r="F263" t="str">
        <f>_xlfn.XLOOKUP(A263,'Data Cleaning'!A263:A1732, 'Data Cleaning'!F263:F1732)</f>
        <v>None</v>
      </c>
      <c r="G263" s="3" t="str">
        <f>_xlfn.XLOOKUP(A263,'Data Cleaning'!A263:A1732, 'Data Cleaning'!J263:J1732)</f>
        <v>Recently promoted</v>
      </c>
    </row>
    <row r="264" spans="1:7" x14ac:dyDescent="0.25">
      <c r="A264" s="3">
        <v>1577</v>
      </c>
      <c r="B264" s="3" t="str">
        <f>_xlfn.XLOOKUP(A264,'Data Cleaning'!A264:A1733, 'Data Cleaning'!I264:I1733)</f>
        <v>25-34</v>
      </c>
      <c r="C264">
        <f>_xlfn.XLOOKUP(A264,'Data Cleaning'!A264:A1733,'Data Cleaning'!K264:K1733)</f>
        <v>0</v>
      </c>
      <c r="D264" t="str">
        <f>_xlfn.XLOOKUP(A264,'Data Cleaning'!A264:A1733, 'Data Cleaning'!D264:D1733)</f>
        <v>Master</v>
      </c>
      <c r="E264" s="3" t="str">
        <f>_xlfn.XLOOKUP(A264,'Data Cleaning'!A264:A1733, 'Data Cleaning'!E264:E1733)</f>
        <v>Single</v>
      </c>
      <c r="F264" t="str">
        <f>_xlfn.XLOOKUP(A264,'Data Cleaning'!A264:A1733, 'Data Cleaning'!F264:F1733)</f>
        <v>None</v>
      </c>
      <c r="G264" s="3" t="str">
        <f>_xlfn.XLOOKUP(A264,'Data Cleaning'!A264:A1733, 'Data Cleaning'!J264:J1733)</f>
        <v>Recently promoted</v>
      </c>
    </row>
    <row r="265" spans="1:7" x14ac:dyDescent="0.25">
      <c r="A265" s="3">
        <v>812</v>
      </c>
      <c r="B265" s="3" t="str">
        <f>_xlfn.XLOOKUP(A265,'Data Cleaning'!A265:A1734, 'Data Cleaning'!I265:I1734)</f>
        <v>18-24</v>
      </c>
      <c r="C265">
        <f>_xlfn.XLOOKUP(A265,'Data Cleaning'!A265:A1734,'Data Cleaning'!K265:K1734)</f>
        <v>0</v>
      </c>
      <c r="D265" t="str">
        <f>_xlfn.XLOOKUP(A265,'Data Cleaning'!A265:A1734, 'Data Cleaning'!D265:D1734)</f>
        <v>Bachelor</v>
      </c>
      <c r="E265" s="3" t="str">
        <f>_xlfn.XLOOKUP(A265,'Data Cleaning'!A265:A1734, 'Data Cleaning'!E265:E1734)</f>
        <v>Divorced</v>
      </c>
      <c r="F265" t="str">
        <f>_xlfn.XLOOKUP(A265,'Data Cleaning'!A265:A1734, 'Data Cleaning'!F265:F1734)</f>
        <v>High</v>
      </c>
      <c r="G265" s="3" t="str">
        <f>_xlfn.XLOOKUP(A265,'Data Cleaning'!A265:A1734, 'Data Cleaning'!J265:J1734)</f>
        <v>Recently promoted</v>
      </c>
    </row>
    <row r="266" spans="1:7" x14ac:dyDescent="0.25">
      <c r="A266" s="3">
        <v>680</v>
      </c>
      <c r="B266" s="3" t="str">
        <f>_xlfn.XLOOKUP(A266,'Data Cleaning'!A266:A1735, 'Data Cleaning'!I266:I1735)</f>
        <v>25-34</v>
      </c>
      <c r="C266">
        <f>_xlfn.XLOOKUP(A266,'Data Cleaning'!A266:A1735,'Data Cleaning'!K266:K1735)</f>
        <v>0</v>
      </c>
      <c r="D266" t="str">
        <f>_xlfn.XLOOKUP(A266,'Data Cleaning'!A266:A1735, 'Data Cleaning'!D266:D1735)</f>
        <v>Bachelor</v>
      </c>
      <c r="E266" s="3" t="str">
        <f>_xlfn.XLOOKUP(A266,'Data Cleaning'!A266:A1735, 'Data Cleaning'!E266:E1735)</f>
        <v>Divorced</v>
      </c>
      <c r="F266" t="str">
        <f>_xlfn.XLOOKUP(A266,'Data Cleaning'!A266:A1735, 'Data Cleaning'!F266:F1735)</f>
        <v>Low</v>
      </c>
      <c r="G266" s="3" t="str">
        <f>_xlfn.XLOOKUP(A266,'Data Cleaning'!A266:A1735, 'Data Cleaning'!J266:J1735)</f>
        <v>Recently promoted</v>
      </c>
    </row>
    <row r="267" spans="1:7" x14ac:dyDescent="0.25">
      <c r="A267" s="3">
        <v>1482</v>
      </c>
      <c r="B267" s="3" t="str">
        <f>_xlfn.XLOOKUP(A267,'Data Cleaning'!A267:A1736, 'Data Cleaning'!I267:I1736)</f>
        <v>25-34</v>
      </c>
      <c r="C267">
        <f>_xlfn.XLOOKUP(A267,'Data Cleaning'!A267:A1736,'Data Cleaning'!K267:K1736)</f>
        <v>0</v>
      </c>
      <c r="D267" t="str">
        <f>_xlfn.XLOOKUP(A267,'Data Cleaning'!A267:A1736, 'Data Cleaning'!D267:D1736)</f>
        <v>Bachelor</v>
      </c>
      <c r="E267" s="3" t="str">
        <f>_xlfn.XLOOKUP(A267,'Data Cleaning'!A267:A1736, 'Data Cleaning'!E267:E1736)</f>
        <v>Divorced</v>
      </c>
      <c r="F267" t="str">
        <f>_xlfn.XLOOKUP(A267,'Data Cleaning'!A267:A1736, 'Data Cleaning'!F267:F1736)</f>
        <v>Mid</v>
      </c>
      <c r="G267" s="3" t="str">
        <f>_xlfn.XLOOKUP(A267,'Data Cleaning'!A267:A1736, 'Data Cleaning'!J267:J1736)</f>
        <v>Recently promoted</v>
      </c>
    </row>
    <row r="268" spans="1:7" x14ac:dyDescent="0.25">
      <c r="A268" s="3">
        <v>1495</v>
      </c>
      <c r="B268" s="3" t="str">
        <f>_xlfn.XLOOKUP(A268,'Data Cleaning'!A268:A1737, 'Data Cleaning'!I268:I1737)</f>
        <v>18-24</v>
      </c>
      <c r="C268">
        <f>_xlfn.XLOOKUP(A268,'Data Cleaning'!A268:A1737,'Data Cleaning'!K268:K1737)</f>
        <v>0</v>
      </c>
      <c r="D268" t="str">
        <f>_xlfn.XLOOKUP(A268,'Data Cleaning'!A268:A1737, 'Data Cleaning'!D268:D1737)</f>
        <v>College</v>
      </c>
      <c r="E268" s="3" t="str">
        <f>_xlfn.XLOOKUP(A268,'Data Cleaning'!A268:A1737, 'Data Cleaning'!E268:E1737)</f>
        <v>Married</v>
      </c>
      <c r="F268" t="str">
        <f>_xlfn.XLOOKUP(A268,'Data Cleaning'!A268:A1737, 'Data Cleaning'!F268:F1737)</f>
        <v>Low</v>
      </c>
      <c r="G268" s="3" t="str">
        <f>_xlfn.XLOOKUP(A268,'Data Cleaning'!A268:A1737, 'Data Cleaning'!J268:J1737)</f>
        <v>Recently promoted</v>
      </c>
    </row>
    <row r="269" spans="1:7" x14ac:dyDescent="0.25">
      <c r="A269" s="3">
        <v>144</v>
      </c>
      <c r="B269" s="3" t="str">
        <f>_xlfn.XLOOKUP(A269,'Data Cleaning'!A269:A1738, 'Data Cleaning'!I269:I1738)</f>
        <v>18-24</v>
      </c>
      <c r="C269">
        <f>_xlfn.XLOOKUP(A269,'Data Cleaning'!A269:A1738,'Data Cleaning'!K269:K1738)</f>
        <v>0</v>
      </c>
      <c r="D269" t="str">
        <f>_xlfn.XLOOKUP(A269,'Data Cleaning'!A269:A1738, 'Data Cleaning'!D269:D1738)</f>
        <v>Bachelor</v>
      </c>
      <c r="E269" s="3" t="str">
        <f>_xlfn.XLOOKUP(A269,'Data Cleaning'!A269:A1738, 'Data Cleaning'!E269:E1738)</f>
        <v>Single</v>
      </c>
      <c r="F269" t="str">
        <f>_xlfn.XLOOKUP(A269,'Data Cleaning'!A269:A1738, 'Data Cleaning'!F269:F1738)</f>
        <v>None</v>
      </c>
      <c r="G269" s="3" t="str">
        <f>_xlfn.XLOOKUP(A269,'Data Cleaning'!A269:A1738, 'Data Cleaning'!J269:J1738)</f>
        <v>Recently promoted</v>
      </c>
    </row>
    <row r="270" spans="1:7" x14ac:dyDescent="0.25">
      <c r="A270" s="3">
        <v>1056</v>
      </c>
      <c r="B270" s="3" t="str">
        <f>_xlfn.XLOOKUP(A270,'Data Cleaning'!A270:A1739, 'Data Cleaning'!I270:I1739)</f>
        <v>25-34</v>
      </c>
      <c r="C270">
        <f>_xlfn.XLOOKUP(A270,'Data Cleaning'!A270:A1739,'Data Cleaning'!K270:K1739)</f>
        <v>0</v>
      </c>
      <c r="D270" t="str">
        <f>_xlfn.XLOOKUP(A270,'Data Cleaning'!A270:A1739, 'Data Cleaning'!D270:D1739)</f>
        <v>Below College</v>
      </c>
      <c r="E270" s="3" t="str">
        <f>_xlfn.XLOOKUP(A270,'Data Cleaning'!A270:A1739, 'Data Cleaning'!E270:E1739)</f>
        <v>Married</v>
      </c>
      <c r="F270" t="str">
        <f>_xlfn.XLOOKUP(A270,'Data Cleaning'!A270:A1739, 'Data Cleaning'!F270:F1739)</f>
        <v>None</v>
      </c>
      <c r="G270" s="3" t="str">
        <f>_xlfn.XLOOKUP(A270,'Data Cleaning'!A270:A1739, 'Data Cleaning'!J270:J1739)</f>
        <v>Recently promoted</v>
      </c>
    </row>
    <row r="271" spans="1:7" x14ac:dyDescent="0.25">
      <c r="A271" s="3">
        <v>1551</v>
      </c>
      <c r="B271" s="3" t="str">
        <f>_xlfn.XLOOKUP(A271,'Data Cleaning'!A271:A1740, 'Data Cleaning'!I271:I1740)</f>
        <v>18-24</v>
      </c>
      <c r="C271">
        <f>_xlfn.XLOOKUP(A271,'Data Cleaning'!A271:A1740,'Data Cleaning'!K271:K1740)</f>
        <v>0</v>
      </c>
      <c r="D271" t="str">
        <f>_xlfn.XLOOKUP(A271,'Data Cleaning'!A271:A1740, 'Data Cleaning'!D271:D1740)</f>
        <v>College</v>
      </c>
      <c r="E271" s="3" t="str">
        <f>_xlfn.XLOOKUP(A271,'Data Cleaning'!A271:A1740, 'Data Cleaning'!E271:E1740)</f>
        <v>Divorced</v>
      </c>
      <c r="F271" t="str">
        <f>_xlfn.XLOOKUP(A271,'Data Cleaning'!A271:A1740, 'Data Cleaning'!F271:F1740)</f>
        <v>High</v>
      </c>
      <c r="G271" s="3" t="str">
        <f>_xlfn.XLOOKUP(A271,'Data Cleaning'!A271:A1740, 'Data Cleaning'!J271:J1740)</f>
        <v>Recently promoted</v>
      </c>
    </row>
    <row r="272" spans="1:7" x14ac:dyDescent="0.25">
      <c r="A272" s="3">
        <v>61</v>
      </c>
      <c r="B272" s="3" t="str">
        <f>_xlfn.XLOOKUP(A272,'Data Cleaning'!A272:A1741, 'Data Cleaning'!I272:I1741)</f>
        <v>35-44</v>
      </c>
      <c r="C272">
        <f>_xlfn.XLOOKUP(A272,'Data Cleaning'!A272:A1741,'Data Cleaning'!K272:K1741)</f>
        <v>0</v>
      </c>
      <c r="D272" t="str">
        <f>_xlfn.XLOOKUP(A272,'Data Cleaning'!A272:A1741, 'Data Cleaning'!D272:D1741)</f>
        <v>College</v>
      </c>
      <c r="E272" s="3" t="str">
        <f>_xlfn.XLOOKUP(A272,'Data Cleaning'!A272:A1741, 'Data Cleaning'!E272:E1741)</f>
        <v>Married</v>
      </c>
      <c r="F272" t="str">
        <f>_xlfn.XLOOKUP(A272,'Data Cleaning'!A272:A1741, 'Data Cleaning'!F272:F1741)</f>
        <v>None</v>
      </c>
      <c r="G272" s="3" t="str">
        <f>_xlfn.XLOOKUP(A272,'Data Cleaning'!A272:A1741, 'Data Cleaning'!J272:J1741)</f>
        <v>Recently promoted</v>
      </c>
    </row>
    <row r="273" spans="1:7" x14ac:dyDescent="0.25">
      <c r="A273" s="3">
        <v>53</v>
      </c>
      <c r="B273" s="3" t="str">
        <f>_xlfn.XLOOKUP(A273,'Data Cleaning'!A273:A1742, 'Data Cleaning'!I273:I1742)</f>
        <v>35-44</v>
      </c>
      <c r="C273">
        <f>_xlfn.XLOOKUP(A273,'Data Cleaning'!A273:A1742,'Data Cleaning'!K273:K1742)</f>
        <v>0</v>
      </c>
      <c r="D273" t="str">
        <f>_xlfn.XLOOKUP(A273,'Data Cleaning'!A273:A1742, 'Data Cleaning'!D273:D1742)</f>
        <v>College</v>
      </c>
      <c r="E273" s="3" t="str">
        <f>_xlfn.XLOOKUP(A273,'Data Cleaning'!A273:A1742, 'Data Cleaning'!E273:E1742)</f>
        <v>Divorced</v>
      </c>
      <c r="F273" t="str">
        <f>_xlfn.XLOOKUP(A273,'Data Cleaning'!A273:A1742, 'Data Cleaning'!F273:F1742)</f>
        <v>Low</v>
      </c>
      <c r="G273" s="3" t="str">
        <f>_xlfn.XLOOKUP(A273,'Data Cleaning'!A273:A1742, 'Data Cleaning'!J273:J1742)</f>
        <v>Recently promoted</v>
      </c>
    </row>
    <row r="274" spans="1:7" x14ac:dyDescent="0.25">
      <c r="A274" s="3">
        <v>407</v>
      </c>
      <c r="B274" s="3" t="str">
        <f>_xlfn.XLOOKUP(A274,'Data Cleaning'!A274:A1743, 'Data Cleaning'!I274:I1743)</f>
        <v>35-44</v>
      </c>
      <c r="C274">
        <f>_xlfn.XLOOKUP(A274,'Data Cleaning'!A274:A1743,'Data Cleaning'!K274:K1743)</f>
        <v>0</v>
      </c>
      <c r="D274" t="str">
        <f>_xlfn.XLOOKUP(A274,'Data Cleaning'!A274:A1743, 'Data Cleaning'!D274:D1743)</f>
        <v>Master</v>
      </c>
      <c r="E274" s="3" t="str">
        <f>_xlfn.XLOOKUP(A274,'Data Cleaning'!A274:A1743, 'Data Cleaning'!E274:E1743)</f>
        <v>Married</v>
      </c>
      <c r="F274" t="str">
        <f>_xlfn.XLOOKUP(A274,'Data Cleaning'!A274:A1743, 'Data Cleaning'!F274:F1743)</f>
        <v>Mid</v>
      </c>
      <c r="G274" s="3" t="str">
        <f>_xlfn.XLOOKUP(A274,'Data Cleaning'!A274:A1743, 'Data Cleaning'!J274:J1743)</f>
        <v>Recently promoted</v>
      </c>
    </row>
    <row r="275" spans="1:7" x14ac:dyDescent="0.25">
      <c r="A275" s="3">
        <v>1506</v>
      </c>
      <c r="B275" s="3" t="str">
        <f>_xlfn.XLOOKUP(A275,'Data Cleaning'!A275:A1744, 'Data Cleaning'!I275:I1744)</f>
        <v>25-34</v>
      </c>
      <c r="C275">
        <f>_xlfn.XLOOKUP(A275,'Data Cleaning'!A275:A1744,'Data Cleaning'!K275:K1744)</f>
        <v>0</v>
      </c>
      <c r="D275" t="str">
        <f>_xlfn.XLOOKUP(A275,'Data Cleaning'!A275:A1744, 'Data Cleaning'!D275:D1744)</f>
        <v>Bachelor</v>
      </c>
      <c r="E275" s="3" t="str">
        <f>_xlfn.XLOOKUP(A275,'Data Cleaning'!A275:A1744, 'Data Cleaning'!E275:E1744)</f>
        <v>Divorced</v>
      </c>
      <c r="F275" t="str">
        <f>_xlfn.XLOOKUP(A275,'Data Cleaning'!A275:A1744, 'Data Cleaning'!F275:F1744)</f>
        <v>Low</v>
      </c>
      <c r="G275" s="3" t="str">
        <f>_xlfn.XLOOKUP(A275,'Data Cleaning'!A275:A1744, 'Data Cleaning'!J275:J1744)</f>
        <v>Recently promoted</v>
      </c>
    </row>
    <row r="276" spans="1:7" x14ac:dyDescent="0.25">
      <c r="A276" s="3">
        <v>30</v>
      </c>
      <c r="B276" s="3" t="str">
        <f>_xlfn.XLOOKUP(A276,'Data Cleaning'!A276:A1745, 'Data Cleaning'!I276:I1745)</f>
        <v>18-24</v>
      </c>
      <c r="C276">
        <f>_xlfn.XLOOKUP(A276,'Data Cleaning'!A276:A1745,'Data Cleaning'!K276:K1745)</f>
        <v>0</v>
      </c>
      <c r="D276" t="str">
        <f>_xlfn.XLOOKUP(A276,'Data Cleaning'!A276:A1745, 'Data Cleaning'!D276:D1745)</f>
        <v>College</v>
      </c>
      <c r="E276" s="3" t="str">
        <f>_xlfn.XLOOKUP(A276,'Data Cleaning'!A276:A1745, 'Data Cleaning'!E276:E1745)</f>
        <v>Single</v>
      </c>
      <c r="F276" t="str">
        <f>_xlfn.XLOOKUP(A276,'Data Cleaning'!A276:A1745, 'Data Cleaning'!F276:F1745)</f>
        <v>None</v>
      </c>
      <c r="G276" s="3" t="str">
        <f>_xlfn.XLOOKUP(A276,'Data Cleaning'!A276:A1745, 'Data Cleaning'!J276:J1745)</f>
        <v>Recently promoted</v>
      </c>
    </row>
    <row r="277" spans="1:7" x14ac:dyDescent="0.25">
      <c r="A277" s="3">
        <v>1875</v>
      </c>
      <c r="B277" s="3" t="str">
        <f>_xlfn.XLOOKUP(A277,'Data Cleaning'!A277:A1746, 'Data Cleaning'!I277:I1746)</f>
        <v>25-34</v>
      </c>
      <c r="C277">
        <f>_xlfn.XLOOKUP(A277,'Data Cleaning'!A277:A1746,'Data Cleaning'!K277:K1746)</f>
        <v>0</v>
      </c>
      <c r="D277" t="str">
        <f>_xlfn.XLOOKUP(A277,'Data Cleaning'!A277:A1746, 'Data Cleaning'!D277:D1746)</f>
        <v>Bachelor</v>
      </c>
      <c r="E277" s="3" t="str">
        <f>_xlfn.XLOOKUP(A277,'Data Cleaning'!A277:A1746, 'Data Cleaning'!E277:E1746)</f>
        <v>Married</v>
      </c>
      <c r="F277" t="str">
        <f>_xlfn.XLOOKUP(A277,'Data Cleaning'!A277:A1746, 'Data Cleaning'!F277:F1746)</f>
        <v>Low</v>
      </c>
      <c r="G277" s="3" t="str">
        <f>_xlfn.XLOOKUP(A277,'Data Cleaning'!A277:A1746, 'Data Cleaning'!J277:J1746)</f>
        <v>Recently promoted</v>
      </c>
    </row>
    <row r="278" spans="1:7" x14ac:dyDescent="0.25">
      <c r="A278" s="3">
        <v>1270</v>
      </c>
      <c r="B278" s="3" t="str">
        <f>_xlfn.XLOOKUP(A278,'Data Cleaning'!A278:A1747, 'Data Cleaning'!I278:I1747)</f>
        <v>18-24</v>
      </c>
      <c r="C278">
        <f>_xlfn.XLOOKUP(A278,'Data Cleaning'!A278:A1747,'Data Cleaning'!K278:K1747)</f>
        <v>0</v>
      </c>
      <c r="D278" t="str">
        <f>_xlfn.XLOOKUP(A278,'Data Cleaning'!A278:A1747, 'Data Cleaning'!D278:D1747)</f>
        <v>College</v>
      </c>
      <c r="E278" s="3" t="str">
        <f>_xlfn.XLOOKUP(A278,'Data Cleaning'!A278:A1747, 'Data Cleaning'!E278:E1747)</f>
        <v>Married</v>
      </c>
      <c r="F278" t="str">
        <f>_xlfn.XLOOKUP(A278,'Data Cleaning'!A278:A1747, 'Data Cleaning'!F278:F1747)</f>
        <v>Low</v>
      </c>
      <c r="G278" s="3" t="str">
        <f>_xlfn.XLOOKUP(A278,'Data Cleaning'!A278:A1747, 'Data Cleaning'!J278:J1747)</f>
        <v>Recently promoted</v>
      </c>
    </row>
    <row r="279" spans="1:7" x14ac:dyDescent="0.25">
      <c r="A279" s="3">
        <v>97</v>
      </c>
      <c r="B279" s="3" t="str">
        <f>_xlfn.XLOOKUP(A279,'Data Cleaning'!A279:A1748, 'Data Cleaning'!I279:I1748)</f>
        <v>35-44</v>
      </c>
      <c r="C279">
        <f>_xlfn.XLOOKUP(A279,'Data Cleaning'!A279:A1748,'Data Cleaning'!K279:K1748)</f>
        <v>0</v>
      </c>
      <c r="D279" t="str">
        <f>_xlfn.XLOOKUP(A279,'Data Cleaning'!A279:A1748, 'Data Cleaning'!D279:D1748)</f>
        <v>Bachelor</v>
      </c>
      <c r="E279" s="3" t="str">
        <f>_xlfn.XLOOKUP(A279,'Data Cleaning'!A279:A1748, 'Data Cleaning'!E279:E1748)</f>
        <v>Married</v>
      </c>
      <c r="F279" t="str">
        <f>_xlfn.XLOOKUP(A279,'Data Cleaning'!A279:A1748, 'Data Cleaning'!F279:F1748)</f>
        <v>None</v>
      </c>
      <c r="G279" s="3" t="str">
        <f>_xlfn.XLOOKUP(A279,'Data Cleaning'!A279:A1748, 'Data Cleaning'!J279:J1748)</f>
        <v>Recently promoted</v>
      </c>
    </row>
    <row r="280" spans="1:7" x14ac:dyDescent="0.25">
      <c r="A280" s="3">
        <v>63</v>
      </c>
      <c r="B280" s="3" t="str">
        <f>_xlfn.XLOOKUP(A280,'Data Cleaning'!A280:A1749, 'Data Cleaning'!I280:I1749)</f>
        <v>35-44</v>
      </c>
      <c r="C280">
        <f>_xlfn.XLOOKUP(A280,'Data Cleaning'!A280:A1749,'Data Cleaning'!K280:K1749)</f>
        <v>0</v>
      </c>
      <c r="D280" t="str">
        <f>_xlfn.XLOOKUP(A280,'Data Cleaning'!A280:A1749, 'Data Cleaning'!D280:D1749)</f>
        <v>Below College</v>
      </c>
      <c r="E280" s="3" t="str">
        <f>_xlfn.XLOOKUP(A280,'Data Cleaning'!A280:A1749, 'Data Cleaning'!E280:E1749)</f>
        <v>Married</v>
      </c>
      <c r="F280" t="str">
        <f>_xlfn.XLOOKUP(A280,'Data Cleaning'!A280:A1749, 'Data Cleaning'!F280:F1749)</f>
        <v>None</v>
      </c>
      <c r="G280" s="3" t="str">
        <f>_xlfn.XLOOKUP(A280,'Data Cleaning'!A280:A1749, 'Data Cleaning'!J280:J1749)</f>
        <v>Recently promoted</v>
      </c>
    </row>
    <row r="281" spans="1:7" x14ac:dyDescent="0.25">
      <c r="A281" s="3">
        <v>945</v>
      </c>
      <c r="B281" s="3" t="str">
        <f>_xlfn.XLOOKUP(A281,'Data Cleaning'!A281:A1750, 'Data Cleaning'!I281:I1750)</f>
        <v>45-54</v>
      </c>
      <c r="C281">
        <f>_xlfn.XLOOKUP(A281,'Data Cleaning'!A281:A1750,'Data Cleaning'!K281:K1750)</f>
        <v>0</v>
      </c>
      <c r="D281" t="str">
        <f>_xlfn.XLOOKUP(A281,'Data Cleaning'!A281:A1750, 'Data Cleaning'!D281:D1750)</f>
        <v>Master</v>
      </c>
      <c r="E281" s="3" t="str">
        <f>_xlfn.XLOOKUP(A281,'Data Cleaning'!A281:A1750, 'Data Cleaning'!E281:E1750)</f>
        <v>Married</v>
      </c>
      <c r="F281" t="str">
        <f>_xlfn.XLOOKUP(A281,'Data Cleaning'!A281:A1750, 'Data Cleaning'!F281:F1750)</f>
        <v>Mid</v>
      </c>
      <c r="G281" s="3" t="str">
        <f>_xlfn.XLOOKUP(A281,'Data Cleaning'!A281:A1750, 'Data Cleaning'!J281:J1750)</f>
        <v>Recently promoted</v>
      </c>
    </row>
    <row r="282" spans="1:7" x14ac:dyDescent="0.25">
      <c r="A282" s="3">
        <v>1206</v>
      </c>
      <c r="B282" s="3" t="str">
        <f>_xlfn.XLOOKUP(A282,'Data Cleaning'!A282:A1751, 'Data Cleaning'!I282:I1751)</f>
        <v>35-44</v>
      </c>
      <c r="C282">
        <f>_xlfn.XLOOKUP(A282,'Data Cleaning'!A282:A1751,'Data Cleaning'!K282:K1751)</f>
        <v>0</v>
      </c>
      <c r="D282" t="str">
        <f>_xlfn.XLOOKUP(A282,'Data Cleaning'!A282:A1751, 'Data Cleaning'!D282:D1751)</f>
        <v>Bachelor</v>
      </c>
      <c r="E282" s="3" t="str">
        <f>_xlfn.XLOOKUP(A282,'Data Cleaning'!A282:A1751, 'Data Cleaning'!E282:E1751)</f>
        <v>Single</v>
      </c>
      <c r="F282" t="str">
        <f>_xlfn.XLOOKUP(A282,'Data Cleaning'!A282:A1751, 'Data Cleaning'!F282:F1751)</f>
        <v>None</v>
      </c>
      <c r="G282" s="3" t="str">
        <f>_xlfn.XLOOKUP(A282,'Data Cleaning'!A282:A1751, 'Data Cleaning'!J282:J1751)</f>
        <v>Recently promoted</v>
      </c>
    </row>
    <row r="283" spans="1:7" x14ac:dyDescent="0.25">
      <c r="A283" s="3">
        <v>1258</v>
      </c>
      <c r="B283" s="3" t="str">
        <f>_xlfn.XLOOKUP(A283,'Data Cleaning'!A283:A1752, 'Data Cleaning'!I283:I1752)</f>
        <v>45-54</v>
      </c>
      <c r="C283">
        <f>_xlfn.XLOOKUP(A283,'Data Cleaning'!A283:A1752,'Data Cleaning'!K283:K1752)</f>
        <v>0</v>
      </c>
      <c r="D283" t="str">
        <f>_xlfn.XLOOKUP(A283,'Data Cleaning'!A283:A1752, 'Data Cleaning'!D283:D1752)</f>
        <v>College</v>
      </c>
      <c r="E283" s="3" t="str">
        <f>_xlfn.XLOOKUP(A283,'Data Cleaning'!A283:A1752, 'Data Cleaning'!E283:E1752)</f>
        <v>Single</v>
      </c>
      <c r="F283" t="str">
        <f>_xlfn.XLOOKUP(A283,'Data Cleaning'!A283:A1752, 'Data Cleaning'!F283:F1752)</f>
        <v>None</v>
      </c>
      <c r="G283" s="3" t="str">
        <f>_xlfn.XLOOKUP(A283,'Data Cleaning'!A283:A1752, 'Data Cleaning'!J283:J1752)</f>
        <v>Recently promoted</v>
      </c>
    </row>
    <row r="284" spans="1:7" x14ac:dyDescent="0.25">
      <c r="A284" s="3">
        <v>201</v>
      </c>
      <c r="B284" s="3" t="str">
        <f>_xlfn.XLOOKUP(A284,'Data Cleaning'!A284:A1753, 'Data Cleaning'!I284:I1753)</f>
        <v>18-24</v>
      </c>
      <c r="C284">
        <f>_xlfn.XLOOKUP(A284,'Data Cleaning'!A284:A1753,'Data Cleaning'!K284:K1753)</f>
        <v>0</v>
      </c>
      <c r="D284" t="str">
        <f>_xlfn.XLOOKUP(A284,'Data Cleaning'!A284:A1753, 'Data Cleaning'!D284:D1753)</f>
        <v>Below College</v>
      </c>
      <c r="E284" s="3" t="str">
        <f>_xlfn.XLOOKUP(A284,'Data Cleaning'!A284:A1753, 'Data Cleaning'!E284:E1753)</f>
        <v>Single</v>
      </c>
      <c r="F284" t="str">
        <f>_xlfn.XLOOKUP(A284,'Data Cleaning'!A284:A1753, 'Data Cleaning'!F284:F1753)</f>
        <v>None</v>
      </c>
      <c r="G284" s="3" t="str">
        <f>_xlfn.XLOOKUP(A284,'Data Cleaning'!A284:A1753, 'Data Cleaning'!J284:J1753)</f>
        <v>Recently promoted</v>
      </c>
    </row>
    <row r="285" spans="1:7" x14ac:dyDescent="0.25">
      <c r="A285" s="3">
        <v>508</v>
      </c>
      <c r="B285" s="3" t="str">
        <f>_xlfn.XLOOKUP(A285,'Data Cleaning'!A285:A1754, 'Data Cleaning'!I285:I1754)</f>
        <v>25-34</v>
      </c>
      <c r="C285">
        <f>_xlfn.XLOOKUP(A285,'Data Cleaning'!A285:A1754,'Data Cleaning'!K285:K1754)</f>
        <v>0</v>
      </c>
      <c r="D285" t="str">
        <f>_xlfn.XLOOKUP(A285,'Data Cleaning'!A285:A1754, 'Data Cleaning'!D285:D1754)</f>
        <v>Below College</v>
      </c>
      <c r="E285" s="3" t="str">
        <f>_xlfn.XLOOKUP(A285,'Data Cleaning'!A285:A1754, 'Data Cleaning'!E285:E1754)</f>
        <v>Married</v>
      </c>
      <c r="F285" t="str">
        <f>_xlfn.XLOOKUP(A285,'Data Cleaning'!A285:A1754, 'Data Cleaning'!F285:F1754)</f>
        <v>Low</v>
      </c>
      <c r="G285" s="3" t="str">
        <f>_xlfn.XLOOKUP(A285,'Data Cleaning'!A285:A1754, 'Data Cleaning'!J285:J1754)</f>
        <v>Recently promoted</v>
      </c>
    </row>
    <row r="286" spans="1:7" x14ac:dyDescent="0.25">
      <c r="A286" s="3">
        <v>1558</v>
      </c>
      <c r="B286" s="3" t="str">
        <f>_xlfn.XLOOKUP(A286,'Data Cleaning'!A286:A1755, 'Data Cleaning'!I286:I1755)</f>
        <v>25-34</v>
      </c>
      <c r="C286">
        <f>_xlfn.XLOOKUP(A286,'Data Cleaning'!A286:A1755,'Data Cleaning'!K286:K1755)</f>
        <v>0</v>
      </c>
      <c r="D286" t="str">
        <f>_xlfn.XLOOKUP(A286,'Data Cleaning'!A286:A1755, 'Data Cleaning'!D286:D1755)</f>
        <v>Bachelor</v>
      </c>
      <c r="E286" s="3" t="str">
        <f>_xlfn.XLOOKUP(A286,'Data Cleaning'!A286:A1755, 'Data Cleaning'!E286:E1755)</f>
        <v>Married</v>
      </c>
      <c r="F286" t="str">
        <f>_xlfn.XLOOKUP(A286,'Data Cleaning'!A286:A1755, 'Data Cleaning'!F286:F1755)</f>
        <v>Mid</v>
      </c>
      <c r="G286" s="3" t="str">
        <f>_xlfn.XLOOKUP(A286,'Data Cleaning'!A286:A1755, 'Data Cleaning'!J286:J1755)</f>
        <v>Recently promoted</v>
      </c>
    </row>
    <row r="287" spans="1:7" x14ac:dyDescent="0.25">
      <c r="A287" s="3">
        <v>54</v>
      </c>
      <c r="B287" s="3" t="str">
        <f>_xlfn.XLOOKUP(A287,'Data Cleaning'!A287:A1756, 'Data Cleaning'!I287:I1756)</f>
        <v>25-34</v>
      </c>
      <c r="C287">
        <f>_xlfn.XLOOKUP(A287,'Data Cleaning'!A287:A1756,'Data Cleaning'!K287:K1756)</f>
        <v>0</v>
      </c>
      <c r="D287" t="str">
        <f>_xlfn.XLOOKUP(A287,'Data Cleaning'!A287:A1756, 'Data Cleaning'!D287:D1756)</f>
        <v>Master</v>
      </c>
      <c r="E287" s="3" t="str">
        <f>_xlfn.XLOOKUP(A287,'Data Cleaning'!A287:A1756, 'Data Cleaning'!E287:E1756)</f>
        <v>Divorced</v>
      </c>
      <c r="F287" t="str">
        <f>_xlfn.XLOOKUP(A287,'Data Cleaning'!A287:A1756, 'Data Cleaning'!F287:F1756)</f>
        <v>Low</v>
      </c>
      <c r="G287" s="3" t="str">
        <f>_xlfn.XLOOKUP(A287,'Data Cleaning'!A287:A1756, 'Data Cleaning'!J287:J1756)</f>
        <v>Recently promoted</v>
      </c>
    </row>
    <row r="288" spans="1:7" x14ac:dyDescent="0.25">
      <c r="A288" s="3">
        <v>95</v>
      </c>
      <c r="B288" s="3" t="str">
        <f>_xlfn.XLOOKUP(A288,'Data Cleaning'!A288:A1757, 'Data Cleaning'!I288:I1757)</f>
        <v>25-34</v>
      </c>
      <c r="C288">
        <f>_xlfn.XLOOKUP(A288,'Data Cleaning'!A288:A1757,'Data Cleaning'!K288:K1757)</f>
        <v>0</v>
      </c>
      <c r="D288" t="str">
        <f>_xlfn.XLOOKUP(A288,'Data Cleaning'!A288:A1757, 'Data Cleaning'!D288:D1757)</f>
        <v>Master</v>
      </c>
      <c r="E288" s="3" t="str">
        <f>_xlfn.XLOOKUP(A288,'Data Cleaning'!A288:A1757, 'Data Cleaning'!E288:E1757)</f>
        <v>Single</v>
      </c>
      <c r="F288" t="str">
        <f>_xlfn.XLOOKUP(A288,'Data Cleaning'!A288:A1757, 'Data Cleaning'!F288:F1757)</f>
        <v>None</v>
      </c>
      <c r="G288" s="3" t="str">
        <f>_xlfn.XLOOKUP(A288,'Data Cleaning'!A288:A1757, 'Data Cleaning'!J288:J1757)</f>
        <v>Recently promoted</v>
      </c>
    </row>
    <row r="289" spans="1:7" x14ac:dyDescent="0.25">
      <c r="A289" s="3">
        <v>1492</v>
      </c>
      <c r="B289" s="3" t="str">
        <f>_xlfn.XLOOKUP(A289,'Data Cleaning'!A289:A1758, 'Data Cleaning'!I289:I1758)</f>
        <v>35-44</v>
      </c>
      <c r="C289">
        <f>_xlfn.XLOOKUP(A289,'Data Cleaning'!A289:A1758,'Data Cleaning'!K289:K1758)</f>
        <v>0</v>
      </c>
      <c r="D289" t="str">
        <f>_xlfn.XLOOKUP(A289,'Data Cleaning'!A289:A1758, 'Data Cleaning'!D289:D1758)</f>
        <v>Below College</v>
      </c>
      <c r="E289" s="3" t="str">
        <f>_xlfn.XLOOKUP(A289,'Data Cleaning'!A289:A1758, 'Data Cleaning'!E289:E1758)</f>
        <v>Married</v>
      </c>
      <c r="F289" t="str">
        <f>_xlfn.XLOOKUP(A289,'Data Cleaning'!A289:A1758, 'Data Cleaning'!F289:F1758)</f>
        <v>Low</v>
      </c>
      <c r="G289" s="3" t="str">
        <f>_xlfn.XLOOKUP(A289,'Data Cleaning'!A289:A1758, 'Data Cleaning'!J289:J1758)</f>
        <v>Recently promoted</v>
      </c>
    </row>
    <row r="290" spans="1:7" x14ac:dyDescent="0.25">
      <c r="A290" s="3">
        <v>1961</v>
      </c>
      <c r="B290" s="3" t="str">
        <f>_xlfn.XLOOKUP(A290,'Data Cleaning'!A290:A1759, 'Data Cleaning'!I290:I1759)</f>
        <v>35-44</v>
      </c>
      <c r="C290">
        <f>_xlfn.XLOOKUP(A290,'Data Cleaning'!A290:A1759,'Data Cleaning'!K290:K1759)</f>
        <v>0</v>
      </c>
      <c r="D290" t="str">
        <f>_xlfn.XLOOKUP(A290,'Data Cleaning'!A290:A1759, 'Data Cleaning'!D290:D1759)</f>
        <v>Bachelor</v>
      </c>
      <c r="E290" s="3" t="str">
        <f>_xlfn.XLOOKUP(A290,'Data Cleaning'!A290:A1759, 'Data Cleaning'!E290:E1759)</f>
        <v>Single</v>
      </c>
      <c r="F290" t="str">
        <f>_xlfn.XLOOKUP(A290,'Data Cleaning'!A290:A1759, 'Data Cleaning'!F290:F1759)</f>
        <v>None</v>
      </c>
      <c r="G290" s="3" t="str">
        <f>_xlfn.XLOOKUP(A290,'Data Cleaning'!A290:A1759, 'Data Cleaning'!J290:J1759)</f>
        <v>Recently promoted</v>
      </c>
    </row>
    <row r="291" spans="1:7" x14ac:dyDescent="0.25">
      <c r="A291" s="3">
        <v>155</v>
      </c>
      <c r="B291" s="3" t="str">
        <f>_xlfn.XLOOKUP(A291,'Data Cleaning'!A291:A1760, 'Data Cleaning'!I291:I1760)</f>
        <v>35-44</v>
      </c>
      <c r="C291">
        <f>_xlfn.XLOOKUP(A291,'Data Cleaning'!A291:A1760,'Data Cleaning'!K291:K1760)</f>
        <v>0</v>
      </c>
      <c r="D291" t="str">
        <f>_xlfn.XLOOKUP(A291,'Data Cleaning'!A291:A1760, 'Data Cleaning'!D291:D1760)</f>
        <v>College</v>
      </c>
      <c r="E291" s="3" t="str">
        <f>_xlfn.XLOOKUP(A291,'Data Cleaning'!A291:A1760, 'Data Cleaning'!E291:E1760)</f>
        <v>Divorced</v>
      </c>
      <c r="F291" t="str">
        <f>_xlfn.XLOOKUP(A291,'Data Cleaning'!A291:A1760, 'Data Cleaning'!F291:F1760)</f>
        <v>Low</v>
      </c>
      <c r="G291" s="3" t="str">
        <f>_xlfn.XLOOKUP(A291,'Data Cleaning'!A291:A1760, 'Data Cleaning'!J291:J1760)</f>
        <v>Recently promoted</v>
      </c>
    </row>
    <row r="292" spans="1:7" x14ac:dyDescent="0.25">
      <c r="A292" s="3">
        <v>662</v>
      </c>
      <c r="B292" s="3" t="str">
        <f>_xlfn.XLOOKUP(A292,'Data Cleaning'!A292:A1761, 'Data Cleaning'!I292:I1761)</f>
        <v>35-44</v>
      </c>
      <c r="C292">
        <f>_xlfn.XLOOKUP(A292,'Data Cleaning'!A292:A1761,'Data Cleaning'!K292:K1761)</f>
        <v>0</v>
      </c>
      <c r="D292" t="str">
        <f>_xlfn.XLOOKUP(A292,'Data Cleaning'!A292:A1761, 'Data Cleaning'!D292:D1761)</f>
        <v>Below College</v>
      </c>
      <c r="E292" s="3" t="str">
        <f>_xlfn.XLOOKUP(A292,'Data Cleaning'!A292:A1761, 'Data Cleaning'!E292:E1761)</f>
        <v>Single</v>
      </c>
      <c r="F292" t="str">
        <f>_xlfn.XLOOKUP(A292,'Data Cleaning'!A292:A1761, 'Data Cleaning'!F292:F1761)</f>
        <v>None</v>
      </c>
      <c r="G292" s="3" t="str">
        <f>_xlfn.XLOOKUP(A292,'Data Cleaning'!A292:A1761, 'Data Cleaning'!J292:J1761)</f>
        <v>Recently promoted</v>
      </c>
    </row>
    <row r="293" spans="1:7" x14ac:dyDescent="0.25">
      <c r="A293" s="3">
        <v>1115</v>
      </c>
      <c r="B293" s="3" t="str">
        <f>_xlfn.XLOOKUP(A293,'Data Cleaning'!A293:A1762, 'Data Cleaning'!I293:I1762)</f>
        <v>25-34</v>
      </c>
      <c r="C293">
        <f>_xlfn.XLOOKUP(A293,'Data Cleaning'!A293:A1762,'Data Cleaning'!K293:K1762)</f>
        <v>0</v>
      </c>
      <c r="D293" t="str">
        <f>_xlfn.XLOOKUP(A293,'Data Cleaning'!A293:A1762, 'Data Cleaning'!D293:D1762)</f>
        <v>Master</v>
      </c>
      <c r="E293" s="3" t="str">
        <f>_xlfn.XLOOKUP(A293,'Data Cleaning'!A293:A1762, 'Data Cleaning'!E293:E1762)</f>
        <v>Married</v>
      </c>
      <c r="F293" t="str">
        <f>_xlfn.XLOOKUP(A293,'Data Cleaning'!A293:A1762, 'Data Cleaning'!F293:F1762)</f>
        <v>High</v>
      </c>
      <c r="G293" s="3" t="str">
        <f>_xlfn.XLOOKUP(A293,'Data Cleaning'!A293:A1762, 'Data Cleaning'!J293:J1762)</f>
        <v>Recently promoted</v>
      </c>
    </row>
    <row r="294" spans="1:7" x14ac:dyDescent="0.25">
      <c r="A294" s="3">
        <v>1190</v>
      </c>
      <c r="B294" s="3" t="str">
        <f>_xlfn.XLOOKUP(A294,'Data Cleaning'!A294:A1763, 'Data Cleaning'!I294:I1763)</f>
        <v>25-34</v>
      </c>
      <c r="C294">
        <f>_xlfn.XLOOKUP(A294,'Data Cleaning'!A294:A1763,'Data Cleaning'!K294:K1763)</f>
        <v>0</v>
      </c>
      <c r="D294" t="str">
        <f>_xlfn.XLOOKUP(A294,'Data Cleaning'!A294:A1763, 'Data Cleaning'!D294:D1763)</f>
        <v>Below College</v>
      </c>
      <c r="E294" s="3" t="str">
        <f>_xlfn.XLOOKUP(A294,'Data Cleaning'!A294:A1763, 'Data Cleaning'!E294:E1763)</f>
        <v>Divorced</v>
      </c>
      <c r="F294" t="str">
        <f>_xlfn.XLOOKUP(A294,'Data Cleaning'!A294:A1763, 'Data Cleaning'!F294:F1763)</f>
        <v>High</v>
      </c>
      <c r="G294" s="3" t="str">
        <f>_xlfn.XLOOKUP(A294,'Data Cleaning'!A294:A1763, 'Data Cleaning'!J294:J1763)</f>
        <v>Recently promoted</v>
      </c>
    </row>
    <row r="295" spans="1:7" x14ac:dyDescent="0.25">
      <c r="A295" s="3">
        <v>39</v>
      </c>
      <c r="B295" s="3" t="str">
        <f>_xlfn.XLOOKUP(A295,'Data Cleaning'!A295:A1764, 'Data Cleaning'!I295:I1764)</f>
        <v>25-34</v>
      </c>
      <c r="C295">
        <f>_xlfn.XLOOKUP(A295,'Data Cleaning'!A295:A1764,'Data Cleaning'!K295:K1764)</f>
        <v>0</v>
      </c>
      <c r="D295" t="str">
        <f>_xlfn.XLOOKUP(A295,'Data Cleaning'!A295:A1764, 'Data Cleaning'!D295:D1764)</f>
        <v>Bachelor</v>
      </c>
      <c r="E295" s="3" t="str">
        <f>_xlfn.XLOOKUP(A295,'Data Cleaning'!A295:A1764, 'Data Cleaning'!E295:E1764)</f>
        <v>Single</v>
      </c>
      <c r="F295" t="str">
        <f>_xlfn.XLOOKUP(A295,'Data Cleaning'!A295:A1764, 'Data Cleaning'!F295:F1764)</f>
        <v>None</v>
      </c>
      <c r="G295" s="3" t="str">
        <f>_xlfn.XLOOKUP(A295,'Data Cleaning'!A295:A1764, 'Data Cleaning'!J295:J1764)</f>
        <v>Recently promoted</v>
      </c>
    </row>
    <row r="296" spans="1:7" x14ac:dyDescent="0.25">
      <c r="A296" s="3">
        <v>934</v>
      </c>
      <c r="B296" s="3" t="str">
        <f>_xlfn.XLOOKUP(A296,'Data Cleaning'!A296:A1765, 'Data Cleaning'!I296:I1765)</f>
        <v>25-34</v>
      </c>
      <c r="C296">
        <f>_xlfn.XLOOKUP(A296,'Data Cleaning'!A296:A1765,'Data Cleaning'!K296:K1765)</f>
        <v>0</v>
      </c>
      <c r="D296" t="str">
        <f>_xlfn.XLOOKUP(A296,'Data Cleaning'!A296:A1765, 'Data Cleaning'!D296:D1765)</f>
        <v>Bachelor</v>
      </c>
      <c r="E296" s="3" t="str">
        <f>_xlfn.XLOOKUP(A296,'Data Cleaning'!A296:A1765, 'Data Cleaning'!E296:E1765)</f>
        <v>Divorced</v>
      </c>
      <c r="F296" t="str">
        <f>_xlfn.XLOOKUP(A296,'Data Cleaning'!A296:A1765, 'Data Cleaning'!F296:F1765)</f>
        <v>Mid</v>
      </c>
      <c r="G296" s="3" t="str">
        <f>_xlfn.XLOOKUP(A296,'Data Cleaning'!A296:A1765, 'Data Cleaning'!J296:J1765)</f>
        <v>Recently promoted</v>
      </c>
    </row>
    <row r="297" spans="1:7" x14ac:dyDescent="0.25">
      <c r="A297" s="3">
        <v>715</v>
      </c>
      <c r="B297" s="3" t="str">
        <f>_xlfn.XLOOKUP(A297,'Data Cleaning'!A297:A1766, 'Data Cleaning'!I297:I1766)</f>
        <v>35-44</v>
      </c>
      <c r="C297">
        <f>_xlfn.XLOOKUP(A297,'Data Cleaning'!A297:A1766,'Data Cleaning'!K297:K1766)</f>
        <v>0</v>
      </c>
      <c r="D297" t="str">
        <f>_xlfn.XLOOKUP(A297,'Data Cleaning'!A297:A1766, 'Data Cleaning'!D297:D1766)</f>
        <v>College</v>
      </c>
      <c r="E297" s="3" t="str">
        <f>_xlfn.XLOOKUP(A297,'Data Cleaning'!A297:A1766, 'Data Cleaning'!E297:E1766)</f>
        <v>Single</v>
      </c>
      <c r="F297" t="str">
        <f>_xlfn.XLOOKUP(A297,'Data Cleaning'!A297:A1766, 'Data Cleaning'!F297:F1766)</f>
        <v>None</v>
      </c>
      <c r="G297" s="3" t="str">
        <f>_xlfn.XLOOKUP(A297,'Data Cleaning'!A297:A1766, 'Data Cleaning'!J297:J1766)</f>
        <v>Recently promoted</v>
      </c>
    </row>
    <row r="298" spans="1:7" x14ac:dyDescent="0.25">
      <c r="A298" s="3">
        <v>1030</v>
      </c>
      <c r="B298" s="3" t="str">
        <f>_xlfn.XLOOKUP(A298,'Data Cleaning'!A298:A1767, 'Data Cleaning'!I298:I1767)</f>
        <v>45-54</v>
      </c>
      <c r="C298">
        <f>_xlfn.XLOOKUP(A298,'Data Cleaning'!A298:A1767,'Data Cleaning'!K298:K1767)</f>
        <v>0</v>
      </c>
      <c r="D298" t="str">
        <f>_xlfn.XLOOKUP(A298,'Data Cleaning'!A298:A1767, 'Data Cleaning'!D298:D1767)</f>
        <v>Bachelor</v>
      </c>
      <c r="E298" s="3" t="str">
        <f>_xlfn.XLOOKUP(A298,'Data Cleaning'!A298:A1767, 'Data Cleaning'!E298:E1767)</f>
        <v>Married</v>
      </c>
      <c r="F298" t="str">
        <f>_xlfn.XLOOKUP(A298,'Data Cleaning'!A298:A1767, 'Data Cleaning'!F298:F1767)</f>
        <v>None</v>
      </c>
      <c r="G298" s="3" t="str">
        <f>_xlfn.XLOOKUP(A298,'Data Cleaning'!A298:A1767, 'Data Cleaning'!J298:J1767)</f>
        <v>Recently promoted</v>
      </c>
    </row>
    <row r="299" spans="1:7" x14ac:dyDescent="0.25">
      <c r="A299" s="3">
        <v>1687</v>
      </c>
      <c r="B299" s="3" t="str">
        <f>_xlfn.XLOOKUP(A299,'Data Cleaning'!A299:A1768, 'Data Cleaning'!I299:I1768)</f>
        <v>35-44</v>
      </c>
      <c r="C299">
        <f>_xlfn.XLOOKUP(A299,'Data Cleaning'!A299:A1768,'Data Cleaning'!K299:K1768)</f>
        <v>0</v>
      </c>
      <c r="D299" t="str">
        <f>_xlfn.XLOOKUP(A299,'Data Cleaning'!A299:A1768, 'Data Cleaning'!D299:D1768)</f>
        <v>College</v>
      </c>
      <c r="E299" s="3" t="str">
        <f>_xlfn.XLOOKUP(A299,'Data Cleaning'!A299:A1768, 'Data Cleaning'!E299:E1768)</f>
        <v>Married</v>
      </c>
      <c r="F299" t="str">
        <f>_xlfn.XLOOKUP(A299,'Data Cleaning'!A299:A1768, 'Data Cleaning'!F299:F1768)</f>
        <v>Low</v>
      </c>
      <c r="G299" s="3" t="str">
        <f>_xlfn.XLOOKUP(A299,'Data Cleaning'!A299:A1768, 'Data Cleaning'!J299:J1768)</f>
        <v>Recently promoted</v>
      </c>
    </row>
    <row r="300" spans="1:7" x14ac:dyDescent="0.25">
      <c r="A300" s="3">
        <v>643</v>
      </c>
      <c r="B300" s="3" t="str">
        <f>_xlfn.XLOOKUP(A300,'Data Cleaning'!A300:A1769, 'Data Cleaning'!I300:I1769)</f>
        <v>18-24</v>
      </c>
      <c r="C300">
        <f>_xlfn.XLOOKUP(A300,'Data Cleaning'!A300:A1769,'Data Cleaning'!K300:K1769)</f>
        <v>0</v>
      </c>
      <c r="D300" t="str">
        <f>_xlfn.XLOOKUP(A300,'Data Cleaning'!A300:A1769, 'Data Cleaning'!D300:D1769)</f>
        <v>College</v>
      </c>
      <c r="E300" s="3" t="str">
        <f>_xlfn.XLOOKUP(A300,'Data Cleaning'!A300:A1769, 'Data Cleaning'!E300:E1769)</f>
        <v>Married</v>
      </c>
      <c r="F300" t="str">
        <f>_xlfn.XLOOKUP(A300,'Data Cleaning'!A300:A1769, 'Data Cleaning'!F300:F1769)</f>
        <v>Low</v>
      </c>
      <c r="G300" s="3" t="str">
        <f>_xlfn.XLOOKUP(A300,'Data Cleaning'!A300:A1769, 'Data Cleaning'!J300:J1769)</f>
        <v>Recently promoted</v>
      </c>
    </row>
    <row r="301" spans="1:7" x14ac:dyDescent="0.25">
      <c r="A301" s="3">
        <v>749</v>
      </c>
      <c r="B301" s="3" t="str">
        <f>_xlfn.XLOOKUP(A301,'Data Cleaning'!A301:A1770, 'Data Cleaning'!I301:I1770)</f>
        <v>25-34</v>
      </c>
      <c r="C301">
        <f>_xlfn.XLOOKUP(A301,'Data Cleaning'!A301:A1770,'Data Cleaning'!K301:K1770)</f>
        <v>0</v>
      </c>
      <c r="D301" t="str">
        <f>_xlfn.XLOOKUP(A301,'Data Cleaning'!A301:A1770, 'Data Cleaning'!D301:D1770)</f>
        <v>Bachelor</v>
      </c>
      <c r="E301" s="3" t="str">
        <f>_xlfn.XLOOKUP(A301,'Data Cleaning'!A301:A1770, 'Data Cleaning'!E301:E1770)</f>
        <v>Single</v>
      </c>
      <c r="F301" t="str">
        <f>_xlfn.XLOOKUP(A301,'Data Cleaning'!A301:A1770, 'Data Cleaning'!F301:F1770)</f>
        <v>None</v>
      </c>
      <c r="G301" s="3" t="str">
        <f>_xlfn.XLOOKUP(A301,'Data Cleaning'!A301:A1770, 'Data Cleaning'!J301:J1770)</f>
        <v>Recently promoted</v>
      </c>
    </row>
    <row r="302" spans="1:7" x14ac:dyDescent="0.25">
      <c r="A302" s="3">
        <v>1368</v>
      </c>
      <c r="B302" s="3" t="str">
        <f>_xlfn.XLOOKUP(A302,'Data Cleaning'!A302:A1771, 'Data Cleaning'!I302:I1771)</f>
        <v>18-24</v>
      </c>
      <c r="C302">
        <f>_xlfn.XLOOKUP(A302,'Data Cleaning'!A302:A1771,'Data Cleaning'!K302:K1771)</f>
        <v>0</v>
      </c>
      <c r="D302" t="str">
        <f>_xlfn.XLOOKUP(A302,'Data Cleaning'!A302:A1771, 'Data Cleaning'!D302:D1771)</f>
        <v>Bachelor</v>
      </c>
      <c r="E302" s="3" t="str">
        <f>_xlfn.XLOOKUP(A302,'Data Cleaning'!A302:A1771, 'Data Cleaning'!E302:E1771)</f>
        <v>Single</v>
      </c>
      <c r="F302" t="str">
        <f>_xlfn.XLOOKUP(A302,'Data Cleaning'!A302:A1771, 'Data Cleaning'!F302:F1771)</f>
        <v>None</v>
      </c>
      <c r="G302" s="3" t="str">
        <f>_xlfn.XLOOKUP(A302,'Data Cleaning'!A302:A1771, 'Data Cleaning'!J302:J1771)</f>
        <v>Recently promoted</v>
      </c>
    </row>
    <row r="303" spans="1:7" x14ac:dyDescent="0.25">
      <c r="A303" s="3">
        <v>2012</v>
      </c>
      <c r="B303" s="3" t="str">
        <f>_xlfn.XLOOKUP(A303,'Data Cleaning'!A303:A1772, 'Data Cleaning'!I303:I1772)</f>
        <v>35-44</v>
      </c>
      <c r="C303">
        <f>_xlfn.XLOOKUP(A303,'Data Cleaning'!A303:A1772,'Data Cleaning'!K303:K1772)</f>
        <v>0</v>
      </c>
      <c r="D303" t="str">
        <f>_xlfn.XLOOKUP(A303,'Data Cleaning'!A303:A1772, 'Data Cleaning'!D303:D1772)</f>
        <v>Master</v>
      </c>
      <c r="E303" s="3" t="str">
        <f>_xlfn.XLOOKUP(A303,'Data Cleaning'!A303:A1772, 'Data Cleaning'!E303:E1772)</f>
        <v>Married</v>
      </c>
      <c r="F303" t="str">
        <f>_xlfn.XLOOKUP(A303,'Data Cleaning'!A303:A1772, 'Data Cleaning'!F303:F1772)</f>
        <v>Mid</v>
      </c>
      <c r="G303" s="3" t="str">
        <f>_xlfn.XLOOKUP(A303,'Data Cleaning'!A303:A1772, 'Data Cleaning'!J303:J1772)</f>
        <v>Recently promoted</v>
      </c>
    </row>
    <row r="304" spans="1:7" x14ac:dyDescent="0.25">
      <c r="A304" s="3">
        <v>1865</v>
      </c>
      <c r="B304" s="3" t="str">
        <f>_xlfn.XLOOKUP(A304,'Data Cleaning'!A304:A1773, 'Data Cleaning'!I304:I1773)</f>
        <v>25-34</v>
      </c>
      <c r="C304">
        <f>_xlfn.XLOOKUP(A304,'Data Cleaning'!A304:A1773,'Data Cleaning'!K304:K1773)</f>
        <v>0</v>
      </c>
      <c r="D304" t="str">
        <f>_xlfn.XLOOKUP(A304,'Data Cleaning'!A304:A1773, 'Data Cleaning'!D304:D1773)</f>
        <v>Below College</v>
      </c>
      <c r="E304" s="3" t="str">
        <f>_xlfn.XLOOKUP(A304,'Data Cleaning'!A304:A1773, 'Data Cleaning'!E304:E1773)</f>
        <v>Married</v>
      </c>
      <c r="F304" t="str">
        <f>_xlfn.XLOOKUP(A304,'Data Cleaning'!A304:A1773, 'Data Cleaning'!F304:F1773)</f>
        <v>None</v>
      </c>
      <c r="G304" s="3" t="str">
        <f>_xlfn.XLOOKUP(A304,'Data Cleaning'!A304:A1773, 'Data Cleaning'!J304:J1773)</f>
        <v>Recently promoted</v>
      </c>
    </row>
    <row r="305" spans="1:7" x14ac:dyDescent="0.25">
      <c r="A305" s="3">
        <v>411</v>
      </c>
      <c r="B305" s="3" t="str">
        <f>_xlfn.XLOOKUP(A305,'Data Cleaning'!A305:A1774, 'Data Cleaning'!I305:I1774)</f>
        <v>18-24</v>
      </c>
      <c r="C305">
        <f>_xlfn.XLOOKUP(A305,'Data Cleaning'!A305:A1774,'Data Cleaning'!K305:K1774)</f>
        <v>0</v>
      </c>
      <c r="D305" t="str">
        <f>_xlfn.XLOOKUP(A305,'Data Cleaning'!A305:A1774, 'Data Cleaning'!D305:D1774)</f>
        <v>Bachelor</v>
      </c>
      <c r="E305" s="3" t="str">
        <f>_xlfn.XLOOKUP(A305,'Data Cleaning'!A305:A1774, 'Data Cleaning'!E305:E1774)</f>
        <v>Single</v>
      </c>
      <c r="F305" t="str">
        <f>_xlfn.XLOOKUP(A305,'Data Cleaning'!A305:A1774, 'Data Cleaning'!F305:F1774)</f>
        <v>None</v>
      </c>
      <c r="G305" s="3" t="str">
        <f>_xlfn.XLOOKUP(A305,'Data Cleaning'!A305:A1774, 'Data Cleaning'!J305:J1774)</f>
        <v>Recently promoted</v>
      </c>
    </row>
    <row r="306" spans="1:7" x14ac:dyDescent="0.25">
      <c r="A306" s="3">
        <v>556</v>
      </c>
      <c r="B306" s="3" t="str">
        <f>_xlfn.XLOOKUP(A306,'Data Cleaning'!A306:A1775, 'Data Cleaning'!I306:I1775)</f>
        <v>35-44</v>
      </c>
      <c r="C306">
        <f>_xlfn.XLOOKUP(A306,'Data Cleaning'!A306:A1775,'Data Cleaning'!K306:K1775)</f>
        <v>0</v>
      </c>
      <c r="D306" t="str">
        <f>_xlfn.XLOOKUP(A306,'Data Cleaning'!A306:A1775, 'Data Cleaning'!D306:D1775)</f>
        <v>College</v>
      </c>
      <c r="E306" s="3" t="str">
        <f>_xlfn.XLOOKUP(A306,'Data Cleaning'!A306:A1775, 'Data Cleaning'!E306:E1775)</f>
        <v>Married</v>
      </c>
      <c r="F306" t="str">
        <f>_xlfn.XLOOKUP(A306,'Data Cleaning'!A306:A1775, 'Data Cleaning'!F306:F1775)</f>
        <v>Low</v>
      </c>
      <c r="G306" s="3" t="str">
        <f>_xlfn.XLOOKUP(A306,'Data Cleaning'!A306:A1775, 'Data Cleaning'!J306:J1775)</f>
        <v>Recently promoted</v>
      </c>
    </row>
    <row r="307" spans="1:7" x14ac:dyDescent="0.25">
      <c r="A307" s="3">
        <v>1158</v>
      </c>
      <c r="B307" s="3" t="str">
        <f>_xlfn.XLOOKUP(A307,'Data Cleaning'!A307:A1776, 'Data Cleaning'!I307:I1776)</f>
        <v>35-44</v>
      </c>
      <c r="C307">
        <f>_xlfn.XLOOKUP(A307,'Data Cleaning'!A307:A1776,'Data Cleaning'!K307:K1776)</f>
        <v>0</v>
      </c>
      <c r="D307" t="str">
        <f>_xlfn.XLOOKUP(A307,'Data Cleaning'!A307:A1776, 'Data Cleaning'!D307:D1776)</f>
        <v>Master</v>
      </c>
      <c r="E307" s="3" t="str">
        <f>_xlfn.XLOOKUP(A307,'Data Cleaning'!A307:A1776, 'Data Cleaning'!E307:E1776)</f>
        <v>Married</v>
      </c>
      <c r="F307" t="str">
        <f>_xlfn.XLOOKUP(A307,'Data Cleaning'!A307:A1776, 'Data Cleaning'!F307:F1776)</f>
        <v>Low</v>
      </c>
      <c r="G307" s="3" t="str">
        <f>_xlfn.XLOOKUP(A307,'Data Cleaning'!A307:A1776, 'Data Cleaning'!J307:J1776)</f>
        <v>Recently promoted</v>
      </c>
    </row>
    <row r="308" spans="1:7" x14ac:dyDescent="0.25">
      <c r="A308" s="3">
        <v>1055</v>
      </c>
      <c r="B308" s="3" t="str">
        <f>_xlfn.XLOOKUP(A308,'Data Cleaning'!A308:A1777, 'Data Cleaning'!I308:I1777)</f>
        <v>25-34</v>
      </c>
      <c r="C308">
        <f>_xlfn.XLOOKUP(A308,'Data Cleaning'!A308:A1777,'Data Cleaning'!K308:K1777)</f>
        <v>0</v>
      </c>
      <c r="D308" t="str">
        <f>_xlfn.XLOOKUP(A308,'Data Cleaning'!A308:A1777, 'Data Cleaning'!D308:D1777)</f>
        <v>Master</v>
      </c>
      <c r="E308" s="3" t="str">
        <f>_xlfn.XLOOKUP(A308,'Data Cleaning'!A308:A1777, 'Data Cleaning'!E308:E1777)</f>
        <v>Married</v>
      </c>
      <c r="F308" t="str">
        <f>_xlfn.XLOOKUP(A308,'Data Cleaning'!A308:A1777, 'Data Cleaning'!F308:F1777)</f>
        <v>Low</v>
      </c>
      <c r="G308" s="3" t="str">
        <f>_xlfn.XLOOKUP(A308,'Data Cleaning'!A308:A1777, 'Data Cleaning'!J308:J1777)</f>
        <v>Recently promoted</v>
      </c>
    </row>
    <row r="309" spans="1:7" x14ac:dyDescent="0.25">
      <c r="A309" s="3">
        <v>10</v>
      </c>
      <c r="B309" s="3" t="str">
        <f>_xlfn.XLOOKUP(A309,'Data Cleaning'!A309:A1778, 'Data Cleaning'!I309:I1778)</f>
        <v>55-60</v>
      </c>
      <c r="C309">
        <f>_xlfn.XLOOKUP(A309,'Data Cleaning'!A309:A1778,'Data Cleaning'!K309:K1778)</f>
        <v>0</v>
      </c>
      <c r="D309" t="str">
        <f>_xlfn.XLOOKUP(A309,'Data Cleaning'!A309:A1778, 'Data Cleaning'!D309:D1778)</f>
        <v>Bachelor</v>
      </c>
      <c r="E309" s="3" t="str">
        <f>_xlfn.XLOOKUP(A309,'Data Cleaning'!A309:A1778, 'Data Cleaning'!E309:E1778)</f>
        <v>Married</v>
      </c>
      <c r="F309" t="str">
        <f>_xlfn.XLOOKUP(A309,'Data Cleaning'!A309:A1778, 'Data Cleaning'!F309:F1778)</f>
        <v>High</v>
      </c>
      <c r="G309" s="3" t="str">
        <f>_xlfn.XLOOKUP(A309,'Data Cleaning'!A309:A1778, 'Data Cleaning'!J309:J1778)</f>
        <v>Recently promoted</v>
      </c>
    </row>
    <row r="310" spans="1:7" x14ac:dyDescent="0.25">
      <c r="A310" s="3">
        <v>1974</v>
      </c>
      <c r="B310" s="3" t="str">
        <f>_xlfn.XLOOKUP(A310,'Data Cleaning'!A310:A1779, 'Data Cleaning'!I310:I1779)</f>
        <v>25-34</v>
      </c>
      <c r="C310">
        <f>_xlfn.XLOOKUP(A310,'Data Cleaning'!A310:A1779,'Data Cleaning'!K310:K1779)</f>
        <v>0</v>
      </c>
      <c r="D310" t="str">
        <f>_xlfn.XLOOKUP(A310,'Data Cleaning'!A310:A1779, 'Data Cleaning'!D310:D1779)</f>
        <v>Below College</v>
      </c>
      <c r="E310" s="3" t="str">
        <f>_xlfn.XLOOKUP(A310,'Data Cleaning'!A310:A1779, 'Data Cleaning'!E310:E1779)</f>
        <v>Divorced</v>
      </c>
      <c r="F310" t="str">
        <f>_xlfn.XLOOKUP(A310,'Data Cleaning'!A310:A1779, 'Data Cleaning'!F310:F1779)</f>
        <v>High</v>
      </c>
      <c r="G310" s="3" t="str">
        <f>_xlfn.XLOOKUP(A310,'Data Cleaning'!A310:A1779, 'Data Cleaning'!J310:J1779)</f>
        <v>Recently promoted</v>
      </c>
    </row>
    <row r="311" spans="1:7" x14ac:dyDescent="0.25">
      <c r="A311" s="3">
        <v>22</v>
      </c>
      <c r="B311" s="3" t="str">
        <f>_xlfn.XLOOKUP(A311,'Data Cleaning'!A311:A1780, 'Data Cleaning'!I311:I1780)</f>
        <v>18-24</v>
      </c>
      <c r="C311">
        <f>_xlfn.XLOOKUP(A311,'Data Cleaning'!A311:A1780,'Data Cleaning'!K311:K1780)</f>
        <v>0</v>
      </c>
      <c r="D311" t="str">
        <f>_xlfn.XLOOKUP(A311,'Data Cleaning'!A311:A1780, 'Data Cleaning'!D311:D1780)</f>
        <v>College</v>
      </c>
      <c r="E311" s="3" t="str">
        <f>_xlfn.XLOOKUP(A311,'Data Cleaning'!A311:A1780, 'Data Cleaning'!E311:E1780)</f>
        <v>Divorced</v>
      </c>
      <c r="F311" t="str">
        <f>_xlfn.XLOOKUP(A311,'Data Cleaning'!A311:A1780, 'Data Cleaning'!F311:F1780)</f>
        <v>Mid</v>
      </c>
      <c r="G311" s="3" t="str">
        <f>_xlfn.XLOOKUP(A311,'Data Cleaning'!A311:A1780, 'Data Cleaning'!J311:J1780)</f>
        <v>Recently promoted</v>
      </c>
    </row>
    <row r="312" spans="1:7" x14ac:dyDescent="0.25">
      <c r="A312" s="3">
        <v>964</v>
      </c>
      <c r="B312" s="3" t="str">
        <f>_xlfn.XLOOKUP(A312,'Data Cleaning'!A312:A1781, 'Data Cleaning'!I312:I1781)</f>
        <v>35-44</v>
      </c>
      <c r="C312">
        <f>_xlfn.XLOOKUP(A312,'Data Cleaning'!A312:A1781,'Data Cleaning'!K312:K1781)</f>
        <v>0</v>
      </c>
      <c r="D312" t="str">
        <f>_xlfn.XLOOKUP(A312,'Data Cleaning'!A312:A1781, 'Data Cleaning'!D312:D1781)</f>
        <v>Master</v>
      </c>
      <c r="E312" s="3" t="str">
        <f>_xlfn.XLOOKUP(A312,'Data Cleaning'!A312:A1781, 'Data Cleaning'!E312:E1781)</f>
        <v>Divorced</v>
      </c>
      <c r="F312" t="str">
        <f>_xlfn.XLOOKUP(A312,'Data Cleaning'!A312:A1781, 'Data Cleaning'!F312:F1781)</f>
        <v>Low</v>
      </c>
      <c r="G312" s="3" t="str">
        <f>_xlfn.XLOOKUP(A312,'Data Cleaning'!A312:A1781, 'Data Cleaning'!J312:J1781)</f>
        <v>Recently promoted</v>
      </c>
    </row>
    <row r="313" spans="1:7" x14ac:dyDescent="0.25">
      <c r="A313" s="3">
        <v>51</v>
      </c>
      <c r="B313" s="3" t="str">
        <f>_xlfn.XLOOKUP(A313,'Data Cleaning'!A313:A1782, 'Data Cleaning'!I313:I1782)</f>
        <v>35-44</v>
      </c>
      <c r="C313">
        <f>_xlfn.XLOOKUP(A313,'Data Cleaning'!A313:A1782,'Data Cleaning'!K313:K1782)</f>
        <v>0</v>
      </c>
      <c r="D313" t="str">
        <f>_xlfn.XLOOKUP(A313,'Data Cleaning'!A313:A1782, 'Data Cleaning'!D313:D1782)</f>
        <v>Master</v>
      </c>
      <c r="E313" s="3" t="str">
        <f>_xlfn.XLOOKUP(A313,'Data Cleaning'!A313:A1782, 'Data Cleaning'!E313:E1782)</f>
        <v>Married</v>
      </c>
      <c r="F313" t="str">
        <f>_xlfn.XLOOKUP(A313,'Data Cleaning'!A313:A1782, 'Data Cleaning'!F313:F1782)</f>
        <v>Low</v>
      </c>
      <c r="G313" s="3" t="str">
        <f>_xlfn.XLOOKUP(A313,'Data Cleaning'!A313:A1782, 'Data Cleaning'!J313:J1782)</f>
        <v>Recently promoted</v>
      </c>
    </row>
    <row r="314" spans="1:7" x14ac:dyDescent="0.25">
      <c r="A314" s="3">
        <v>1893</v>
      </c>
      <c r="B314" s="3" t="str">
        <f>_xlfn.XLOOKUP(A314,'Data Cleaning'!A314:A1783, 'Data Cleaning'!I314:I1783)</f>
        <v>25-34</v>
      </c>
      <c r="C314">
        <f>_xlfn.XLOOKUP(A314,'Data Cleaning'!A314:A1783,'Data Cleaning'!K314:K1783)</f>
        <v>0</v>
      </c>
      <c r="D314" t="str">
        <f>_xlfn.XLOOKUP(A314,'Data Cleaning'!A314:A1783, 'Data Cleaning'!D314:D1783)</f>
        <v>College</v>
      </c>
      <c r="E314" s="3" t="str">
        <f>_xlfn.XLOOKUP(A314,'Data Cleaning'!A314:A1783, 'Data Cleaning'!E314:E1783)</f>
        <v>Married</v>
      </c>
      <c r="F314" t="str">
        <f>_xlfn.XLOOKUP(A314,'Data Cleaning'!A314:A1783, 'Data Cleaning'!F314:F1783)</f>
        <v>Low</v>
      </c>
      <c r="G314" s="3" t="str">
        <f>_xlfn.XLOOKUP(A314,'Data Cleaning'!A314:A1783, 'Data Cleaning'!J314:J1783)</f>
        <v>Recently promoted</v>
      </c>
    </row>
    <row r="315" spans="1:7" x14ac:dyDescent="0.25">
      <c r="A315" s="3">
        <v>773</v>
      </c>
      <c r="B315" s="3" t="str">
        <f>_xlfn.XLOOKUP(A315,'Data Cleaning'!A315:A1784, 'Data Cleaning'!I315:I1784)</f>
        <v>35-44</v>
      </c>
      <c r="C315">
        <f>_xlfn.XLOOKUP(A315,'Data Cleaning'!A315:A1784,'Data Cleaning'!K315:K1784)</f>
        <v>0</v>
      </c>
      <c r="D315" t="str">
        <f>_xlfn.XLOOKUP(A315,'Data Cleaning'!A315:A1784, 'Data Cleaning'!D315:D1784)</f>
        <v>Doctor</v>
      </c>
      <c r="E315" s="3" t="str">
        <f>_xlfn.XLOOKUP(A315,'Data Cleaning'!A315:A1784, 'Data Cleaning'!E315:E1784)</f>
        <v>Married</v>
      </c>
      <c r="F315" t="str">
        <f>_xlfn.XLOOKUP(A315,'Data Cleaning'!A315:A1784, 'Data Cleaning'!F315:F1784)</f>
        <v>Low</v>
      </c>
      <c r="G315" s="3" t="str">
        <f>_xlfn.XLOOKUP(A315,'Data Cleaning'!A315:A1784, 'Data Cleaning'!J315:J1784)</f>
        <v>Recently promoted</v>
      </c>
    </row>
    <row r="316" spans="1:7" x14ac:dyDescent="0.25">
      <c r="A316" s="3">
        <v>214</v>
      </c>
      <c r="B316" s="3" t="str">
        <f>_xlfn.XLOOKUP(A316,'Data Cleaning'!A316:A1785, 'Data Cleaning'!I316:I1785)</f>
        <v>55-60</v>
      </c>
      <c r="C316">
        <f>_xlfn.XLOOKUP(A316,'Data Cleaning'!A316:A1785,'Data Cleaning'!K316:K1785)</f>
        <v>0</v>
      </c>
      <c r="D316" t="str">
        <f>_xlfn.XLOOKUP(A316,'Data Cleaning'!A316:A1785, 'Data Cleaning'!D316:D1785)</f>
        <v>Bachelor</v>
      </c>
      <c r="E316" s="3" t="str">
        <f>_xlfn.XLOOKUP(A316,'Data Cleaning'!A316:A1785, 'Data Cleaning'!E316:E1785)</f>
        <v>Married</v>
      </c>
      <c r="F316" t="str">
        <f>_xlfn.XLOOKUP(A316,'Data Cleaning'!A316:A1785, 'Data Cleaning'!F316:F1785)</f>
        <v>Low</v>
      </c>
      <c r="G316" s="3" t="str">
        <f>_xlfn.XLOOKUP(A316,'Data Cleaning'!A316:A1785, 'Data Cleaning'!J316:J1785)</f>
        <v>Recently promoted</v>
      </c>
    </row>
    <row r="317" spans="1:7" x14ac:dyDescent="0.25">
      <c r="A317" s="3">
        <v>947</v>
      </c>
      <c r="B317" s="3" t="str">
        <f>_xlfn.XLOOKUP(A317,'Data Cleaning'!A317:A1786, 'Data Cleaning'!I317:I1786)</f>
        <v>25-34</v>
      </c>
      <c r="C317">
        <f>_xlfn.XLOOKUP(A317,'Data Cleaning'!A317:A1786,'Data Cleaning'!K317:K1786)</f>
        <v>0</v>
      </c>
      <c r="D317" t="str">
        <f>_xlfn.XLOOKUP(A317,'Data Cleaning'!A317:A1786, 'Data Cleaning'!D317:D1786)</f>
        <v>College</v>
      </c>
      <c r="E317" s="3" t="str">
        <f>_xlfn.XLOOKUP(A317,'Data Cleaning'!A317:A1786, 'Data Cleaning'!E317:E1786)</f>
        <v>Married</v>
      </c>
      <c r="F317" t="str">
        <f>_xlfn.XLOOKUP(A317,'Data Cleaning'!A317:A1786, 'Data Cleaning'!F317:F1786)</f>
        <v>Low</v>
      </c>
      <c r="G317" s="3" t="str">
        <f>_xlfn.XLOOKUP(A317,'Data Cleaning'!A317:A1786, 'Data Cleaning'!J317:J1786)</f>
        <v>Recently promoted</v>
      </c>
    </row>
    <row r="318" spans="1:7" x14ac:dyDescent="0.25">
      <c r="A318" s="3">
        <v>448</v>
      </c>
      <c r="B318" s="3" t="str">
        <f>_xlfn.XLOOKUP(A318,'Data Cleaning'!A318:A1787, 'Data Cleaning'!I318:I1787)</f>
        <v>35-44</v>
      </c>
      <c r="C318">
        <f>_xlfn.XLOOKUP(A318,'Data Cleaning'!A318:A1787,'Data Cleaning'!K318:K1787)</f>
        <v>0</v>
      </c>
      <c r="D318" t="str">
        <f>_xlfn.XLOOKUP(A318,'Data Cleaning'!A318:A1787, 'Data Cleaning'!D318:D1787)</f>
        <v>Master</v>
      </c>
      <c r="E318" s="3" t="str">
        <f>_xlfn.XLOOKUP(A318,'Data Cleaning'!A318:A1787, 'Data Cleaning'!E318:E1787)</f>
        <v>Divorced</v>
      </c>
      <c r="F318" t="str">
        <f>_xlfn.XLOOKUP(A318,'Data Cleaning'!A318:A1787, 'Data Cleaning'!F318:F1787)</f>
        <v>Low</v>
      </c>
      <c r="G318" s="3" t="str">
        <f>_xlfn.XLOOKUP(A318,'Data Cleaning'!A318:A1787, 'Data Cleaning'!J318:J1787)</f>
        <v>Recently promoted</v>
      </c>
    </row>
    <row r="319" spans="1:7" x14ac:dyDescent="0.25">
      <c r="A319" s="3">
        <v>867</v>
      </c>
      <c r="B319" s="3" t="str">
        <f>_xlfn.XLOOKUP(A319,'Data Cleaning'!A319:A1788, 'Data Cleaning'!I319:I1788)</f>
        <v>45-54</v>
      </c>
      <c r="C319">
        <f>_xlfn.XLOOKUP(A319,'Data Cleaning'!A319:A1788,'Data Cleaning'!K319:K1788)</f>
        <v>0</v>
      </c>
      <c r="D319" t="str">
        <f>_xlfn.XLOOKUP(A319,'Data Cleaning'!A319:A1788, 'Data Cleaning'!D319:D1788)</f>
        <v>Master</v>
      </c>
      <c r="E319" s="3" t="str">
        <f>_xlfn.XLOOKUP(A319,'Data Cleaning'!A319:A1788, 'Data Cleaning'!E319:E1788)</f>
        <v>Married</v>
      </c>
      <c r="F319" t="str">
        <f>_xlfn.XLOOKUP(A319,'Data Cleaning'!A319:A1788, 'Data Cleaning'!F319:F1788)</f>
        <v>None</v>
      </c>
      <c r="G319" s="3" t="str">
        <f>_xlfn.XLOOKUP(A319,'Data Cleaning'!A319:A1788, 'Data Cleaning'!J319:J1788)</f>
        <v>Recently promoted</v>
      </c>
    </row>
    <row r="320" spans="1:7" x14ac:dyDescent="0.25">
      <c r="A320" s="3">
        <v>1369</v>
      </c>
      <c r="B320" s="3" t="str">
        <f>_xlfn.XLOOKUP(A320,'Data Cleaning'!A320:A1789, 'Data Cleaning'!I320:I1789)</f>
        <v>35-44</v>
      </c>
      <c r="C320">
        <f>_xlfn.XLOOKUP(A320,'Data Cleaning'!A320:A1789,'Data Cleaning'!K320:K1789)</f>
        <v>0</v>
      </c>
      <c r="D320" t="str">
        <f>_xlfn.XLOOKUP(A320,'Data Cleaning'!A320:A1789, 'Data Cleaning'!D320:D1789)</f>
        <v>Bachelor</v>
      </c>
      <c r="E320" s="3" t="str">
        <f>_xlfn.XLOOKUP(A320,'Data Cleaning'!A320:A1789, 'Data Cleaning'!E320:E1789)</f>
        <v>Married</v>
      </c>
      <c r="F320" t="str">
        <f>_xlfn.XLOOKUP(A320,'Data Cleaning'!A320:A1789, 'Data Cleaning'!F320:F1789)</f>
        <v>Low</v>
      </c>
      <c r="G320" s="3" t="str">
        <f>_xlfn.XLOOKUP(A320,'Data Cleaning'!A320:A1789, 'Data Cleaning'!J320:J1789)</f>
        <v>Recently promoted</v>
      </c>
    </row>
    <row r="321" spans="1:7" x14ac:dyDescent="0.25">
      <c r="A321" s="3">
        <v>1677</v>
      </c>
      <c r="B321" s="3" t="str">
        <f>_xlfn.XLOOKUP(A321,'Data Cleaning'!A321:A1790, 'Data Cleaning'!I321:I1790)</f>
        <v>45-54</v>
      </c>
      <c r="C321">
        <f>_xlfn.XLOOKUP(A321,'Data Cleaning'!A321:A1790,'Data Cleaning'!K321:K1790)</f>
        <v>0</v>
      </c>
      <c r="D321" t="str">
        <f>_xlfn.XLOOKUP(A321,'Data Cleaning'!A321:A1790, 'Data Cleaning'!D321:D1790)</f>
        <v>Bachelor</v>
      </c>
      <c r="E321" s="3" t="str">
        <f>_xlfn.XLOOKUP(A321,'Data Cleaning'!A321:A1790, 'Data Cleaning'!E321:E1790)</f>
        <v>Single</v>
      </c>
      <c r="F321" t="str">
        <f>_xlfn.XLOOKUP(A321,'Data Cleaning'!A321:A1790, 'Data Cleaning'!F321:F1790)</f>
        <v>None</v>
      </c>
      <c r="G321" s="3" t="str">
        <f>_xlfn.XLOOKUP(A321,'Data Cleaning'!A321:A1790, 'Data Cleaning'!J321:J1790)</f>
        <v>Recently promoted</v>
      </c>
    </row>
    <row r="322" spans="1:7" x14ac:dyDescent="0.25">
      <c r="A322" s="3">
        <v>586</v>
      </c>
      <c r="B322" s="3" t="str">
        <f>_xlfn.XLOOKUP(A322,'Data Cleaning'!A322:A1791, 'Data Cleaning'!I322:I1791)</f>
        <v>35-44</v>
      </c>
      <c r="C322">
        <f>_xlfn.XLOOKUP(A322,'Data Cleaning'!A322:A1791,'Data Cleaning'!K322:K1791)</f>
        <v>0</v>
      </c>
      <c r="D322" t="str">
        <f>_xlfn.XLOOKUP(A322,'Data Cleaning'!A322:A1791, 'Data Cleaning'!D322:D1791)</f>
        <v>Bachelor</v>
      </c>
      <c r="E322" s="3" t="str">
        <f>_xlfn.XLOOKUP(A322,'Data Cleaning'!A322:A1791, 'Data Cleaning'!E322:E1791)</f>
        <v>Married</v>
      </c>
      <c r="F322" t="str">
        <f>_xlfn.XLOOKUP(A322,'Data Cleaning'!A322:A1791, 'Data Cleaning'!F322:F1791)</f>
        <v>None</v>
      </c>
      <c r="G322" s="3" t="str">
        <f>_xlfn.XLOOKUP(A322,'Data Cleaning'!A322:A1791, 'Data Cleaning'!J322:J1791)</f>
        <v>Recently promoted</v>
      </c>
    </row>
    <row r="323" spans="1:7" x14ac:dyDescent="0.25">
      <c r="A323" s="3">
        <v>1424</v>
      </c>
      <c r="B323" s="3" t="str">
        <f>_xlfn.XLOOKUP(A323,'Data Cleaning'!A323:A1792, 'Data Cleaning'!I323:I1792)</f>
        <v>55-60</v>
      </c>
      <c r="C323">
        <f>_xlfn.XLOOKUP(A323,'Data Cleaning'!A323:A1792,'Data Cleaning'!K323:K1792)</f>
        <v>0</v>
      </c>
      <c r="D323" t="str">
        <f>_xlfn.XLOOKUP(A323,'Data Cleaning'!A323:A1792, 'Data Cleaning'!D323:D1792)</f>
        <v>Master</v>
      </c>
      <c r="E323" s="3" t="str">
        <f>_xlfn.XLOOKUP(A323,'Data Cleaning'!A323:A1792, 'Data Cleaning'!E323:E1792)</f>
        <v>Divorced</v>
      </c>
      <c r="F323" t="str">
        <f>_xlfn.XLOOKUP(A323,'Data Cleaning'!A323:A1792, 'Data Cleaning'!F323:F1792)</f>
        <v>Mid</v>
      </c>
      <c r="G323" s="3" t="str">
        <f>_xlfn.XLOOKUP(A323,'Data Cleaning'!A323:A1792, 'Data Cleaning'!J323:J1792)</f>
        <v>Recently promoted</v>
      </c>
    </row>
    <row r="324" spans="1:7" x14ac:dyDescent="0.25">
      <c r="A324" s="3">
        <v>2045</v>
      </c>
      <c r="B324" s="3" t="str">
        <f>_xlfn.XLOOKUP(A324,'Data Cleaning'!A324:A1793, 'Data Cleaning'!I324:I1793)</f>
        <v>35-44</v>
      </c>
      <c r="C324">
        <f>_xlfn.XLOOKUP(A324,'Data Cleaning'!A324:A1793,'Data Cleaning'!K324:K1793)</f>
        <v>0</v>
      </c>
      <c r="D324" t="str">
        <f>_xlfn.XLOOKUP(A324,'Data Cleaning'!A324:A1793, 'Data Cleaning'!D324:D1793)</f>
        <v>Master</v>
      </c>
      <c r="E324" s="3" t="str">
        <f>_xlfn.XLOOKUP(A324,'Data Cleaning'!A324:A1793, 'Data Cleaning'!E324:E1793)</f>
        <v>Married</v>
      </c>
      <c r="F324" t="str">
        <f>_xlfn.XLOOKUP(A324,'Data Cleaning'!A324:A1793, 'Data Cleaning'!F324:F1793)</f>
        <v>Low</v>
      </c>
      <c r="G324" s="3" t="str">
        <f>_xlfn.XLOOKUP(A324,'Data Cleaning'!A324:A1793, 'Data Cleaning'!J324:J1793)</f>
        <v>Recently promoted</v>
      </c>
    </row>
    <row r="325" spans="1:7" x14ac:dyDescent="0.25">
      <c r="A325" s="3">
        <v>1371</v>
      </c>
      <c r="B325" s="3" t="str">
        <f>_xlfn.XLOOKUP(A325,'Data Cleaning'!A325:A1794, 'Data Cleaning'!I325:I1794)</f>
        <v>25-34</v>
      </c>
      <c r="C325">
        <f>_xlfn.XLOOKUP(A325,'Data Cleaning'!A325:A1794,'Data Cleaning'!K325:K1794)</f>
        <v>0</v>
      </c>
      <c r="D325" t="str">
        <f>_xlfn.XLOOKUP(A325,'Data Cleaning'!A325:A1794, 'Data Cleaning'!D325:D1794)</f>
        <v>Below College</v>
      </c>
      <c r="E325" s="3" t="str">
        <f>_xlfn.XLOOKUP(A325,'Data Cleaning'!A325:A1794, 'Data Cleaning'!E325:E1794)</f>
        <v>Single</v>
      </c>
      <c r="F325" t="str">
        <f>_xlfn.XLOOKUP(A325,'Data Cleaning'!A325:A1794, 'Data Cleaning'!F325:F1794)</f>
        <v>None</v>
      </c>
      <c r="G325" s="3" t="str">
        <f>_xlfn.XLOOKUP(A325,'Data Cleaning'!A325:A1794, 'Data Cleaning'!J325:J1794)</f>
        <v>Recently promoted</v>
      </c>
    </row>
    <row r="326" spans="1:7" x14ac:dyDescent="0.25">
      <c r="A326" s="3">
        <v>1516</v>
      </c>
      <c r="B326" s="3" t="str">
        <f>_xlfn.XLOOKUP(A326,'Data Cleaning'!A326:A1795, 'Data Cleaning'!I326:I1795)</f>
        <v>25-34</v>
      </c>
      <c r="C326">
        <f>_xlfn.XLOOKUP(A326,'Data Cleaning'!A326:A1795,'Data Cleaning'!K326:K1795)</f>
        <v>0</v>
      </c>
      <c r="D326" t="str">
        <f>_xlfn.XLOOKUP(A326,'Data Cleaning'!A326:A1795, 'Data Cleaning'!D326:D1795)</f>
        <v>Bachelor</v>
      </c>
      <c r="E326" s="3" t="str">
        <f>_xlfn.XLOOKUP(A326,'Data Cleaning'!A326:A1795, 'Data Cleaning'!E326:E1795)</f>
        <v>Single</v>
      </c>
      <c r="F326" t="str">
        <f>_xlfn.XLOOKUP(A326,'Data Cleaning'!A326:A1795, 'Data Cleaning'!F326:F1795)</f>
        <v>None</v>
      </c>
      <c r="G326" s="3" t="str">
        <f>_xlfn.XLOOKUP(A326,'Data Cleaning'!A326:A1795, 'Data Cleaning'!J326:J1795)</f>
        <v>Recently promoted</v>
      </c>
    </row>
    <row r="327" spans="1:7" x14ac:dyDescent="0.25">
      <c r="A327" s="3">
        <v>499</v>
      </c>
      <c r="B327" s="3" t="str">
        <f>_xlfn.XLOOKUP(A327,'Data Cleaning'!A327:A1796, 'Data Cleaning'!I327:I1796)</f>
        <v>45-54</v>
      </c>
      <c r="C327">
        <f>_xlfn.XLOOKUP(A327,'Data Cleaning'!A327:A1796,'Data Cleaning'!K327:K1796)</f>
        <v>0</v>
      </c>
      <c r="D327" t="str">
        <f>_xlfn.XLOOKUP(A327,'Data Cleaning'!A327:A1796, 'Data Cleaning'!D327:D1796)</f>
        <v>Bachelor</v>
      </c>
      <c r="E327" s="3" t="str">
        <f>_xlfn.XLOOKUP(A327,'Data Cleaning'!A327:A1796, 'Data Cleaning'!E327:E1796)</f>
        <v>Single</v>
      </c>
      <c r="F327" t="str">
        <f>_xlfn.XLOOKUP(A327,'Data Cleaning'!A327:A1796, 'Data Cleaning'!F327:F1796)</f>
        <v>None</v>
      </c>
      <c r="G327" s="3" t="str">
        <f>_xlfn.XLOOKUP(A327,'Data Cleaning'!A327:A1796, 'Data Cleaning'!J327:J1796)</f>
        <v>Recently promoted</v>
      </c>
    </row>
    <row r="328" spans="1:7" x14ac:dyDescent="0.25">
      <c r="A328" s="3">
        <v>1622</v>
      </c>
      <c r="B328" s="3" t="str">
        <f>_xlfn.XLOOKUP(A328,'Data Cleaning'!A328:A1797, 'Data Cleaning'!I328:I1797)</f>
        <v>25-34</v>
      </c>
      <c r="C328">
        <f>_xlfn.XLOOKUP(A328,'Data Cleaning'!A328:A1797,'Data Cleaning'!K328:K1797)</f>
        <v>0</v>
      </c>
      <c r="D328" t="str">
        <f>_xlfn.XLOOKUP(A328,'Data Cleaning'!A328:A1797, 'Data Cleaning'!D328:D1797)</f>
        <v>Bachelor</v>
      </c>
      <c r="E328" s="3" t="str">
        <f>_xlfn.XLOOKUP(A328,'Data Cleaning'!A328:A1797, 'Data Cleaning'!E328:E1797)</f>
        <v>Divorced</v>
      </c>
      <c r="F328" t="str">
        <f>_xlfn.XLOOKUP(A328,'Data Cleaning'!A328:A1797, 'Data Cleaning'!F328:F1797)</f>
        <v>Low</v>
      </c>
      <c r="G328" s="3" t="str">
        <f>_xlfn.XLOOKUP(A328,'Data Cleaning'!A328:A1797, 'Data Cleaning'!J328:J1797)</f>
        <v>Recently promoted</v>
      </c>
    </row>
    <row r="329" spans="1:7" x14ac:dyDescent="0.25">
      <c r="A329" s="3">
        <v>1212</v>
      </c>
      <c r="B329" s="3" t="str">
        <f>_xlfn.XLOOKUP(A329,'Data Cleaning'!A329:A1798, 'Data Cleaning'!I329:I1798)</f>
        <v>35-44</v>
      </c>
      <c r="C329">
        <f>_xlfn.XLOOKUP(A329,'Data Cleaning'!A329:A1798,'Data Cleaning'!K329:K1798)</f>
        <v>0</v>
      </c>
      <c r="D329" t="str">
        <f>_xlfn.XLOOKUP(A329,'Data Cleaning'!A329:A1798, 'Data Cleaning'!D329:D1798)</f>
        <v>Master</v>
      </c>
      <c r="E329" s="3" t="str">
        <f>_xlfn.XLOOKUP(A329,'Data Cleaning'!A329:A1798, 'Data Cleaning'!E329:E1798)</f>
        <v>Married</v>
      </c>
      <c r="F329" t="str">
        <f>_xlfn.XLOOKUP(A329,'Data Cleaning'!A329:A1798, 'Data Cleaning'!F329:F1798)</f>
        <v>High</v>
      </c>
      <c r="G329" s="3" t="str">
        <f>_xlfn.XLOOKUP(A329,'Data Cleaning'!A329:A1798, 'Data Cleaning'!J329:J1798)</f>
        <v>Recently promoted</v>
      </c>
    </row>
    <row r="330" spans="1:7" x14ac:dyDescent="0.25">
      <c r="A330" s="3">
        <v>467</v>
      </c>
      <c r="B330" s="3" t="str">
        <f>_xlfn.XLOOKUP(A330,'Data Cleaning'!A330:A1799, 'Data Cleaning'!I330:I1799)</f>
        <v>45-54</v>
      </c>
      <c r="C330">
        <f>_xlfn.XLOOKUP(A330,'Data Cleaning'!A330:A1799,'Data Cleaning'!K330:K1799)</f>
        <v>0</v>
      </c>
      <c r="D330" t="str">
        <f>_xlfn.XLOOKUP(A330,'Data Cleaning'!A330:A1799, 'Data Cleaning'!D330:D1799)</f>
        <v>Below College</v>
      </c>
      <c r="E330" s="3" t="str">
        <f>_xlfn.XLOOKUP(A330,'Data Cleaning'!A330:A1799, 'Data Cleaning'!E330:E1799)</f>
        <v>Single</v>
      </c>
      <c r="F330" t="str">
        <f>_xlfn.XLOOKUP(A330,'Data Cleaning'!A330:A1799, 'Data Cleaning'!F330:F1799)</f>
        <v>None</v>
      </c>
      <c r="G330" s="3" t="str">
        <f>_xlfn.XLOOKUP(A330,'Data Cleaning'!A330:A1799, 'Data Cleaning'!J330:J1799)</f>
        <v>Recently promoted</v>
      </c>
    </row>
    <row r="331" spans="1:7" x14ac:dyDescent="0.25">
      <c r="A331" s="3">
        <v>366</v>
      </c>
      <c r="B331" s="3" t="str">
        <f>_xlfn.XLOOKUP(A331,'Data Cleaning'!A331:A1800, 'Data Cleaning'!I331:I1800)</f>
        <v>25-34</v>
      </c>
      <c r="C331">
        <f>_xlfn.XLOOKUP(A331,'Data Cleaning'!A331:A1800,'Data Cleaning'!K331:K1800)</f>
        <v>0</v>
      </c>
      <c r="D331" t="str">
        <f>_xlfn.XLOOKUP(A331,'Data Cleaning'!A331:A1800, 'Data Cleaning'!D331:D1800)</f>
        <v>Bachelor</v>
      </c>
      <c r="E331" s="3" t="str">
        <f>_xlfn.XLOOKUP(A331,'Data Cleaning'!A331:A1800, 'Data Cleaning'!E331:E1800)</f>
        <v>Married</v>
      </c>
      <c r="F331" t="str">
        <f>_xlfn.XLOOKUP(A331,'Data Cleaning'!A331:A1800, 'Data Cleaning'!F331:F1800)</f>
        <v>Mid</v>
      </c>
      <c r="G331" s="3" t="str">
        <f>_xlfn.XLOOKUP(A331,'Data Cleaning'!A331:A1800, 'Data Cleaning'!J331:J1800)</f>
        <v>Recently promoted</v>
      </c>
    </row>
    <row r="332" spans="1:7" x14ac:dyDescent="0.25">
      <c r="A332" s="3">
        <v>618</v>
      </c>
      <c r="B332" s="3" t="str">
        <f>_xlfn.XLOOKUP(A332,'Data Cleaning'!A332:A1801, 'Data Cleaning'!I332:I1801)</f>
        <v>25-34</v>
      </c>
      <c r="C332">
        <f>_xlfn.XLOOKUP(A332,'Data Cleaning'!A332:A1801,'Data Cleaning'!K332:K1801)</f>
        <v>0</v>
      </c>
      <c r="D332" t="str">
        <f>_xlfn.XLOOKUP(A332,'Data Cleaning'!A332:A1801, 'Data Cleaning'!D332:D1801)</f>
        <v>College</v>
      </c>
      <c r="E332" s="3" t="str">
        <f>_xlfn.XLOOKUP(A332,'Data Cleaning'!A332:A1801, 'Data Cleaning'!E332:E1801)</f>
        <v>Divorced</v>
      </c>
      <c r="F332" t="str">
        <f>_xlfn.XLOOKUP(A332,'Data Cleaning'!A332:A1801, 'Data Cleaning'!F332:F1801)</f>
        <v>Mid</v>
      </c>
      <c r="G332" s="3" t="str">
        <f>_xlfn.XLOOKUP(A332,'Data Cleaning'!A332:A1801, 'Data Cleaning'!J332:J1801)</f>
        <v>Recently promoted</v>
      </c>
    </row>
    <row r="333" spans="1:7" x14ac:dyDescent="0.25">
      <c r="A333" s="3">
        <v>1853</v>
      </c>
      <c r="B333" s="3" t="str">
        <f>_xlfn.XLOOKUP(A333,'Data Cleaning'!A333:A1802, 'Data Cleaning'!I333:I1802)</f>
        <v>25-34</v>
      </c>
      <c r="C333">
        <f>_xlfn.XLOOKUP(A333,'Data Cleaning'!A333:A1802,'Data Cleaning'!K333:K1802)</f>
        <v>0</v>
      </c>
      <c r="D333" t="str">
        <f>_xlfn.XLOOKUP(A333,'Data Cleaning'!A333:A1802, 'Data Cleaning'!D333:D1802)</f>
        <v>Master</v>
      </c>
      <c r="E333" s="3" t="str">
        <f>_xlfn.XLOOKUP(A333,'Data Cleaning'!A333:A1802, 'Data Cleaning'!E333:E1802)</f>
        <v>Single</v>
      </c>
      <c r="F333" t="str">
        <f>_xlfn.XLOOKUP(A333,'Data Cleaning'!A333:A1802, 'Data Cleaning'!F333:F1802)</f>
        <v>None</v>
      </c>
      <c r="G333" s="3" t="str">
        <f>_xlfn.XLOOKUP(A333,'Data Cleaning'!A333:A1802, 'Data Cleaning'!J333:J1802)</f>
        <v>Recently promoted</v>
      </c>
    </row>
    <row r="334" spans="1:7" x14ac:dyDescent="0.25">
      <c r="A334" s="3">
        <v>72</v>
      </c>
      <c r="B334" s="3" t="str">
        <f>_xlfn.XLOOKUP(A334,'Data Cleaning'!A334:A1803, 'Data Cleaning'!I334:I1803)</f>
        <v>25-34</v>
      </c>
      <c r="C334">
        <f>_xlfn.XLOOKUP(A334,'Data Cleaning'!A334:A1803,'Data Cleaning'!K334:K1803)</f>
        <v>0</v>
      </c>
      <c r="D334" t="str">
        <f>_xlfn.XLOOKUP(A334,'Data Cleaning'!A334:A1803, 'Data Cleaning'!D334:D1803)</f>
        <v>Bachelor</v>
      </c>
      <c r="E334" s="3" t="str">
        <f>_xlfn.XLOOKUP(A334,'Data Cleaning'!A334:A1803, 'Data Cleaning'!E334:E1803)</f>
        <v>Married</v>
      </c>
      <c r="F334" t="str">
        <f>_xlfn.XLOOKUP(A334,'Data Cleaning'!A334:A1803, 'Data Cleaning'!F334:F1803)</f>
        <v>Low</v>
      </c>
      <c r="G334" s="3" t="str">
        <f>_xlfn.XLOOKUP(A334,'Data Cleaning'!A334:A1803, 'Data Cleaning'!J334:J1803)</f>
        <v>Recently promoted</v>
      </c>
    </row>
    <row r="335" spans="1:7" x14ac:dyDescent="0.25">
      <c r="A335" s="3">
        <v>1935</v>
      </c>
      <c r="B335" s="3" t="str">
        <f>_xlfn.XLOOKUP(A335,'Data Cleaning'!A335:A1804, 'Data Cleaning'!I335:I1804)</f>
        <v>55-60</v>
      </c>
      <c r="C335">
        <f>_xlfn.XLOOKUP(A335,'Data Cleaning'!A335:A1804,'Data Cleaning'!K335:K1804)</f>
        <v>0</v>
      </c>
      <c r="D335" t="str">
        <f>_xlfn.XLOOKUP(A335,'Data Cleaning'!A335:A1804, 'Data Cleaning'!D335:D1804)</f>
        <v>Doctor</v>
      </c>
      <c r="E335" s="3" t="str">
        <f>_xlfn.XLOOKUP(A335,'Data Cleaning'!A335:A1804, 'Data Cleaning'!E335:E1804)</f>
        <v>Married</v>
      </c>
      <c r="F335" t="str">
        <f>_xlfn.XLOOKUP(A335,'Data Cleaning'!A335:A1804, 'Data Cleaning'!F335:F1804)</f>
        <v>Low</v>
      </c>
      <c r="G335" s="3" t="str">
        <f>_xlfn.XLOOKUP(A335,'Data Cleaning'!A335:A1804, 'Data Cleaning'!J335:J1804)</f>
        <v>Recently promoted</v>
      </c>
    </row>
    <row r="336" spans="1:7" x14ac:dyDescent="0.25">
      <c r="A336" s="3">
        <v>775</v>
      </c>
      <c r="B336" s="3" t="str">
        <f>_xlfn.XLOOKUP(A336,'Data Cleaning'!A336:A1805, 'Data Cleaning'!I336:I1805)</f>
        <v>25-34</v>
      </c>
      <c r="C336">
        <f>_xlfn.XLOOKUP(A336,'Data Cleaning'!A336:A1805,'Data Cleaning'!K336:K1805)</f>
        <v>0</v>
      </c>
      <c r="D336" t="str">
        <f>_xlfn.XLOOKUP(A336,'Data Cleaning'!A336:A1805, 'Data Cleaning'!D336:D1805)</f>
        <v>Doctor</v>
      </c>
      <c r="E336" s="3" t="str">
        <f>_xlfn.XLOOKUP(A336,'Data Cleaning'!A336:A1805, 'Data Cleaning'!E336:E1805)</f>
        <v>Divorced</v>
      </c>
      <c r="F336" t="str">
        <f>_xlfn.XLOOKUP(A336,'Data Cleaning'!A336:A1805, 'Data Cleaning'!F336:F1805)</f>
        <v>Low</v>
      </c>
      <c r="G336" s="3" t="str">
        <f>_xlfn.XLOOKUP(A336,'Data Cleaning'!A336:A1805, 'Data Cleaning'!J336:J1805)</f>
        <v>Recently promoted</v>
      </c>
    </row>
    <row r="337" spans="1:7" x14ac:dyDescent="0.25">
      <c r="A337" s="3">
        <v>1306</v>
      </c>
      <c r="B337" s="3" t="str">
        <f>_xlfn.XLOOKUP(A337,'Data Cleaning'!A337:A1806, 'Data Cleaning'!I337:I1806)</f>
        <v>45-54</v>
      </c>
      <c r="C337">
        <f>_xlfn.XLOOKUP(A337,'Data Cleaning'!A337:A1806,'Data Cleaning'!K337:K1806)</f>
        <v>0</v>
      </c>
      <c r="D337" t="str">
        <f>_xlfn.XLOOKUP(A337,'Data Cleaning'!A337:A1806, 'Data Cleaning'!D337:D1806)</f>
        <v>Bachelor</v>
      </c>
      <c r="E337" s="3" t="str">
        <f>_xlfn.XLOOKUP(A337,'Data Cleaning'!A337:A1806, 'Data Cleaning'!E337:E1806)</f>
        <v>Single</v>
      </c>
      <c r="F337" t="str">
        <f>_xlfn.XLOOKUP(A337,'Data Cleaning'!A337:A1806, 'Data Cleaning'!F337:F1806)</f>
        <v>None</v>
      </c>
      <c r="G337" s="3" t="str">
        <f>_xlfn.XLOOKUP(A337,'Data Cleaning'!A337:A1806, 'Data Cleaning'!J337:J1806)</f>
        <v>Recently promoted</v>
      </c>
    </row>
    <row r="338" spans="1:7" x14ac:dyDescent="0.25">
      <c r="A338" s="3">
        <v>1943</v>
      </c>
      <c r="B338" s="3" t="str">
        <f>_xlfn.XLOOKUP(A338,'Data Cleaning'!A338:A1807, 'Data Cleaning'!I338:I1807)</f>
        <v>35-44</v>
      </c>
      <c r="C338">
        <f>_xlfn.XLOOKUP(A338,'Data Cleaning'!A338:A1807,'Data Cleaning'!K338:K1807)</f>
        <v>0</v>
      </c>
      <c r="D338" t="str">
        <f>_xlfn.XLOOKUP(A338,'Data Cleaning'!A338:A1807, 'Data Cleaning'!D338:D1807)</f>
        <v>Master</v>
      </c>
      <c r="E338" s="3" t="str">
        <f>_xlfn.XLOOKUP(A338,'Data Cleaning'!A338:A1807, 'Data Cleaning'!E338:E1807)</f>
        <v>Divorced</v>
      </c>
      <c r="F338" t="str">
        <f>_xlfn.XLOOKUP(A338,'Data Cleaning'!A338:A1807, 'Data Cleaning'!F338:F1807)</f>
        <v>Mid</v>
      </c>
      <c r="G338" s="3" t="str">
        <f>_xlfn.XLOOKUP(A338,'Data Cleaning'!A338:A1807, 'Data Cleaning'!J338:J1807)</f>
        <v>Recently promoted</v>
      </c>
    </row>
    <row r="339" spans="1:7" x14ac:dyDescent="0.25">
      <c r="A339" s="3">
        <v>1036</v>
      </c>
      <c r="B339" s="3" t="str">
        <f>_xlfn.XLOOKUP(A339,'Data Cleaning'!A339:A1808, 'Data Cleaning'!I339:I1808)</f>
        <v>35-44</v>
      </c>
      <c r="C339">
        <f>_xlfn.XLOOKUP(A339,'Data Cleaning'!A339:A1808,'Data Cleaning'!K339:K1808)</f>
        <v>0</v>
      </c>
      <c r="D339" t="str">
        <f>_xlfn.XLOOKUP(A339,'Data Cleaning'!A339:A1808, 'Data Cleaning'!D339:D1808)</f>
        <v>Master</v>
      </c>
      <c r="E339" s="3" t="str">
        <f>_xlfn.XLOOKUP(A339,'Data Cleaning'!A339:A1808, 'Data Cleaning'!E339:E1808)</f>
        <v>Single</v>
      </c>
      <c r="F339" t="str">
        <f>_xlfn.XLOOKUP(A339,'Data Cleaning'!A339:A1808, 'Data Cleaning'!F339:F1808)</f>
        <v>None</v>
      </c>
      <c r="G339" s="3" t="str">
        <f>_xlfn.XLOOKUP(A339,'Data Cleaning'!A339:A1808, 'Data Cleaning'!J339:J1808)</f>
        <v>Recently promoted</v>
      </c>
    </row>
    <row r="340" spans="1:7" x14ac:dyDescent="0.25">
      <c r="A340" s="3">
        <v>271</v>
      </c>
      <c r="B340" s="3" t="str">
        <f>_xlfn.XLOOKUP(A340,'Data Cleaning'!A340:A1809, 'Data Cleaning'!I340:I1809)</f>
        <v>35-44</v>
      </c>
      <c r="C340">
        <f>_xlfn.XLOOKUP(A340,'Data Cleaning'!A340:A1809,'Data Cleaning'!K340:K1809)</f>
        <v>0</v>
      </c>
      <c r="D340" t="str">
        <f>_xlfn.XLOOKUP(A340,'Data Cleaning'!A340:A1809, 'Data Cleaning'!D340:D1809)</f>
        <v>Master</v>
      </c>
      <c r="E340" s="3" t="str">
        <f>_xlfn.XLOOKUP(A340,'Data Cleaning'!A340:A1809, 'Data Cleaning'!E340:E1809)</f>
        <v>Married</v>
      </c>
      <c r="F340" t="str">
        <f>_xlfn.XLOOKUP(A340,'Data Cleaning'!A340:A1809, 'Data Cleaning'!F340:F1809)</f>
        <v>None</v>
      </c>
      <c r="G340" s="3" t="str">
        <f>_xlfn.XLOOKUP(A340,'Data Cleaning'!A340:A1809, 'Data Cleaning'!J340:J1809)</f>
        <v>Recently promoted</v>
      </c>
    </row>
    <row r="341" spans="1:7" x14ac:dyDescent="0.25">
      <c r="A341" s="3">
        <v>1263</v>
      </c>
      <c r="B341" s="3" t="str">
        <f>_xlfn.XLOOKUP(A341,'Data Cleaning'!A341:A1810, 'Data Cleaning'!I341:I1810)</f>
        <v>45-54</v>
      </c>
      <c r="C341">
        <f>_xlfn.XLOOKUP(A341,'Data Cleaning'!A341:A1810,'Data Cleaning'!K341:K1810)</f>
        <v>0</v>
      </c>
      <c r="D341" t="str">
        <f>_xlfn.XLOOKUP(A341,'Data Cleaning'!A341:A1810, 'Data Cleaning'!D341:D1810)</f>
        <v>Bachelor</v>
      </c>
      <c r="E341" s="3" t="str">
        <f>_xlfn.XLOOKUP(A341,'Data Cleaning'!A341:A1810, 'Data Cleaning'!E341:E1810)</f>
        <v>Single</v>
      </c>
      <c r="F341" t="str">
        <f>_xlfn.XLOOKUP(A341,'Data Cleaning'!A341:A1810, 'Data Cleaning'!F341:F1810)</f>
        <v>None</v>
      </c>
      <c r="G341" s="3" t="str">
        <f>_xlfn.XLOOKUP(A341,'Data Cleaning'!A341:A1810, 'Data Cleaning'!J341:J1810)</f>
        <v>Recently promoted</v>
      </c>
    </row>
    <row r="342" spans="1:7" x14ac:dyDescent="0.25">
      <c r="A342" s="3">
        <v>86</v>
      </c>
      <c r="B342" s="3" t="str">
        <f>_xlfn.XLOOKUP(A342,'Data Cleaning'!A342:A1811, 'Data Cleaning'!I342:I1811)</f>
        <v>45-54</v>
      </c>
      <c r="C342">
        <f>_xlfn.XLOOKUP(A342,'Data Cleaning'!A342:A1811,'Data Cleaning'!K342:K1811)</f>
        <v>0</v>
      </c>
      <c r="D342" t="str">
        <f>_xlfn.XLOOKUP(A342,'Data Cleaning'!A342:A1811, 'Data Cleaning'!D342:D1811)</f>
        <v>Bachelor</v>
      </c>
      <c r="E342" s="3" t="str">
        <f>_xlfn.XLOOKUP(A342,'Data Cleaning'!A342:A1811, 'Data Cleaning'!E342:E1811)</f>
        <v>Divorced</v>
      </c>
      <c r="F342" t="str">
        <f>_xlfn.XLOOKUP(A342,'Data Cleaning'!A342:A1811, 'Data Cleaning'!F342:F1811)</f>
        <v>Low</v>
      </c>
      <c r="G342" s="3" t="str">
        <f>_xlfn.XLOOKUP(A342,'Data Cleaning'!A342:A1811, 'Data Cleaning'!J342:J1811)</f>
        <v>Recently promoted</v>
      </c>
    </row>
    <row r="343" spans="1:7" x14ac:dyDescent="0.25">
      <c r="A343" s="3">
        <v>521</v>
      </c>
      <c r="B343" s="3" t="str">
        <f>_xlfn.XLOOKUP(A343,'Data Cleaning'!A343:A1812, 'Data Cleaning'!I343:I1812)</f>
        <v>35-44</v>
      </c>
      <c r="C343">
        <f>_xlfn.XLOOKUP(A343,'Data Cleaning'!A343:A1812,'Data Cleaning'!K343:K1812)</f>
        <v>0</v>
      </c>
      <c r="D343" t="str">
        <f>_xlfn.XLOOKUP(A343,'Data Cleaning'!A343:A1812, 'Data Cleaning'!D343:D1812)</f>
        <v>Bachelor</v>
      </c>
      <c r="E343" s="3" t="str">
        <f>_xlfn.XLOOKUP(A343,'Data Cleaning'!A343:A1812, 'Data Cleaning'!E343:E1812)</f>
        <v>Married</v>
      </c>
      <c r="F343" t="str">
        <f>_xlfn.XLOOKUP(A343,'Data Cleaning'!A343:A1812, 'Data Cleaning'!F343:F1812)</f>
        <v>Low</v>
      </c>
      <c r="G343" s="3" t="str">
        <f>_xlfn.XLOOKUP(A343,'Data Cleaning'!A343:A1812, 'Data Cleaning'!J343:J1812)</f>
        <v>Recently promoted</v>
      </c>
    </row>
    <row r="344" spans="1:7" x14ac:dyDescent="0.25">
      <c r="A344" s="3">
        <v>1591</v>
      </c>
      <c r="B344" s="3" t="str">
        <f>_xlfn.XLOOKUP(A344,'Data Cleaning'!A344:A1813, 'Data Cleaning'!I344:I1813)</f>
        <v>45-54</v>
      </c>
      <c r="C344">
        <f>_xlfn.XLOOKUP(A344,'Data Cleaning'!A344:A1813,'Data Cleaning'!K344:K1813)</f>
        <v>0</v>
      </c>
      <c r="D344" t="str">
        <f>_xlfn.XLOOKUP(A344,'Data Cleaning'!A344:A1813, 'Data Cleaning'!D344:D1813)</f>
        <v>Bachelor</v>
      </c>
      <c r="E344" s="3" t="str">
        <f>_xlfn.XLOOKUP(A344,'Data Cleaning'!A344:A1813, 'Data Cleaning'!E344:E1813)</f>
        <v>Married</v>
      </c>
      <c r="F344" t="str">
        <f>_xlfn.XLOOKUP(A344,'Data Cleaning'!A344:A1813, 'Data Cleaning'!F344:F1813)</f>
        <v>Low</v>
      </c>
      <c r="G344" s="3" t="str">
        <f>_xlfn.XLOOKUP(A344,'Data Cleaning'!A344:A1813, 'Data Cleaning'!J344:J1813)</f>
        <v>Recently promoted</v>
      </c>
    </row>
    <row r="345" spans="1:7" x14ac:dyDescent="0.25">
      <c r="A345" s="3">
        <v>1242</v>
      </c>
      <c r="B345" s="3" t="str">
        <f>_xlfn.XLOOKUP(A345,'Data Cleaning'!A345:A1814, 'Data Cleaning'!I345:I1814)</f>
        <v>35-44</v>
      </c>
      <c r="C345">
        <f>_xlfn.XLOOKUP(A345,'Data Cleaning'!A345:A1814,'Data Cleaning'!K345:K1814)</f>
        <v>0</v>
      </c>
      <c r="D345" t="str">
        <f>_xlfn.XLOOKUP(A345,'Data Cleaning'!A345:A1814, 'Data Cleaning'!D345:D1814)</f>
        <v>Doctor</v>
      </c>
      <c r="E345" s="3" t="str">
        <f>_xlfn.XLOOKUP(A345,'Data Cleaning'!A345:A1814, 'Data Cleaning'!E345:E1814)</f>
        <v>Married</v>
      </c>
      <c r="F345" t="str">
        <f>_xlfn.XLOOKUP(A345,'Data Cleaning'!A345:A1814, 'Data Cleaning'!F345:F1814)</f>
        <v>None</v>
      </c>
      <c r="G345" s="3" t="str">
        <f>_xlfn.XLOOKUP(A345,'Data Cleaning'!A345:A1814, 'Data Cleaning'!J345:J1814)</f>
        <v>Recently promoted</v>
      </c>
    </row>
    <row r="346" spans="1:7" x14ac:dyDescent="0.25">
      <c r="A346" s="3">
        <v>139</v>
      </c>
      <c r="B346" s="3" t="str">
        <f>_xlfn.XLOOKUP(A346,'Data Cleaning'!A346:A1815, 'Data Cleaning'!I346:I1815)</f>
        <v>35-44</v>
      </c>
      <c r="C346">
        <f>_xlfn.XLOOKUP(A346,'Data Cleaning'!A346:A1815,'Data Cleaning'!K346:K1815)</f>
        <v>0</v>
      </c>
      <c r="D346" t="str">
        <f>_xlfn.XLOOKUP(A346,'Data Cleaning'!A346:A1815, 'Data Cleaning'!D346:D1815)</f>
        <v>College</v>
      </c>
      <c r="E346" s="3" t="str">
        <f>_xlfn.XLOOKUP(A346,'Data Cleaning'!A346:A1815, 'Data Cleaning'!E346:E1815)</f>
        <v>Divorced</v>
      </c>
      <c r="F346" t="str">
        <f>_xlfn.XLOOKUP(A346,'Data Cleaning'!A346:A1815, 'Data Cleaning'!F346:F1815)</f>
        <v>Low</v>
      </c>
      <c r="G346" s="3" t="str">
        <f>_xlfn.XLOOKUP(A346,'Data Cleaning'!A346:A1815, 'Data Cleaning'!J346:J1815)</f>
        <v>Recently promoted</v>
      </c>
    </row>
    <row r="347" spans="1:7" x14ac:dyDescent="0.25">
      <c r="A347" s="3">
        <v>1966</v>
      </c>
      <c r="B347" s="3" t="str">
        <f>_xlfn.XLOOKUP(A347,'Data Cleaning'!A347:A1816, 'Data Cleaning'!I347:I1816)</f>
        <v>25-34</v>
      </c>
      <c r="C347">
        <f>_xlfn.XLOOKUP(A347,'Data Cleaning'!A347:A1816,'Data Cleaning'!K347:K1816)</f>
        <v>0</v>
      </c>
      <c r="D347" t="str">
        <f>_xlfn.XLOOKUP(A347,'Data Cleaning'!A347:A1816, 'Data Cleaning'!D347:D1816)</f>
        <v>Master</v>
      </c>
      <c r="E347" s="3" t="str">
        <f>_xlfn.XLOOKUP(A347,'Data Cleaning'!A347:A1816, 'Data Cleaning'!E347:E1816)</f>
        <v>Single</v>
      </c>
      <c r="F347" t="str">
        <f>_xlfn.XLOOKUP(A347,'Data Cleaning'!A347:A1816, 'Data Cleaning'!F347:F1816)</f>
        <v>None</v>
      </c>
      <c r="G347" s="3" t="str">
        <f>_xlfn.XLOOKUP(A347,'Data Cleaning'!A347:A1816, 'Data Cleaning'!J347:J1816)</f>
        <v>Recently promoted</v>
      </c>
    </row>
    <row r="348" spans="1:7" x14ac:dyDescent="0.25">
      <c r="A348" s="3">
        <v>477</v>
      </c>
      <c r="B348" s="3" t="str">
        <f>_xlfn.XLOOKUP(A348,'Data Cleaning'!A348:A1817, 'Data Cleaning'!I348:I1817)</f>
        <v>35-44</v>
      </c>
      <c r="C348">
        <f>_xlfn.XLOOKUP(A348,'Data Cleaning'!A348:A1817,'Data Cleaning'!K348:K1817)</f>
        <v>0</v>
      </c>
      <c r="D348" t="str">
        <f>_xlfn.XLOOKUP(A348,'Data Cleaning'!A348:A1817, 'Data Cleaning'!D348:D1817)</f>
        <v>Master</v>
      </c>
      <c r="E348" s="3" t="str">
        <f>_xlfn.XLOOKUP(A348,'Data Cleaning'!A348:A1817, 'Data Cleaning'!E348:E1817)</f>
        <v>Single</v>
      </c>
      <c r="F348" t="str">
        <f>_xlfn.XLOOKUP(A348,'Data Cleaning'!A348:A1817, 'Data Cleaning'!F348:F1817)</f>
        <v>None</v>
      </c>
      <c r="G348" s="3" t="str">
        <f>_xlfn.XLOOKUP(A348,'Data Cleaning'!A348:A1817, 'Data Cleaning'!J348:J1817)</f>
        <v>Recently promoted</v>
      </c>
    </row>
    <row r="349" spans="1:7" x14ac:dyDescent="0.25">
      <c r="A349" s="3">
        <v>298</v>
      </c>
      <c r="B349" s="3" t="str">
        <f>_xlfn.XLOOKUP(A349,'Data Cleaning'!A349:A1818, 'Data Cleaning'!I349:I1818)</f>
        <v>35-44</v>
      </c>
      <c r="C349">
        <f>_xlfn.XLOOKUP(A349,'Data Cleaning'!A349:A1818,'Data Cleaning'!K349:K1818)</f>
        <v>0</v>
      </c>
      <c r="D349" t="str">
        <f>_xlfn.XLOOKUP(A349,'Data Cleaning'!A349:A1818, 'Data Cleaning'!D349:D1818)</f>
        <v>Bachelor</v>
      </c>
      <c r="E349" s="3" t="str">
        <f>_xlfn.XLOOKUP(A349,'Data Cleaning'!A349:A1818, 'Data Cleaning'!E349:E1818)</f>
        <v>Single</v>
      </c>
      <c r="F349" t="str">
        <f>_xlfn.XLOOKUP(A349,'Data Cleaning'!A349:A1818, 'Data Cleaning'!F349:F1818)</f>
        <v>None</v>
      </c>
      <c r="G349" s="3" t="str">
        <f>_xlfn.XLOOKUP(A349,'Data Cleaning'!A349:A1818, 'Data Cleaning'!J349:J1818)</f>
        <v>Recently promoted</v>
      </c>
    </row>
    <row r="350" spans="1:7" x14ac:dyDescent="0.25">
      <c r="A350" s="3">
        <v>634</v>
      </c>
      <c r="B350" s="3" t="str">
        <f>_xlfn.XLOOKUP(A350,'Data Cleaning'!A350:A1819, 'Data Cleaning'!I350:I1819)</f>
        <v>35-44</v>
      </c>
      <c r="C350">
        <f>_xlfn.XLOOKUP(A350,'Data Cleaning'!A350:A1819,'Data Cleaning'!K350:K1819)</f>
        <v>0</v>
      </c>
      <c r="D350" t="str">
        <f>_xlfn.XLOOKUP(A350,'Data Cleaning'!A350:A1819, 'Data Cleaning'!D350:D1819)</f>
        <v>Bachelor</v>
      </c>
      <c r="E350" s="3" t="str">
        <f>_xlfn.XLOOKUP(A350,'Data Cleaning'!A350:A1819, 'Data Cleaning'!E350:E1819)</f>
        <v>Married</v>
      </c>
      <c r="F350" t="str">
        <f>_xlfn.XLOOKUP(A350,'Data Cleaning'!A350:A1819, 'Data Cleaning'!F350:F1819)</f>
        <v>Low</v>
      </c>
      <c r="G350" s="3" t="str">
        <f>_xlfn.XLOOKUP(A350,'Data Cleaning'!A350:A1819, 'Data Cleaning'!J350:J1819)</f>
        <v>Recently promoted</v>
      </c>
    </row>
    <row r="351" spans="1:7" x14ac:dyDescent="0.25">
      <c r="A351" s="3">
        <v>151</v>
      </c>
      <c r="B351" s="3" t="str">
        <f>_xlfn.XLOOKUP(A351,'Data Cleaning'!A351:A1820, 'Data Cleaning'!I351:I1820)</f>
        <v>25-34</v>
      </c>
      <c r="C351">
        <f>_xlfn.XLOOKUP(A351,'Data Cleaning'!A351:A1820,'Data Cleaning'!K351:K1820)</f>
        <v>0</v>
      </c>
      <c r="D351" t="str">
        <f>_xlfn.XLOOKUP(A351,'Data Cleaning'!A351:A1820, 'Data Cleaning'!D351:D1820)</f>
        <v>Master</v>
      </c>
      <c r="E351" s="3" t="str">
        <f>_xlfn.XLOOKUP(A351,'Data Cleaning'!A351:A1820, 'Data Cleaning'!E351:E1820)</f>
        <v>Divorced</v>
      </c>
      <c r="F351" t="str">
        <f>_xlfn.XLOOKUP(A351,'Data Cleaning'!A351:A1820, 'Data Cleaning'!F351:F1820)</f>
        <v>Low</v>
      </c>
      <c r="G351" s="3" t="str">
        <f>_xlfn.XLOOKUP(A351,'Data Cleaning'!A351:A1820, 'Data Cleaning'!J351:J1820)</f>
        <v>Recently promoted</v>
      </c>
    </row>
    <row r="352" spans="1:7" x14ac:dyDescent="0.25">
      <c r="A352" s="3">
        <v>487</v>
      </c>
      <c r="B352" s="3" t="str">
        <f>_xlfn.XLOOKUP(A352,'Data Cleaning'!A352:A1821, 'Data Cleaning'!I352:I1821)</f>
        <v>45-54</v>
      </c>
      <c r="C352">
        <f>_xlfn.XLOOKUP(A352,'Data Cleaning'!A352:A1821,'Data Cleaning'!K352:K1821)</f>
        <v>0</v>
      </c>
      <c r="D352" t="str">
        <f>_xlfn.XLOOKUP(A352,'Data Cleaning'!A352:A1821, 'Data Cleaning'!D352:D1821)</f>
        <v>Master</v>
      </c>
      <c r="E352" s="3" t="str">
        <f>_xlfn.XLOOKUP(A352,'Data Cleaning'!A352:A1821, 'Data Cleaning'!E352:E1821)</f>
        <v>Married</v>
      </c>
      <c r="F352" t="str">
        <f>_xlfn.XLOOKUP(A352,'Data Cleaning'!A352:A1821, 'Data Cleaning'!F352:F1821)</f>
        <v>None</v>
      </c>
      <c r="G352" s="3" t="str">
        <f>_xlfn.XLOOKUP(A352,'Data Cleaning'!A352:A1821, 'Data Cleaning'!J352:J1821)</f>
        <v>Recently promoted</v>
      </c>
    </row>
    <row r="353" spans="1:7" x14ac:dyDescent="0.25">
      <c r="A353" s="3">
        <v>1847</v>
      </c>
      <c r="B353" s="3" t="str">
        <f>_xlfn.XLOOKUP(A353,'Data Cleaning'!A353:A1822, 'Data Cleaning'!I353:I1822)</f>
        <v>35-44</v>
      </c>
      <c r="C353">
        <f>_xlfn.XLOOKUP(A353,'Data Cleaning'!A353:A1822,'Data Cleaning'!K353:K1822)</f>
        <v>0</v>
      </c>
      <c r="D353" t="str">
        <f>_xlfn.XLOOKUP(A353,'Data Cleaning'!A353:A1822, 'Data Cleaning'!D353:D1822)</f>
        <v>Master</v>
      </c>
      <c r="E353" s="3" t="str">
        <f>_xlfn.XLOOKUP(A353,'Data Cleaning'!A353:A1822, 'Data Cleaning'!E353:E1822)</f>
        <v>Married</v>
      </c>
      <c r="F353" t="str">
        <f>_xlfn.XLOOKUP(A353,'Data Cleaning'!A353:A1822, 'Data Cleaning'!F353:F1822)</f>
        <v>Low</v>
      </c>
      <c r="G353" s="3" t="str">
        <f>_xlfn.XLOOKUP(A353,'Data Cleaning'!A353:A1822, 'Data Cleaning'!J353:J1822)</f>
        <v>Recently promoted</v>
      </c>
    </row>
    <row r="354" spans="1:7" x14ac:dyDescent="0.25">
      <c r="A354" s="3">
        <v>868</v>
      </c>
      <c r="B354" s="3" t="str">
        <f>_xlfn.XLOOKUP(A354,'Data Cleaning'!A354:A1823, 'Data Cleaning'!I354:I1823)</f>
        <v>35-44</v>
      </c>
      <c r="C354">
        <f>_xlfn.XLOOKUP(A354,'Data Cleaning'!A354:A1823,'Data Cleaning'!K354:K1823)</f>
        <v>0</v>
      </c>
      <c r="D354" t="str">
        <f>_xlfn.XLOOKUP(A354,'Data Cleaning'!A354:A1823, 'Data Cleaning'!D354:D1823)</f>
        <v>Master</v>
      </c>
      <c r="E354" s="3" t="str">
        <f>_xlfn.XLOOKUP(A354,'Data Cleaning'!A354:A1823, 'Data Cleaning'!E354:E1823)</f>
        <v>Divorced</v>
      </c>
      <c r="F354" t="str">
        <f>_xlfn.XLOOKUP(A354,'Data Cleaning'!A354:A1823, 'Data Cleaning'!F354:F1823)</f>
        <v>Mid</v>
      </c>
      <c r="G354" s="3" t="str">
        <f>_xlfn.XLOOKUP(A354,'Data Cleaning'!A354:A1823, 'Data Cleaning'!J354:J1823)</f>
        <v>Recently promoted</v>
      </c>
    </row>
    <row r="355" spans="1:7" x14ac:dyDescent="0.25">
      <c r="A355" s="3">
        <v>1256</v>
      </c>
      <c r="B355" s="3" t="str">
        <f>_xlfn.XLOOKUP(A355,'Data Cleaning'!A355:A1824, 'Data Cleaning'!I355:I1824)</f>
        <v>45-54</v>
      </c>
      <c r="C355">
        <f>_xlfn.XLOOKUP(A355,'Data Cleaning'!A355:A1824,'Data Cleaning'!K355:K1824)</f>
        <v>0</v>
      </c>
      <c r="D355" t="str">
        <f>_xlfn.XLOOKUP(A355,'Data Cleaning'!A355:A1824, 'Data Cleaning'!D355:D1824)</f>
        <v>College</v>
      </c>
      <c r="E355" s="3" t="str">
        <f>_xlfn.XLOOKUP(A355,'Data Cleaning'!A355:A1824, 'Data Cleaning'!E355:E1824)</f>
        <v>Married</v>
      </c>
      <c r="F355" t="str">
        <f>_xlfn.XLOOKUP(A355,'Data Cleaning'!A355:A1824, 'Data Cleaning'!F355:F1824)</f>
        <v>Low</v>
      </c>
      <c r="G355" s="3" t="str">
        <f>_xlfn.XLOOKUP(A355,'Data Cleaning'!A355:A1824, 'Data Cleaning'!J355:J1824)</f>
        <v>Recently promoted</v>
      </c>
    </row>
    <row r="356" spans="1:7" x14ac:dyDescent="0.25">
      <c r="A356" s="3">
        <v>920</v>
      </c>
      <c r="B356" s="3" t="str">
        <f>_xlfn.XLOOKUP(A356,'Data Cleaning'!A356:A1825, 'Data Cleaning'!I356:I1825)</f>
        <v>35-44</v>
      </c>
      <c r="C356">
        <f>_xlfn.XLOOKUP(A356,'Data Cleaning'!A356:A1825,'Data Cleaning'!K356:K1825)</f>
        <v>0</v>
      </c>
      <c r="D356" t="str">
        <f>_xlfn.XLOOKUP(A356,'Data Cleaning'!A356:A1825, 'Data Cleaning'!D356:D1825)</f>
        <v>Bachelor</v>
      </c>
      <c r="E356" s="3" t="str">
        <f>_xlfn.XLOOKUP(A356,'Data Cleaning'!A356:A1825, 'Data Cleaning'!E356:E1825)</f>
        <v>Divorced</v>
      </c>
      <c r="F356" t="str">
        <f>_xlfn.XLOOKUP(A356,'Data Cleaning'!A356:A1825, 'Data Cleaning'!F356:F1825)</f>
        <v>Low</v>
      </c>
      <c r="G356" s="3" t="str">
        <f>_xlfn.XLOOKUP(A356,'Data Cleaning'!A356:A1825, 'Data Cleaning'!J356:J1825)</f>
        <v>Recently promoted</v>
      </c>
    </row>
    <row r="357" spans="1:7" x14ac:dyDescent="0.25">
      <c r="A357" s="3">
        <v>1076</v>
      </c>
      <c r="B357" s="3" t="str">
        <f>_xlfn.XLOOKUP(A357,'Data Cleaning'!A357:A1826, 'Data Cleaning'!I357:I1826)</f>
        <v>35-44</v>
      </c>
      <c r="C357">
        <f>_xlfn.XLOOKUP(A357,'Data Cleaning'!A357:A1826,'Data Cleaning'!K357:K1826)</f>
        <v>0</v>
      </c>
      <c r="D357" t="str">
        <f>_xlfn.XLOOKUP(A357,'Data Cleaning'!A357:A1826, 'Data Cleaning'!D357:D1826)</f>
        <v>Bachelor</v>
      </c>
      <c r="E357" s="3" t="str">
        <f>_xlfn.XLOOKUP(A357,'Data Cleaning'!A357:A1826, 'Data Cleaning'!E357:E1826)</f>
        <v>Divorced</v>
      </c>
      <c r="F357" t="str">
        <f>_xlfn.XLOOKUP(A357,'Data Cleaning'!A357:A1826, 'Data Cleaning'!F357:F1826)</f>
        <v>Low</v>
      </c>
      <c r="G357" s="3" t="str">
        <f>_xlfn.XLOOKUP(A357,'Data Cleaning'!A357:A1826, 'Data Cleaning'!J357:J1826)</f>
        <v>Recently promoted</v>
      </c>
    </row>
    <row r="358" spans="1:7" x14ac:dyDescent="0.25">
      <c r="A358" s="3">
        <v>211</v>
      </c>
      <c r="B358" s="3" t="str">
        <f>_xlfn.XLOOKUP(A358,'Data Cleaning'!A358:A1827, 'Data Cleaning'!I358:I1827)</f>
        <v>45-54</v>
      </c>
      <c r="C358">
        <f>_xlfn.XLOOKUP(A358,'Data Cleaning'!A358:A1827,'Data Cleaning'!K358:K1827)</f>
        <v>0</v>
      </c>
      <c r="D358" t="str">
        <f>_xlfn.XLOOKUP(A358,'Data Cleaning'!A358:A1827, 'Data Cleaning'!D358:D1827)</f>
        <v>Master</v>
      </c>
      <c r="E358" s="3" t="str">
        <f>_xlfn.XLOOKUP(A358,'Data Cleaning'!A358:A1827, 'Data Cleaning'!E358:E1827)</f>
        <v>Married</v>
      </c>
      <c r="F358" t="str">
        <f>_xlfn.XLOOKUP(A358,'Data Cleaning'!A358:A1827, 'Data Cleaning'!F358:F1827)</f>
        <v>None</v>
      </c>
      <c r="G358" s="3" t="str">
        <f>_xlfn.XLOOKUP(A358,'Data Cleaning'!A358:A1827, 'Data Cleaning'!J358:J1827)</f>
        <v>Recently promoted</v>
      </c>
    </row>
    <row r="359" spans="1:7" x14ac:dyDescent="0.25">
      <c r="A359" s="3">
        <v>1105</v>
      </c>
      <c r="B359" s="3" t="str">
        <f>_xlfn.XLOOKUP(A359,'Data Cleaning'!A359:A1828, 'Data Cleaning'!I359:I1828)</f>
        <v>35-44</v>
      </c>
      <c r="C359">
        <f>_xlfn.XLOOKUP(A359,'Data Cleaning'!A359:A1828,'Data Cleaning'!K359:K1828)</f>
        <v>0</v>
      </c>
      <c r="D359" t="str">
        <f>_xlfn.XLOOKUP(A359,'Data Cleaning'!A359:A1828, 'Data Cleaning'!D359:D1828)</f>
        <v>Master</v>
      </c>
      <c r="E359" s="3" t="str">
        <f>_xlfn.XLOOKUP(A359,'Data Cleaning'!A359:A1828, 'Data Cleaning'!E359:E1828)</f>
        <v>Divorced</v>
      </c>
      <c r="F359" t="str">
        <f>_xlfn.XLOOKUP(A359,'Data Cleaning'!A359:A1828, 'Data Cleaning'!F359:F1828)</f>
        <v>High</v>
      </c>
      <c r="G359" s="3" t="str">
        <f>_xlfn.XLOOKUP(A359,'Data Cleaning'!A359:A1828, 'Data Cleaning'!J359:J1828)</f>
        <v>Recently promoted</v>
      </c>
    </row>
    <row r="360" spans="1:7" x14ac:dyDescent="0.25">
      <c r="A360" s="3">
        <v>1938</v>
      </c>
      <c r="B360" s="3" t="str">
        <f>_xlfn.XLOOKUP(A360,'Data Cleaning'!A360:A1829, 'Data Cleaning'!I360:I1829)</f>
        <v>55-60</v>
      </c>
      <c r="C360">
        <f>_xlfn.XLOOKUP(A360,'Data Cleaning'!A360:A1829,'Data Cleaning'!K360:K1829)</f>
        <v>0</v>
      </c>
      <c r="D360" t="str">
        <f>_xlfn.XLOOKUP(A360,'Data Cleaning'!A360:A1829, 'Data Cleaning'!D360:D1829)</f>
        <v>Bachelor</v>
      </c>
      <c r="E360" s="3" t="str">
        <f>_xlfn.XLOOKUP(A360,'Data Cleaning'!A360:A1829, 'Data Cleaning'!E360:E1829)</f>
        <v>Married</v>
      </c>
      <c r="F360" t="str">
        <f>_xlfn.XLOOKUP(A360,'Data Cleaning'!A360:A1829, 'Data Cleaning'!F360:F1829)</f>
        <v>Low</v>
      </c>
      <c r="G360" s="3" t="str">
        <f>_xlfn.XLOOKUP(A360,'Data Cleaning'!A360:A1829, 'Data Cleaning'!J360:J1829)</f>
        <v>Recently promoted</v>
      </c>
    </row>
    <row r="361" spans="1:7" x14ac:dyDescent="0.25">
      <c r="A361" s="3">
        <v>1029</v>
      </c>
      <c r="B361" s="3" t="str">
        <f>_xlfn.XLOOKUP(A361,'Data Cleaning'!A361:A1830, 'Data Cleaning'!I361:I1830)</f>
        <v>35-44</v>
      </c>
      <c r="C361">
        <f>_xlfn.XLOOKUP(A361,'Data Cleaning'!A361:A1830,'Data Cleaning'!K361:K1830)</f>
        <v>0</v>
      </c>
      <c r="D361" t="str">
        <f>_xlfn.XLOOKUP(A361,'Data Cleaning'!A361:A1830, 'Data Cleaning'!D361:D1830)</f>
        <v>College</v>
      </c>
      <c r="E361" s="3" t="str">
        <f>_xlfn.XLOOKUP(A361,'Data Cleaning'!A361:A1830, 'Data Cleaning'!E361:E1830)</f>
        <v>Married</v>
      </c>
      <c r="F361" t="str">
        <f>_xlfn.XLOOKUP(A361,'Data Cleaning'!A361:A1830, 'Data Cleaning'!F361:F1830)</f>
        <v>None</v>
      </c>
      <c r="G361" s="3" t="str">
        <f>_xlfn.XLOOKUP(A361,'Data Cleaning'!A361:A1830, 'Data Cleaning'!J361:J1830)</f>
        <v>Recently promoted</v>
      </c>
    </row>
    <row r="362" spans="1:7" x14ac:dyDescent="0.25">
      <c r="A362" s="3">
        <v>1180</v>
      </c>
      <c r="B362" s="3" t="str">
        <f>_xlfn.XLOOKUP(A362,'Data Cleaning'!A362:A1831, 'Data Cleaning'!I362:I1831)</f>
        <v>35-44</v>
      </c>
      <c r="C362">
        <f>_xlfn.XLOOKUP(A362,'Data Cleaning'!A362:A1831,'Data Cleaning'!K362:K1831)</f>
        <v>0</v>
      </c>
      <c r="D362" t="str">
        <f>_xlfn.XLOOKUP(A362,'Data Cleaning'!A362:A1831, 'Data Cleaning'!D362:D1831)</f>
        <v>College</v>
      </c>
      <c r="E362" s="3" t="str">
        <f>_xlfn.XLOOKUP(A362,'Data Cleaning'!A362:A1831, 'Data Cleaning'!E362:E1831)</f>
        <v>Married</v>
      </c>
      <c r="F362" t="str">
        <f>_xlfn.XLOOKUP(A362,'Data Cleaning'!A362:A1831, 'Data Cleaning'!F362:F1831)</f>
        <v>Low</v>
      </c>
      <c r="G362" s="3" t="str">
        <f>_xlfn.XLOOKUP(A362,'Data Cleaning'!A362:A1831, 'Data Cleaning'!J362:J1831)</f>
        <v>Recently promoted</v>
      </c>
    </row>
    <row r="363" spans="1:7" x14ac:dyDescent="0.25">
      <c r="A363" s="3">
        <v>1803</v>
      </c>
      <c r="B363" s="3" t="str">
        <f>_xlfn.XLOOKUP(A363,'Data Cleaning'!A363:A1832, 'Data Cleaning'!I363:I1832)</f>
        <v>35-44</v>
      </c>
      <c r="C363">
        <f>_xlfn.XLOOKUP(A363,'Data Cleaning'!A363:A1832,'Data Cleaning'!K363:K1832)</f>
        <v>0</v>
      </c>
      <c r="D363" t="str">
        <f>_xlfn.XLOOKUP(A363,'Data Cleaning'!A363:A1832, 'Data Cleaning'!D363:D1832)</f>
        <v>Bachelor</v>
      </c>
      <c r="E363" s="3" t="str">
        <f>_xlfn.XLOOKUP(A363,'Data Cleaning'!A363:A1832, 'Data Cleaning'!E363:E1832)</f>
        <v>Married</v>
      </c>
      <c r="F363" t="str">
        <f>_xlfn.XLOOKUP(A363,'Data Cleaning'!A363:A1832, 'Data Cleaning'!F363:F1832)</f>
        <v>Mid</v>
      </c>
      <c r="G363" s="3" t="str">
        <f>_xlfn.XLOOKUP(A363,'Data Cleaning'!A363:A1832, 'Data Cleaning'!J363:J1832)</f>
        <v>Recently promoted</v>
      </c>
    </row>
    <row r="364" spans="1:7" x14ac:dyDescent="0.25">
      <c r="A364" s="3">
        <v>743</v>
      </c>
      <c r="B364" s="3" t="str">
        <f>_xlfn.XLOOKUP(A364,'Data Cleaning'!A364:A1833, 'Data Cleaning'!I364:I1833)</f>
        <v>35-44</v>
      </c>
      <c r="C364">
        <f>_xlfn.XLOOKUP(A364,'Data Cleaning'!A364:A1833,'Data Cleaning'!K364:K1833)</f>
        <v>0</v>
      </c>
      <c r="D364" t="str">
        <f>_xlfn.XLOOKUP(A364,'Data Cleaning'!A364:A1833, 'Data Cleaning'!D364:D1833)</f>
        <v>Bachelor</v>
      </c>
      <c r="E364" s="3" t="str">
        <f>_xlfn.XLOOKUP(A364,'Data Cleaning'!A364:A1833, 'Data Cleaning'!E364:E1833)</f>
        <v>Single</v>
      </c>
      <c r="F364" t="str">
        <f>_xlfn.XLOOKUP(A364,'Data Cleaning'!A364:A1833, 'Data Cleaning'!F364:F1833)</f>
        <v>None</v>
      </c>
      <c r="G364" s="3" t="str">
        <f>_xlfn.XLOOKUP(A364,'Data Cleaning'!A364:A1833, 'Data Cleaning'!J364:J1833)</f>
        <v>Recently promoted</v>
      </c>
    </row>
    <row r="365" spans="1:7" x14ac:dyDescent="0.25">
      <c r="A365" s="3">
        <v>833</v>
      </c>
      <c r="B365" s="3" t="str">
        <f>_xlfn.XLOOKUP(A365,'Data Cleaning'!A365:A1834, 'Data Cleaning'!I365:I1834)</f>
        <v>25-34</v>
      </c>
      <c r="C365">
        <f>_xlfn.XLOOKUP(A365,'Data Cleaning'!A365:A1834,'Data Cleaning'!K365:K1834)</f>
        <v>0</v>
      </c>
      <c r="D365" t="str">
        <f>_xlfn.XLOOKUP(A365,'Data Cleaning'!A365:A1834, 'Data Cleaning'!D365:D1834)</f>
        <v>Bachelor</v>
      </c>
      <c r="E365" s="3" t="str">
        <f>_xlfn.XLOOKUP(A365,'Data Cleaning'!A365:A1834, 'Data Cleaning'!E365:E1834)</f>
        <v>Single</v>
      </c>
      <c r="F365" t="str">
        <f>_xlfn.XLOOKUP(A365,'Data Cleaning'!A365:A1834, 'Data Cleaning'!F365:F1834)</f>
        <v>None</v>
      </c>
      <c r="G365" s="3" t="str">
        <f>_xlfn.XLOOKUP(A365,'Data Cleaning'!A365:A1834, 'Data Cleaning'!J365:J1834)</f>
        <v>Recently promoted</v>
      </c>
    </row>
    <row r="366" spans="1:7" x14ac:dyDescent="0.25">
      <c r="A366" s="3">
        <v>771</v>
      </c>
      <c r="B366" s="3" t="str">
        <f>_xlfn.XLOOKUP(A366,'Data Cleaning'!A366:A1835, 'Data Cleaning'!I366:I1835)</f>
        <v>35-44</v>
      </c>
      <c r="C366">
        <f>_xlfn.XLOOKUP(A366,'Data Cleaning'!A366:A1835,'Data Cleaning'!K366:K1835)</f>
        <v>0</v>
      </c>
      <c r="D366" t="str">
        <f>_xlfn.XLOOKUP(A366,'Data Cleaning'!A366:A1835, 'Data Cleaning'!D366:D1835)</f>
        <v>Master</v>
      </c>
      <c r="E366" s="3" t="str">
        <f>_xlfn.XLOOKUP(A366,'Data Cleaning'!A366:A1835, 'Data Cleaning'!E366:E1835)</f>
        <v>Divorced</v>
      </c>
      <c r="F366" t="str">
        <f>_xlfn.XLOOKUP(A366,'Data Cleaning'!A366:A1835, 'Data Cleaning'!F366:F1835)</f>
        <v>Low</v>
      </c>
      <c r="G366" s="3" t="str">
        <f>_xlfn.XLOOKUP(A366,'Data Cleaning'!A366:A1835, 'Data Cleaning'!J366:J1835)</f>
        <v>Recently promoted</v>
      </c>
    </row>
    <row r="367" spans="1:7" x14ac:dyDescent="0.25">
      <c r="A367" s="3">
        <v>1724</v>
      </c>
      <c r="B367" s="3" t="str">
        <f>_xlfn.XLOOKUP(A367,'Data Cleaning'!A367:A1836, 'Data Cleaning'!I367:I1836)</f>
        <v>35-44</v>
      </c>
      <c r="C367">
        <f>_xlfn.XLOOKUP(A367,'Data Cleaning'!A367:A1836,'Data Cleaning'!K367:K1836)</f>
        <v>0</v>
      </c>
      <c r="D367" t="str">
        <f>_xlfn.XLOOKUP(A367,'Data Cleaning'!A367:A1836, 'Data Cleaning'!D367:D1836)</f>
        <v>College</v>
      </c>
      <c r="E367" s="3" t="str">
        <f>_xlfn.XLOOKUP(A367,'Data Cleaning'!A367:A1836, 'Data Cleaning'!E367:E1836)</f>
        <v>Married</v>
      </c>
      <c r="F367" t="str">
        <f>_xlfn.XLOOKUP(A367,'Data Cleaning'!A367:A1836, 'Data Cleaning'!F367:F1836)</f>
        <v>Low</v>
      </c>
      <c r="G367" s="3" t="str">
        <f>_xlfn.XLOOKUP(A367,'Data Cleaning'!A367:A1836, 'Data Cleaning'!J367:J1836)</f>
        <v>Recently promoted</v>
      </c>
    </row>
    <row r="368" spans="1:7" x14ac:dyDescent="0.25">
      <c r="A368" s="3">
        <v>661</v>
      </c>
      <c r="B368" s="3" t="str">
        <f>_xlfn.XLOOKUP(A368,'Data Cleaning'!A368:A1837, 'Data Cleaning'!I368:I1837)</f>
        <v>35-44</v>
      </c>
      <c r="C368">
        <f>_xlfn.XLOOKUP(A368,'Data Cleaning'!A368:A1837,'Data Cleaning'!K368:K1837)</f>
        <v>0</v>
      </c>
      <c r="D368" t="str">
        <f>_xlfn.XLOOKUP(A368,'Data Cleaning'!A368:A1837, 'Data Cleaning'!D368:D1837)</f>
        <v>Master</v>
      </c>
      <c r="E368" s="3" t="str">
        <f>_xlfn.XLOOKUP(A368,'Data Cleaning'!A368:A1837, 'Data Cleaning'!E368:E1837)</f>
        <v>Divorced</v>
      </c>
      <c r="F368" t="str">
        <f>_xlfn.XLOOKUP(A368,'Data Cleaning'!A368:A1837, 'Data Cleaning'!F368:F1837)</f>
        <v>Low</v>
      </c>
      <c r="G368" s="3" t="str">
        <f>_xlfn.XLOOKUP(A368,'Data Cleaning'!A368:A1837, 'Data Cleaning'!J368:J1837)</f>
        <v>Recently promoted</v>
      </c>
    </row>
    <row r="369" spans="1:7" x14ac:dyDescent="0.25">
      <c r="A369" s="3">
        <v>1125</v>
      </c>
      <c r="B369" s="3" t="str">
        <f>_xlfn.XLOOKUP(A369,'Data Cleaning'!A369:A1838, 'Data Cleaning'!I369:I1838)</f>
        <v>35-44</v>
      </c>
      <c r="C369">
        <f>_xlfn.XLOOKUP(A369,'Data Cleaning'!A369:A1838,'Data Cleaning'!K369:K1838)</f>
        <v>0</v>
      </c>
      <c r="D369" t="str">
        <f>_xlfn.XLOOKUP(A369,'Data Cleaning'!A369:A1838, 'Data Cleaning'!D369:D1838)</f>
        <v>College</v>
      </c>
      <c r="E369" s="3" t="str">
        <f>_xlfn.XLOOKUP(A369,'Data Cleaning'!A369:A1838, 'Data Cleaning'!E369:E1838)</f>
        <v>Single</v>
      </c>
      <c r="F369" t="str">
        <f>_xlfn.XLOOKUP(A369,'Data Cleaning'!A369:A1838, 'Data Cleaning'!F369:F1838)</f>
        <v>None</v>
      </c>
      <c r="G369" s="3" t="str">
        <f>_xlfn.XLOOKUP(A369,'Data Cleaning'!A369:A1838, 'Data Cleaning'!J369:J1838)</f>
        <v>Recently promoted</v>
      </c>
    </row>
    <row r="370" spans="1:7" x14ac:dyDescent="0.25">
      <c r="A370" s="3">
        <v>334</v>
      </c>
      <c r="B370" s="3" t="str">
        <f>_xlfn.XLOOKUP(A370,'Data Cleaning'!A370:A1839, 'Data Cleaning'!I370:I1839)</f>
        <v>35-44</v>
      </c>
      <c r="C370">
        <f>_xlfn.XLOOKUP(A370,'Data Cleaning'!A370:A1839,'Data Cleaning'!K370:K1839)</f>
        <v>0</v>
      </c>
      <c r="D370" t="str">
        <f>_xlfn.XLOOKUP(A370,'Data Cleaning'!A370:A1839, 'Data Cleaning'!D370:D1839)</f>
        <v>College</v>
      </c>
      <c r="E370" s="3" t="str">
        <f>_xlfn.XLOOKUP(A370,'Data Cleaning'!A370:A1839, 'Data Cleaning'!E370:E1839)</f>
        <v>Divorced</v>
      </c>
      <c r="F370" t="str">
        <f>_xlfn.XLOOKUP(A370,'Data Cleaning'!A370:A1839, 'Data Cleaning'!F370:F1839)</f>
        <v>Mid</v>
      </c>
      <c r="G370" s="3" t="str">
        <f>_xlfn.XLOOKUP(A370,'Data Cleaning'!A370:A1839, 'Data Cleaning'!J370:J1839)</f>
        <v>Recently promoted</v>
      </c>
    </row>
    <row r="371" spans="1:7" x14ac:dyDescent="0.25">
      <c r="A371" s="3">
        <v>568</v>
      </c>
      <c r="B371" s="3" t="str">
        <f>_xlfn.XLOOKUP(A371,'Data Cleaning'!A371:A1840, 'Data Cleaning'!I371:I1840)</f>
        <v>55-60</v>
      </c>
      <c r="C371">
        <f>_xlfn.XLOOKUP(A371,'Data Cleaning'!A371:A1840,'Data Cleaning'!K371:K1840)</f>
        <v>0</v>
      </c>
      <c r="D371" t="str">
        <f>_xlfn.XLOOKUP(A371,'Data Cleaning'!A371:A1840, 'Data Cleaning'!D371:D1840)</f>
        <v>Bachelor</v>
      </c>
      <c r="E371" s="3" t="str">
        <f>_xlfn.XLOOKUP(A371,'Data Cleaning'!A371:A1840, 'Data Cleaning'!E371:E1840)</f>
        <v>Divorced</v>
      </c>
      <c r="F371" t="str">
        <f>_xlfn.XLOOKUP(A371,'Data Cleaning'!A371:A1840, 'Data Cleaning'!F371:F1840)</f>
        <v>Low</v>
      </c>
      <c r="G371" s="3" t="str">
        <f>_xlfn.XLOOKUP(A371,'Data Cleaning'!A371:A1840, 'Data Cleaning'!J371:J1840)</f>
        <v>Recently promoted</v>
      </c>
    </row>
    <row r="372" spans="1:7" x14ac:dyDescent="0.25">
      <c r="A372" s="3">
        <v>1292</v>
      </c>
      <c r="B372" s="3" t="str">
        <f>_xlfn.XLOOKUP(A372,'Data Cleaning'!A372:A1841, 'Data Cleaning'!I372:I1841)</f>
        <v>35-44</v>
      </c>
      <c r="C372">
        <f>_xlfn.XLOOKUP(A372,'Data Cleaning'!A372:A1841,'Data Cleaning'!K372:K1841)</f>
        <v>0</v>
      </c>
      <c r="D372" t="str">
        <f>_xlfn.XLOOKUP(A372,'Data Cleaning'!A372:A1841, 'Data Cleaning'!D372:D1841)</f>
        <v>Master</v>
      </c>
      <c r="E372" s="3" t="str">
        <f>_xlfn.XLOOKUP(A372,'Data Cleaning'!A372:A1841, 'Data Cleaning'!E372:E1841)</f>
        <v>Married</v>
      </c>
      <c r="F372" t="str">
        <f>_xlfn.XLOOKUP(A372,'Data Cleaning'!A372:A1841, 'Data Cleaning'!F372:F1841)</f>
        <v>None</v>
      </c>
      <c r="G372" s="3" t="str">
        <f>_xlfn.XLOOKUP(A372,'Data Cleaning'!A372:A1841, 'Data Cleaning'!J372:J1841)</f>
        <v>Recently promoted</v>
      </c>
    </row>
    <row r="373" spans="1:7" x14ac:dyDescent="0.25">
      <c r="A373" s="3">
        <v>101</v>
      </c>
      <c r="B373" s="3" t="str">
        <f>_xlfn.XLOOKUP(A373,'Data Cleaning'!A373:A1842, 'Data Cleaning'!I373:I1842)</f>
        <v>45-54</v>
      </c>
      <c r="C373">
        <f>_xlfn.XLOOKUP(A373,'Data Cleaning'!A373:A1842,'Data Cleaning'!K373:K1842)</f>
        <v>0</v>
      </c>
      <c r="D373" t="str">
        <f>_xlfn.XLOOKUP(A373,'Data Cleaning'!A373:A1842, 'Data Cleaning'!D373:D1842)</f>
        <v>Master</v>
      </c>
      <c r="E373" s="3" t="str">
        <f>_xlfn.XLOOKUP(A373,'Data Cleaning'!A373:A1842, 'Data Cleaning'!E373:E1842)</f>
        <v>Married</v>
      </c>
      <c r="F373" t="str">
        <f>_xlfn.XLOOKUP(A373,'Data Cleaning'!A373:A1842, 'Data Cleaning'!F373:F1842)</f>
        <v>None</v>
      </c>
      <c r="G373" s="3" t="str">
        <f>_xlfn.XLOOKUP(A373,'Data Cleaning'!A373:A1842, 'Data Cleaning'!J373:J1842)</f>
        <v>Recently promoted</v>
      </c>
    </row>
    <row r="374" spans="1:7" x14ac:dyDescent="0.25">
      <c r="A374" s="3">
        <v>479</v>
      </c>
      <c r="B374" s="3" t="str">
        <f>_xlfn.XLOOKUP(A374,'Data Cleaning'!A374:A1843, 'Data Cleaning'!I374:I1843)</f>
        <v>35-44</v>
      </c>
      <c r="C374">
        <f>_xlfn.XLOOKUP(A374,'Data Cleaning'!A374:A1843,'Data Cleaning'!K374:K1843)</f>
        <v>0</v>
      </c>
      <c r="D374" t="str">
        <f>_xlfn.XLOOKUP(A374,'Data Cleaning'!A374:A1843, 'Data Cleaning'!D374:D1843)</f>
        <v>Doctor</v>
      </c>
      <c r="E374" s="3" t="str">
        <f>_xlfn.XLOOKUP(A374,'Data Cleaning'!A374:A1843, 'Data Cleaning'!E374:E1843)</f>
        <v>Single</v>
      </c>
      <c r="F374" t="str">
        <f>_xlfn.XLOOKUP(A374,'Data Cleaning'!A374:A1843, 'Data Cleaning'!F374:F1843)</f>
        <v>None</v>
      </c>
      <c r="G374" s="3" t="str">
        <f>_xlfn.XLOOKUP(A374,'Data Cleaning'!A374:A1843, 'Data Cleaning'!J374:J1843)</f>
        <v>Recently promoted</v>
      </c>
    </row>
    <row r="375" spans="1:7" x14ac:dyDescent="0.25">
      <c r="A375" s="3">
        <v>1595</v>
      </c>
      <c r="B375" s="3" t="str">
        <f>_xlfn.XLOOKUP(A375,'Data Cleaning'!A375:A1844, 'Data Cleaning'!I375:I1844)</f>
        <v>35-44</v>
      </c>
      <c r="C375">
        <f>_xlfn.XLOOKUP(A375,'Data Cleaning'!A375:A1844,'Data Cleaning'!K375:K1844)</f>
        <v>0</v>
      </c>
      <c r="D375" t="str">
        <f>_xlfn.XLOOKUP(A375,'Data Cleaning'!A375:A1844, 'Data Cleaning'!D375:D1844)</f>
        <v>College</v>
      </c>
      <c r="E375" s="3" t="str">
        <f>_xlfn.XLOOKUP(A375,'Data Cleaning'!A375:A1844, 'Data Cleaning'!E375:E1844)</f>
        <v>Single</v>
      </c>
      <c r="F375" t="str">
        <f>_xlfn.XLOOKUP(A375,'Data Cleaning'!A375:A1844, 'Data Cleaning'!F375:F1844)</f>
        <v>None</v>
      </c>
      <c r="G375" s="3" t="str">
        <f>_xlfn.XLOOKUP(A375,'Data Cleaning'!A375:A1844, 'Data Cleaning'!J375:J1844)</f>
        <v>Recently promoted</v>
      </c>
    </row>
    <row r="376" spans="1:7" x14ac:dyDescent="0.25">
      <c r="A376" s="3">
        <v>468</v>
      </c>
      <c r="B376" s="3" t="str">
        <f>_xlfn.XLOOKUP(A376,'Data Cleaning'!A376:A1845, 'Data Cleaning'!I376:I1845)</f>
        <v>35-44</v>
      </c>
      <c r="C376">
        <f>_xlfn.XLOOKUP(A376,'Data Cleaning'!A376:A1845,'Data Cleaning'!K376:K1845)</f>
        <v>0</v>
      </c>
      <c r="D376" t="str">
        <f>_xlfn.XLOOKUP(A376,'Data Cleaning'!A376:A1845, 'Data Cleaning'!D376:D1845)</f>
        <v>Doctor</v>
      </c>
      <c r="E376" s="3" t="str">
        <f>_xlfn.XLOOKUP(A376,'Data Cleaning'!A376:A1845, 'Data Cleaning'!E376:E1845)</f>
        <v>Single</v>
      </c>
      <c r="F376" t="str">
        <f>_xlfn.XLOOKUP(A376,'Data Cleaning'!A376:A1845, 'Data Cleaning'!F376:F1845)</f>
        <v>None</v>
      </c>
      <c r="G376" s="3" t="str">
        <f>_xlfn.XLOOKUP(A376,'Data Cleaning'!A376:A1845, 'Data Cleaning'!J376:J1845)</f>
        <v>Recently promoted</v>
      </c>
    </row>
    <row r="377" spans="1:7" x14ac:dyDescent="0.25">
      <c r="A377" s="3">
        <v>1481</v>
      </c>
      <c r="B377" s="3" t="str">
        <f>_xlfn.XLOOKUP(A377,'Data Cleaning'!A377:A1846, 'Data Cleaning'!I377:I1846)</f>
        <v>35-44</v>
      </c>
      <c r="C377">
        <f>_xlfn.XLOOKUP(A377,'Data Cleaning'!A377:A1846,'Data Cleaning'!K377:K1846)</f>
        <v>0</v>
      </c>
      <c r="D377" t="str">
        <f>_xlfn.XLOOKUP(A377,'Data Cleaning'!A377:A1846, 'Data Cleaning'!D377:D1846)</f>
        <v>Doctor</v>
      </c>
      <c r="E377" s="3" t="str">
        <f>_xlfn.XLOOKUP(A377,'Data Cleaning'!A377:A1846, 'Data Cleaning'!E377:E1846)</f>
        <v>Married</v>
      </c>
      <c r="F377" t="str">
        <f>_xlfn.XLOOKUP(A377,'Data Cleaning'!A377:A1846, 'Data Cleaning'!F377:F1846)</f>
        <v>Low</v>
      </c>
      <c r="G377" s="3" t="str">
        <f>_xlfn.XLOOKUP(A377,'Data Cleaning'!A377:A1846, 'Data Cleaning'!J377:J1846)</f>
        <v>Recently promoted</v>
      </c>
    </row>
    <row r="378" spans="1:7" x14ac:dyDescent="0.25">
      <c r="A378" s="3">
        <v>1770</v>
      </c>
      <c r="B378" s="3" t="str">
        <f>_xlfn.XLOOKUP(A378,'Data Cleaning'!A378:A1847, 'Data Cleaning'!I378:I1847)</f>
        <v>55-60</v>
      </c>
      <c r="C378">
        <f>_xlfn.XLOOKUP(A378,'Data Cleaning'!A378:A1847,'Data Cleaning'!K378:K1847)</f>
        <v>0</v>
      </c>
      <c r="D378" t="str">
        <f>_xlfn.XLOOKUP(A378,'Data Cleaning'!A378:A1847, 'Data Cleaning'!D378:D1847)</f>
        <v>Bachelor</v>
      </c>
      <c r="E378" s="3" t="str">
        <f>_xlfn.XLOOKUP(A378,'Data Cleaning'!A378:A1847, 'Data Cleaning'!E378:E1847)</f>
        <v>Married</v>
      </c>
      <c r="F378" t="str">
        <f>_xlfn.XLOOKUP(A378,'Data Cleaning'!A378:A1847, 'Data Cleaning'!F378:F1847)</f>
        <v>High</v>
      </c>
      <c r="G378" s="3" t="str">
        <f>_xlfn.XLOOKUP(A378,'Data Cleaning'!A378:A1847, 'Data Cleaning'!J378:J1847)</f>
        <v>Recently promoted</v>
      </c>
    </row>
    <row r="379" spans="1:7" x14ac:dyDescent="0.25">
      <c r="A379" s="3">
        <v>1515</v>
      </c>
      <c r="B379" s="3" t="str">
        <f>_xlfn.XLOOKUP(A379,'Data Cleaning'!A379:A1848, 'Data Cleaning'!I379:I1848)</f>
        <v>25-34</v>
      </c>
      <c r="C379">
        <f>_xlfn.XLOOKUP(A379,'Data Cleaning'!A379:A1848,'Data Cleaning'!K379:K1848)</f>
        <v>0</v>
      </c>
      <c r="D379" t="str">
        <f>_xlfn.XLOOKUP(A379,'Data Cleaning'!A379:A1848, 'Data Cleaning'!D379:D1848)</f>
        <v>Doctor</v>
      </c>
      <c r="E379" s="3" t="str">
        <f>_xlfn.XLOOKUP(A379,'Data Cleaning'!A379:A1848, 'Data Cleaning'!E379:E1848)</f>
        <v>Single</v>
      </c>
      <c r="F379" t="str">
        <f>_xlfn.XLOOKUP(A379,'Data Cleaning'!A379:A1848, 'Data Cleaning'!F379:F1848)</f>
        <v>None</v>
      </c>
      <c r="G379" s="3" t="str">
        <f>_xlfn.XLOOKUP(A379,'Data Cleaning'!A379:A1848, 'Data Cleaning'!J379:J1848)</f>
        <v>Recently promoted</v>
      </c>
    </row>
    <row r="380" spans="1:7" x14ac:dyDescent="0.25">
      <c r="A380" s="3">
        <v>1731</v>
      </c>
      <c r="B380" s="3" t="str">
        <f>_xlfn.XLOOKUP(A380,'Data Cleaning'!A380:A1849, 'Data Cleaning'!I380:I1849)</f>
        <v>45-54</v>
      </c>
      <c r="C380">
        <f>_xlfn.XLOOKUP(A380,'Data Cleaning'!A380:A1849,'Data Cleaning'!K380:K1849)</f>
        <v>0</v>
      </c>
      <c r="D380" t="str">
        <f>_xlfn.XLOOKUP(A380,'Data Cleaning'!A380:A1849, 'Data Cleaning'!D380:D1849)</f>
        <v>Master</v>
      </c>
      <c r="E380" s="3" t="str">
        <f>_xlfn.XLOOKUP(A380,'Data Cleaning'!A380:A1849, 'Data Cleaning'!E380:E1849)</f>
        <v>Married</v>
      </c>
      <c r="F380" t="str">
        <f>_xlfn.XLOOKUP(A380,'Data Cleaning'!A380:A1849, 'Data Cleaning'!F380:F1849)</f>
        <v>Low</v>
      </c>
      <c r="G380" s="3" t="str">
        <f>_xlfn.XLOOKUP(A380,'Data Cleaning'!A380:A1849, 'Data Cleaning'!J380:J1849)</f>
        <v>Recently promoted</v>
      </c>
    </row>
    <row r="381" spans="1:7" x14ac:dyDescent="0.25">
      <c r="A381" s="3">
        <v>954</v>
      </c>
      <c r="B381" s="3" t="str">
        <f>_xlfn.XLOOKUP(A381,'Data Cleaning'!A381:A1850, 'Data Cleaning'!I381:I1850)</f>
        <v>35-44</v>
      </c>
      <c r="C381">
        <f>_xlfn.XLOOKUP(A381,'Data Cleaning'!A381:A1850,'Data Cleaning'!K381:K1850)</f>
        <v>0</v>
      </c>
      <c r="D381" t="str">
        <f>_xlfn.XLOOKUP(A381,'Data Cleaning'!A381:A1850, 'Data Cleaning'!D381:D1850)</f>
        <v>Master</v>
      </c>
      <c r="E381" s="3" t="str">
        <f>_xlfn.XLOOKUP(A381,'Data Cleaning'!A381:A1850, 'Data Cleaning'!E381:E1850)</f>
        <v>Divorced</v>
      </c>
      <c r="F381" t="str">
        <f>_xlfn.XLOOKUP(A381,'Data Cleaning'!A381:A1850, 'Data Cleaning'!F381:F1850)</f>
        <v>Low</v>
      </c>
      <c r="G381" s="3" t="str">
        <f>_xlfn.XLOOKUP(A381,'Data Cleaning'!A381:A1850, 'Data Cleaning'!J381:J1850)</f>
        <v>Recently promoted</v>
      </c>
    </row>
    <row r="382" spans="1:7" x14ac:dyDescent="0.25">
      <c r="A382" s="3">
        <v>518</v>
      </c>
      <c r="B382" s="3" t="str">
        <f>_xlfn.XLOOKUP(A382,'Data Cleaning'!A382:A1851, 'Data Cleaning'!I382:I1851)</f>
        <v>35-44</v>
      </c>
      <c r="C382">
        <f>_xlfn.XLOOKUP(A382,'Data Cleaning'!A382:A1851,'Data Cleaning'!K382:K1851)</f>
        <v>0</v>
      </c>
      <c r="D382" t="str">
        <f>_xlfn.XLOOKUP(A382,'Data Cleaning'!A382:A1851, 'Data Cleaning'!D382:D1851)</f>
        <v>Master</v>
      </c>
      <c r="E382" s="3" t="str">
        <f>_xlfn.XLOOKUP(A382,'Data Cleaning'!A382:A1851, 'Data Cleaning'!E382:E1851)</f>
        <v>Single</v>
      </c>
      <c r="F382" t="str">
        <f>_xlfn.XLOOKUP(A382,'Data Cleaning'!A382:A1851, 'Data Cleaning'!F382:F1851)</f>
        <v>None</v>
      </c>
      <c r="G382" s="3" t="str">
        <f>_xlfn.XLOOKUP(A382,'Data Cleaning'!A382:A1851, 'Data Cleaning'!J382:J1851)</f>
        <v>Recently promoted</v>
      </c>
    </row>
    <row r="383" spans="1:7" x14ac:dyDescent="0.25">
      <c r="A383" s="3">
        <v>473</v>
      </c>
      <c r="B383" s="3" t="str">
        <f>_xlfn.XLOOKUP(A383,'Data Cleaning'!A383:A1852, 'Data Cleaning'!I383:I1852)</f>
        <v>45-54</v>
      </c>
      <c r="C383">
        <f>_xlfn.XLOOKUP(A383,'Data Cleaning'!A383:A1852,'Data Cleaning'!K383:K1852)</f>
        <v>0</v>
      </c>
      <c r="D383" t="str">
        <f>_xlfn.XLOOKUP(A383,'Data Cleaning'!A383:A1852, 'Data Cleaning'!D383:D1852)</f>
        <v>Below College</v>
      </c>
      <c r="E383" s="3" t="str">
        <f>_xlfn.XLOOKUP(A383,'Data Cleaning'!A383:A1852, 'Data Cleaning'!E383:E1852)</f>
        <v>Married</v>
      </c>
      <c r="F383" t="str">
        <f>_xlfn.XLOOKUP(A383,'Data Cleaning'!A383:A1852, 'Data Cleaning'!F383:F1852)</f>
        <v>Low</v>
      </c>
      <c r="G383" s="3" t="str">
        <f>_xlfn.XLOOKUP(A383,'Data Cleaning'!A383:A1852, 'Data Cleaning'!J383:J1852)</f>
        <v>Recently promoted</v>
      </c>
    </row>
    <row r="384" spans="1:7" x14ac:dyDescent="0.25">
      <c r="A384" s="3">
        <v>496</v>
      </c>
      <c r="B384" s="3" t="str">
        <f>_xlfn.XLOOKUP(A384,'Data Cleaning'!A384:A1853, 'Data Cleaning'!I384:I1853)</f>
        <v>35-44</v>
      </c>
      <c r="C384">
        <f>_xlfn.XLOOKUP(A384,'Data Cleaning'!A384:A1853,'Data Cleaning'!K384:K1853)</f>
        <v>0</v>
      </c>
      <c r="D384" t="str">
        <f>_xlfn.XLOOKUP(A384,'Data Cleaning'!A384:A1853, 'Data Cleaning'!D384:D1853)</f>
        <v>Master</v>
      </c>
      <c r="E384" s="3" t="str">
        <f>_xlfn.XLOOKUP(A384,'Data Cleaning'!A384:A1853, 'Data Cleaning'!E384:E1853)</f>
        <v>Single</v>
      </c>
      <c r="F384" t="str">
        <f>_xlfn.XLOOKUP(A384,'Data Cleaning'!A384:A1853, 'Data Cleaning'!F384:F1853)</f>
        <v>None</v>
      </c>
      <c r="G384" s="3" t="str">
        <f>_xlfn.XLOOKUP(A384,'Data Cleaning'!A384:A1853, 'Data Cleaning'!J384:J1853)</f>
        <v>Recently promoted</v>
      </c>
    </row>
    <row r="385" spans="1:7" x14ac:dyDescent="0.25">
      <c r="A385" s="3">
        <v>1697</v>
      </c>
      <c r="B385" s="3" t="str">
        <f>_xlfn.XLOOKUP(A385,'Data Cleaning'!A385:A1854, 'Data Cleaning'!I385:I1854)</f>
        <v>55-60</v>
      </c>
      <c r="C385">
        <f>_xlfn.XLOOKUP(A385,'Data Cleaning'!A385:A1854,'Data Cleaning'!K385:K1854)</f>
        <v>0</v>
      </c>
      <c r="D385" t="str">
        <f>_xlfn.XLOOKUP(A385,'Data Cleaning'!A385:A1854, 'Data Cleaning'!D385:D1854)</f>
        <v>Master</v>
      </c>
      <c r="E385" s="3" t="str">
        <f>_xlfn.XLOOKUP(A385,'Data Cleaning'!A385:A1854, 'Data Cleaning'!E385:E1854)</f>
        <v>Divorced</v>
      </c>
      <c r="F385" t="str">
        <f>_xlfn.XLOOKUP(A385,'Data Cleaning'!A385:A1854, 'Data Cleaning'!F385:F1854)</f>
        <v>Low</v>
      </c>
      <c r="G385" s="3" t="str">
        <f>_xlfn.XLOOKUP(A385,'Data Cleaning'!A385:A1854, 'Data Cleaning'!J385:J1854)</f>
        <v>Recently promoted</v>
      </c>
    </row>
    <row r="386" spans="1:7" x14ac:dyDescent="0.25">
      <c r="A386" s="3">
        <v>1585</v>
      </c>
      <c r="B386" s="3" t="str">
        <f>_xlfn.XLOOKUP(A386,'Data Cleaning'!A386:A1855, 'Data Cleaning'!I386:I1855)</f>
        <v>35-44</v>
      </c>
      <c r="C386">
        <f>_xlfn.XLOOKUP(A386,'Data Cleaning'!A386:A1855,'Data Cleaning'!K386:K1855)</f>
        <v>0</v>
      </c>
      <c r="D386" t="str">
        <f>_xlfn.XLOOKUP(A386,'Data Cleaning'!A386:A1855, 'Data Cleaning'!D386:D1855)</f>
        <v>Master</v>
      </c>
      <c r="E386" s="3" t="str">
        <f>_xlfn.XLOOKUP(A386,'Data Cleaning'!A386:A1855, 'Data Cleaning'!E386:E1855)</f>
        <v>Single</v>
      </c>
      <c r="F386" t="str">
        <f>_xlfn.XLOOKUP(A386,'Data Cleaning'!A386:A1855, 'Data Cleaning'!F386:F1855)</f>
        <v>None</v>
      </c>
      <c r="G386" s="3" t="str">
        <f>_xlfn.XLOOKUP(A386,'Data Cleaning'!A386:A1855, 'Data Cleaning'!J386:J1855)</f>
        <v>Recently promoted</v>
      </c>
    </row>
    <row r="387" spans="1:7" x14ac:dyDescent="0.25">
      <c r="A387" s="3">
        <v>832</v>
      </c>
      <c r="B387" s="3" t="str">
        <f>_xlfn.XLOOKUP(A387,'Data Cleaning'!A387:A1856, 'Data Cleaning'!I387:I1856)</f>
        <v>35-44</v>
      </c>
      <c r="C387">
        <f>_xlfn.XLOOKUP(A387,'Data Cleaning'!A387:A1856,'Data Cleaning'!K387:K1856)</f>
        <v>0</v>
      </c>
      <c r="D387" t="str">
        <f>_xlfn.XLOOKUP(A387,'Data Cleaning'!A387:A1856, 'Data Cleaning'!D387:D1856)</f>
        <v>Master</v>
      </c>
      <c r="E387" s="3" t="str">
        <f>_xlfn.XLOOKUP(A387,'Data Cleaning'!A387:A1856, 'Data Cleaning'!E387:E1856)</f>
        <v>Single</v>
      </c>
      <c r="F387" t="str">
        <f>_xlfn.XLOOKUP(A387,'Data Cleaning'!A387:A1856, 'Data Cleaning'!F387:F1856)</f>
        <v>None</v>
      </c>
      <c r="G387" s="3" t="str">
        <f>_xlfn.XLOOKUP(A387,'Data Cleaning'!A387:A1856, 'Data Cleaning'!J387:J1856)</f>
        <v>Recently promoted</v>
      </c>
    </row>
    <row r="388" spans="1:7" x14ac:dyDescent="0.25">
      <c r="A388" s="3">
        <v>1148</v>
      </c>
      <c r="B388" s="3" t="str">
        <f>_xlfn.XLOOKUP(A388,'Data Cleaning'!A388:A1857, 'Data Cleaning'!I388:I1857)</f>
        <v>35-44</v>
      </c>
      <c r="C388">
        <f>_xlfn.XLOOKUP(A388,'Data Cleaning'!A388:A1857,'Data Cleaning'!K388:K1857)</f>
        <v>0</v>
      </c>
      <c r="D388" t="str">
        <f>_xlfn.XLOOKUP(A388,'Data Cleaning'!A388:A1857, 'Data Cleaning'!D388:D1857)</f>
        <v>Bachelor</v>
      </c>
      <c r="E388" s="3" t="str">
        <f>_xlfn.XLOOKUP(A388,'Data Cleaning'!A388:A1857, 'Data Cleaning'!E388:E1857)</f>
        <v>Single</v>
      </c>
      <c r="F388" t="str">
        <f>_xlfn.XLOOKUP(A388,'Data Cleaning'!A388:A1857, 'Data Cleaning'!F388:F1857)</f>
        <v>None</v>
      </c>
      <c r="G388" s="3" t="str">
        <f>_xlfn.XLOOKUP(A388,'Data Cleaning'!A388:A1857, 'Data Cleaning'!J388:J1857)</f>
        <v>Recently promoted</v>
      </c>
    </row>
    <row r="389" spans="1:7" x14ac:dyDescent="0.25">
      <c r="A389" s="3">
        <v>451</v>
      </c>
      <c r="B389" s="3" t="str">
        <f>_xlfn.XLOOKUP(A389,'Data Cleaning'!A389:A1858, 'Data Cleaning'!I389:I1858)</f>
        <v>35-44</v>
      </c>
      <c r="C389">
        <f>_xlfn.XLOOKUP(A389,'Data Cleaning'!A389:A1858,'Data Cleaning'!K389:K1858)</f>
        <v>0</v>
      </c>
      <c r="D389" t="str">
        <f>_xlfn.XLOOKUP(A389,'Data Cleaning'!A389:A1858, 'Data Cleaning'!D389:D1858)</f>
        <v>Bachelor</v>
      </c>
      <c r="E389" s="3" t="str">
        <f>_xlfn.XLOOKUP(A389,'Data Cleaning'!A389:A1858, 'Data Cleaning'!E389:E1858)</f>
        <v>Married</v>
      </c>
      <c r="F389" t="str">
        <f>_xlfn.XLOOKUP(A389,'Data Cleaning'!A389:A1858, 'Data Cleaning'!F389:F1858)</f>
        <v>Low</v>
      </c>
      <c r="G389" s="3" t="str">
        <f>_xlfn.XLOOKUP(A389,'Data Cleaning'!A389:A1858, 'Data Cleaning'!J389:J1858)</f>
        <v>Recently promoted</v>
      </c>
    </row>
    <row r="390" spans="1:7" x14ac:dyDescent="0.25">
      <c r="A390" s="3">
        <v>578</v>
      </c>
      <c r="B390" s="3" t="str">
        <f>_xlfn.XLOOKUP(A390,'Data Cleaning'!A390:A1859, 'Data Cleaning'!I390:I1859)</f>
        <v>45-54</v>
      </c>
      <c r="C390">
        <f>_xlfn.XLOOKUP(A390,'Data Cleaning'!A390:A1859,'Data Cleaning'!K390:K1859)</f>
        <v>0</v>
      </c>
      <c r="D390" t="str">
        <f>_xlfn.XLOOKUP(A390,'Data Cleaning'!A390:A1859, 'Data Cleaning'!D390:D1859)</f>
        <v>Master</v>
      </c>
      <c r="E390" s="3" t="str">
        <f>_xlfn.XLOOKUP(A390,'Data Cleaning'!A390:A1859, 'Data Cleaning'!E390:E1859)</f>
        <v>Single</v>
      </c>
      <c r="F390" t="str">
        <f>_xlfn.XLOOKUP(A390,'Data Cleaning'!A390:A1859, 'Data Cleaning'!F390:F1859)</f>
        <v>None</v>
      </c>
      <c r="G390" s="3" t="str">
        <f>_xlfn.XLOOKUP(A390,'Data Cleaning'!A390:A1859, 'Data Cleaning'!J390:J1859)</f>
        <v>Recently promoted</v>
      </c>
    </row>
    <row r="391" spans="1:7" x14ac:dyDescent="0.25">
      <c r="A391" s="3">
        <v>1040</v>
      </c>
      <c r="B391" s="3" t="str">
        <f>_xlfn.XLOOKUP(A391,'Data Cleaning'!A391:A1860, 'Data Cleaning'!I391:I1860)</f>
        <v>45-54</v>
      </c>
      <c r="C391">
        <f>_xlfn.XLOOKUP(A391,'Data Cleaning'!A391:A1860,'Data Cleaning'!K391:K1860)</f>
        <v>0</v>
      </c>
      <c r="D391" t="str">
        <f>_xlfn.XLOOKUP(A391,'Data Cleaning'!A391:A1860, 'Data Cleaning'!D391:D1860)</f>
        <v>Bachelor</v>
      </c>
      <c r="E391" s="3" t="str">
        <f>_xlfn.XLOOKUP(A391,'Data Cleaning'!A391:A1860, 'Data Cleaning'!E391:E1860)</f>
        <v>Married</v>
      </c>
      <c r="F391" t="str">
        <f>_xlfn.XLOOKUP(A391,'Data Cleaning'!A391:A1860, 'Data Cleaning'!F391:F1860)</f>
        <v>Low</v>
      </c>
      <c r="G391" s="3" t="str">
        <f>_xlfn.XLOOKUP(A391,'Data Cleaning'!A391:A1860, 'Data Cleaning'!J391:J1860)</f>
        <v>Recently promoted</v>
      </c>
    </row>
    <row r="392" spans="1:7" x14ac:dyDescent="0.25">
      <c r="A392" s="3">
        <v>1133</v>
      </c>
      <c r="B392" s="3" t="str">
        <f>_xlfn.XLOOKUP(A392,'Data Cleaning'!A392:A1861, 'Data Cleaning'!I392:I1861)</f>
        <v>35-44</v>
      </c>
      <c r="C392">
        <f>_xlfn.XLOOKUP(A392,'Data Cleaning'!A392:A1861,'Data Cleaning'!K392:K1861)</f>
        <v>0</v>
      </c>
      <c r="D392" t="str">
        <f>_xlfn.XLOOKUP(A392,'Data Cleaning'!A392:A1861, 'Data Cleaning'!D392:D1861)</f>
        <v>Master</v>
      </c>
      <c r="E392" s="3" t="str">
        <f>_xlfn.XLOOKUP(A392,'Data Cleaning'!A392:A1861, 'Data Cleaning'!E392:E1861)</f>
        <v>Single</v>
      </c>
      <c r="F392" t="str">
        <f>_xlfn.XLOOKUP(A392,'Data Cleaning'!A392:A1861, 'Data Cleaning'!F392:F1861)</f>
        <v>None</v>
      </c>
      <c r="G392" s="3" t="str">
        <f>_xlfn.XLOOKUP(A392,'Data Cleaning'!A392:A1861, 'Data Cleaning'!J392:J1861)</f>
        <v>Recently promoted</v>
      </c>
    </row>
    <row r="393" spans="1:7" x14ac:dyDescent="0.25">
      <c r="A393" s="3">
        <v>1890</v>
      </c>
      <c r="B393" s="3" t="str">
        <f>_xlfn.XLOOKUP(A393,'Data Cleaning'!A393:A1862, 'Data Cleaning'!I393:I1862)</f>
        <v>35-44</v>
      </c>
      <c r="C393">
        <f>_xlfn.XLOOKUP(A393,'Data Cleaning'!A393:A1862,'Data Cleaning'!K393:K1862)</f>
        <v>0</v>
      </c>
      <c r="D393" t="str">
        <f>_xlfn.XLOOKUP(A393,'Data Cleaning'!A393:A1862, 'Data Cleaning'!D393:D1862)</f>
        <v>Below College</v>
      </c>
      <c r="E393" s="3" t="str">
        <f>_xlfn.XLOOKUP(A393,'Data Cleaning'!A393:A1862, 'Data Cleaning'!E393:E1862)</f>
        <v>Single</v>
      </c>
      <c r="F393" t="str">
        <f>_xlfn.XLOOKUP(A393,'Data Cleaning'!A393:A1862, 'Data Cleaning'!F393:F1862)</f>
        <v>None</v>
      </c>
      <c r="G393" s="3" t="str">
        <f>_xlfn.XLOOKUP(A393,'Data Cleaning'!A393:A1862, 'Data Cleaning'!J393:J1862)</f>
        <v>Recently promoted</v>
      </c>
    </row>
    <row r="394" spans="1:7" x14ac:dyDescent="0.25">
      <c r="A394" s="3">
        <v>208</v>
      </c>
      <c r="B394" s="3" t="str">
        <f>_xlfn.XLOOKUP(A394,'Data Cleaning'!A394:A1863, 'Data Cleaning'!I394:I1863)</f>
        <v>25-34</v>
      </c>
      <c r="C394">
        <f>_xlfn.XLOOKUP(A394,'Data Cleaning'!A394:A1863,'Data Cleaning'!K394:K1863)</f>
        <v>0</v>
      </c>
      <c r="D394" t="str">
        <f>_xlfn.XLOOKUP(A394,'Data Cleaning'!A394:A1863, 'Data Cleaning'!D394:D1863)</f>
        <v>Below College</v>
      </c>
      <c r="E394" s="3" t="str">
        <f>_xlfn.XLOOKUP(A394,'Data Cleaning'!A394:A1863, 'Data Cleaning'!E394:E1863)</f>
        <v>Married</v>
      </c>
      <c r="F394" t="str">
        <f>_xlfn.XLOOKUP(A394,'Data Cleaning'!A394:A1863, 'Data Cleaning'!F394:F1863)</f>
        <v>Low</v>
      </c>
      <c r="G394" s="3" t="str">
        <f>_xlfn.XLOOKUP(A394,'Data Cleaning'!A394:A1863, 'Data Cleaning'!J394:J1863)</f>
        <v>Recently promoted</v>
      </c>
    </row>
    <row r="395" spans="1:7" x14ac:dyDescent="0.25">
      <c r="A395" s="3">
        <v>159</v>
      </c>
      <c r="B395" s="3" t="str">
        <f>_xlfn.XLOOKUP(A395,'Data Cleaning'!A395:A1864, 'Data Cleaning'!I395:I1864)</f>
        <v>25-34</v>
      </c>
      <c r="C395">
        <f>_xlfn.XLOOKUP(A395,'Data Cleaning'!A395:A1864,'Data Cleaning'!K395:K1864)</f>
        <v>0</v>
      </c>
      <c r="D395" t="str">
        <f>_xlfn.XLOOKUP(A395,'Data Cleaning'!A395:A1864, 'Data Cleaning'!D395:D1864)</f>
        <v>Bachelor</v>
      </c>
      <c r="E395" s="3" t="str">
        <f>_xlfn.XLOOKUP(A395,'Data Cleaning'!A395:A1864, 'Data Cleaning'!E395:E1864)</f>
        <v>Divorced</v>
      </c>
      <c r="F395" t="str">
        <f>_xlfn.XLOOKUP(A395,'Data Cleaning'!A395:A1864, 'Data Cleaning'!F395:F1864)</f>
        <v>High</v>
      </c>
      <c r="G395" s="3" t="str">
        <f>_xlfn.XLOOKUP(A395,'Data Cleaning'!A395:A1864, 'Data Cleaning'!J395:J1864)</f>
        <v>Recently promoted</v>
      </c>
    </row>
    <row r="396" spans="1:7" x14ac:dyDescent="0.25">
      <c r="A396" s="3">
        <v>62</v>
      </c>
      <c r="B396" s="3" t="str">
        <f>_xlfn.XLOOKUP(A396,'Data Cleaning'!A396:A1865, 'Data Cleaning'!I396:I1865)</f>
        <v>45-54</v>
      </c>
      <c r="C396">
        <f>_xlfn.XLOOKUP(A396,'Data Cleaning'!A396:A1865,'Data Cleaning'!K396:K1865)</f>
        <v>0</v>
      </c>
      <c r="D396" t="str">
        <f>_xlfn.XLOOKUP(A396,'Data Cleaning'!A396:A1865, 'Data Cleaning'!D396:D1865)</f>
        <v>Master</v>
      </c>
      <c r="E396" s="3" t="str">
        <f>_xlfn.XLOOKUP(A396,'Data Cleaning'!A396:A1865, 'Data Cleaning'!E396:E1865)</f>
        <v>Single</v>
      </c>
      <c r="F396" t="str">
        <f>_xlfn.XLOOKUP(A396,'Data Cleaning'!A396:A1865, 'Data Cleaning'!F396:F1865)</f>
        <v>None</v>
      </c>
      <c r="G396" s="3" t="str">
        <f>_xlfn.XLOOKUP(A396,'Data Cleaning'!A396:A1865, 'Data Cleaning'!J396:J1865)</f>
        <v>Recently promoted</v>
      </c>
    </row>
    <row r="397" spans="1:7" x14ac:dyDescent="0.25">
      <c r="A397" s="3">
        <v>742</v>
      </c>
      <c r="B397" s="3" t="str">
        <f>_xlfn.XLOOKUP(A397,'Data Cleaning'!A397:A1866, 'Data Cleaning'!I397:I1866)</f>
        <v>35-44</v>
      </c>
      <c r="C397">
        <f>_xlfn.XLOOKUP(A397,'Data Cleaning'!A397:A1866,'Data Cleaning'!K397:K1866)</f>
        <v>0</v>
      </c>
      <c r="D397" t="str">
        <f>_xlfn.XLOOKUP(A397,'Data Cleaning'!A397:A1866, 'Data Cleaning'!D397:D1866)</f>
        <v>Bachelor</v>
      </c>
      <c r="E397" s="3" t="str">
        <f>_xlfn.XLOOKUP(A397,'Data Cleaning'!A397:A1866, 'Data Cleaning'!E397:E1866)</f>
        <v>Married</v>
      </c>
      <c r="F397" t="str">
        <f>_xlfn.XLOOKUP(A397,'Data Cleaning'!A397:A1866, 'Data Cleaning'!F397:F1866)</f>
        <v>Low</v>
      </c>
      <c r="G397" s="3" t="str">
        <f>_xlfn.XLOOKUP(A397,'Data Cleaning'!A397:A1866, 'Data Cleaning'!J397:J1866)</f>
        <v>Recently promoted</v>
      </c>
    </row>
    <row r="398" spans="1:7" x14ac:dyDescent="0.25">
      <c r="A398" s="3">
        <v>1103</v>
      </c>
      <c r="B398" s="3" t="str">
        <f>_xlfn.XLOOKUP(A398,'Data Cleaning'!A398:A1867, 'Data Cleaning'!I398:I1867)</f>
        <v>25-34</v>
      </c>
      <c r="C398">
        <f>_xlfn.XLOOKUP(A398,'Data Cleaning'!A398:A1867,'Data Cleaning'!K398:K1867)</f>
        <v>0</v>
      </c>
      <c r="D398" t="str">
        <f>_xlfn.XLOOKUP(A398,'Data Cleaning'!A398:A1867, 'Data Cleaning'!D398:D1867)</f>
        <v>Below College</v>
      </c>
      <c r="E398" s="3" t="str">
        <f>_xlfn.XLOOKUP(A398,'Data Cleaning'!A398:A1867, 'Data Cleaning'!E398:E1867)</f>
        <v>Single</v>
      </c>
      <c r="F398" t="str">
        <f>_xlfn.XLOOKUP(A398,'Data Cleaning'!A398:A1867, 'Data Cleaning'!F398:F1867)</f>
        <v>None</v>
      </c>
      <c r="G398" s="3" t="str">
        <f>_xlfn.XLOOKUP(A398,'Data Cleaning'!A398:A1867, 'Data Cleaning'!J398:J1867)</f>
        <v>Recently promoted</v>
      </c>
    </row>
    <row r="399" spans="1:7" x14ac:dyDescent="0.25">
      <c r="A399" s="3">
        <v>714</v>
      </c>
      <c r="B399" s="3" t="str">
        <f>_xlfn.XLOOKUP(A399,'Data Cleaning'!A399:A1868, 'Data Cleaning'!I399:I1868)</f>
        <v>25-34</v>
      </c>
      <c r="C399">
        <f>_xlfn.XLOOKUP(A399,'Data Cleaning'!A399:A1868,'Data Cleaning'!K399:K1868)</f>
        <v>0</v>
      </c>
      <c r="D399" t="str">
        <f>_xlfn.XLOOKUP(A399,'Data Cleaning'!A399:A1868, 'Data Cleaning'!D399:D1868)</f>
        <v>Below College</v>
      </c>
      <c r="E399" s="3" t="str">
        <f>_xlfn.XLOOKUP(A399,'Data Cleaning'!A399:A1868, 'Data Cleaning'!E399:E1868)</f>
        <v>Divorced</v>
      </c>
      <c r="F399" t="str">
        <f>_xlfn.XLOOKUP(A399,'Data Cleaning'!A399:A1868, 'Data Cleaning'!F399:F1868)</f>
        <v>Mid</v>
      </c>
      <c r="G399" s="3" t="str">
        <f>_xlfn.XLOOKUP(A399,'Data Cleaning'!A399:A1868, 'Data Cleaning'!J399:J1868)</f>
        <v>Recently promoted</v>
      </c>
    </row>
    <row r="400" spans="1:7" x14ac:dyDescent="0.25">
      <c r="A400" s="3">
        <v>1397</v>
      </c>
      <c r="B400" s="3" t="str">
        <f>_xlfn.XLOOKUP(A400,'Data Cleaning'!A400:A1869, 'Data Cleaning'!I400:I1869)</f>
        <v>35-44</v>
      </c>
      <c r="C400">
        <f>_xlfn.XLOOKUP(A400,'Data Cleaning'!A400:A1869,'Data Cleaning'!K400:K1869)</f>
        <v>0</v>
      </c>
      <c r="D400" t="str">
        <f>_xlfn.XLOOKUP(A400,'Data Cleaning'!A400:A1869, 'Data Cleaning'!D400:D1869)</f>
        <v>College</v>
      </c>
      <c r="E400" s="3" t="str">
        <f>_xlfn.XLOOKUP(A400,'Data Cleaning'!A400:A1869, 'Data Cleaning'!E400:E1869)</f>
        <v>Married</v>
      </c>
      <c r="F400" t="str">
        <f>_xlfn.XLOOKUP(A400,'Data Cleaning'!A400:A1869, 'Data Cleaning'!F400:F1869)</f>
        <v>Low</v>
      </c>
      <c r="G400" s="3" t="str">
        <f>_xlfn.XLOOKUP(A400,'Data Cleaning'!A400:A1869, 'Data Cleaning'!J400:J1869)</f>
        <v>Recently promoted</v>
      </c>
    </row>
    <row r="401" spans="1:7" x14ac:dyDescent="0.25">
      <c r="A401" s="3">
        <v>1401</v>
      </c>
      <c r="B401" s="3" t="str">
        <f>_xlfn.XLOOKUP(A401,'Data Cleaning'!A401:A1870, 'Data Cleaning'!I401:I1870)</f>
        <v>45-54</v>
      </c>
      <c r="C401">
        <f>_xlfn.XLOOKUP(A401,'Data Cleaning'!A401:A1870,'Data Cleaning'!K401:K1870)</f>
        <v>0</v>
      </c>
      <c r="D401" t="str">
        <f>_xlfn.XLOOKUP(A401,'Data Cleaning'!A401:A1870, 'Data Cleaning'!D401:D1870)</f>
        <v>College</v>
      </c>
      <c r="E401" s="3" t="str">
        <f>_xlfn.XLOOKUP(A401,'Data Cleaning'!A401:A1870, 'Data Cleaning'!E401:E1870)</f>
        <v>Married</v>
      </c>
      <c r="F401" t="str">
        <f>_xlfn.XLOOKUP(A401,'Data Cleaning'!A401:A1870, 'Data Cleaning'!F401:F1870)</f>
        <v>Low</v>
      </c>
      <c r="G401" s="3" t="str">
        <f>_xlfn.XLOOKUP(A401,'Data Cleaning'!A401:A1870, 'Data Cleaning'!J401:J1870)</f>
        <v>Recently promoted</v>
      </c>
    </row>
    <row r="402" spans="1:7" x14ac:dyDescent="0.25">
      <c r="A402" s="3">
        <v>1471</v>
      </c>
      <c r="B402" s="3" t="str">
        <f>_xlfn.XLOOKUP(A402,'Data Cleaning'!A402:A1871, 'Data Cleaning'!I402:I1871)</f>
        <v>35-44</v>
      </c>
      <c r="C402">
        <f>_xlfn.XLOOKUP(A402,'Data Cleaning'!A402:A1871,'Data Cleaning'!K402:K1871)</f>
        <v>0</v>
      </c>
      <c r="D402" t="str">
        <f>_xlfn.XLOOKUP(A402,'Data Cleaning'!A402:A1871, 'Data Cleaning'!D402:D1871)</f>
        <v>Bachelor</v>
      </c>
      <c r="E402" s="3" t="str">
        <f>_xlfn.XLOOKUP(A402,'Data Cleaning'!A402:A1871, 'Data Cleaning'!E402:E1871)</f>
        <v>Single</v>
      </c>
      <c r="F402" t="str">
        <f>_xlfn.XLOOKUP(A402,'Data Cleaning'!A402:A1871, 'Data Cleaning'!F402:F1871)</f>
        <v>None</v>
      </c>
      <c r="G402" s="3" t="str">
        <f>_xlfn.XLOOKUP(A402,'Data Cleaning'!A402:A1871, 'Data Cleaning'!J402:J1871)</f>
        <v>Recently promoted</v>
      </c>
    </row>
    <row r="403" spans="1:7" x14ac:dyDescent="0.25">
      <c r="A403" s="3">
        <v>359</v>
      </c>
      <c r="B403" s="3" t="str">
        <f>_xlfn.XLOOKUP(A403,'Data Cleaning'!A403:A1872, 'Data Cleaning'!I403:I1872)</f>
        <v>25-34</v>
      </c>
      <c r="C403">
        <f>_xlfn.XLOOKUP(A403,'Data Cleaning'!A403:A1872,'Data Cleaning'!K403:K1872)</f>
        <v>0</v>
      </c>
      <c r="D403" t="str">
        <f>_xlfn.XLOOKUP(A403,'Data Cleaning'!A403:A1872, 'Data Cleaning'!D403:D1872)</f>
        <v>Bachelor</v>
      </c>
      <c r="E403" s="3" t="str">
        <f>_xlfn.XLOOKUP(A403,'Data Cleaning'!A403:A1872, 'Data Cleaning'!E403:E1872)</f>
        <v>Married</v>
      </c>
      <c r="F403" t="str">
        <f>_xlfn.XLOOKUP(A403,'Data Cleaning'!A403:A1872, 'Data Cleaning'!F403:F1872)</f>
        <v>None</v>
      </c>
      <c r="G403" s="3" t="str">
        <f>_xlfn.XLOOKUP(A403,'Data Cleaning'!A403:A1872, 'Data Cleaning'!J403:J1872)</f>
        <v>Recently promoted</v>
      </c>
    </row>
    <row r="404" spans="1:7" x14ac:dyDescent="0.25">
      <c r="A404" s="3">
        <v>1949</v>
      </c>
      <c r="B404" s="3" t="str">
        <f>_xlfn.XLOOKUP(A404,'Data Cleaning'!A404:A1873, 'Data Cleaning'!I404:I1873)</f>
        <v>35-44</v>
      </c>
      <c r="C404">
        <f>_xlfn.XLOOKUP(A404,'Data Cleaning'!A404:A1873,'Data Cleaning'!K404:K1873)</f>
        <v>0</v>
      </c>
      <c r="D404" t="str">
        <f>_xlfn.XLOOKUP(A404,'Data Cleaning'!A404:A1873, 'Data Cleaning'!D404:D1873)</f>
        <v>Master</v>
      </c>
      <c r="E404" s="3" t="str">
        <f>_xlfn.XLOOKUP(A404,'Data Cleaning'!A404:A1873, 'Data Cleaning'!E404:E1873)</f>
        <v>Married</v>
      </c>
      <c r="F404" t="str">
        <f>_xlfn.XLOOKUP(A404,'Data Cleaning'!A404:A1873, 'Data Cleaning'!F404:F1873)</f>
        <v>None</v>
      </c>
      <c r="G404" s="3" t="str">
        <f>_xlfn.XLOOKUP(A404,'Data Cleaning'!A404:A1873, 'Data Cleaning'!J404:J1873)</f>
        <v>Recently promoted</v>
      </c>
    </row>
    <row r="405" spans="1:7" x14ac:dyDescent="0.25">
      <c r="A405" s="3">
        <v>1775</v>
      </c>
      <c r="B405" s="3" t="str">
        <f>_xlfn.XLOOKUP(A405,'Data Cleaning'!A405:A1874, 'Data Cleaning'!I405:I1874)</f>
        <v>45-54</v>
      </c>
      <c r="C405">
        <f>_xlfn.XLOOKUP(A405,'Data Cleaning'!A405:A1874,'Data Cleaning'!K405:K1874)</f>
        <v>0</v>
      </c>
      <c r="D405" t="str">
        <f>_xlfn.XLOOKUP(A405,'Data Cleaning'!A405:A1874, 'Data Cleaning'!D405:D1874)</f>
        <v>Master</v>
      </c>
      <c r="E405" s="3" t="str">
        <f>_xlfn.XLOOKUP(A405,'Data Cleaning'!A405:A1874, 'Data Cleaning'!E405:E1874)</f>
        <v>Married</v>
      </c>
      <c r="F405" t="str">
        <f>_xlfn.XLOOKUP(A405,'Data Cleaning'!A405:A1874, 'Data Cleaning'!F405:F1874)</f>
        <v>High</v>
      </c>
      <c r="G405" s="3" t="str">
        <f>_xlfn.XLOOKUP(A405,'Data Cleaning'!A405:A1874, 'Data Cleaning'!J405:J1874)</f>
        <v>Recently promoted</v>
      </c>
    </row>
    <row r="406" spans="1:7" x14ac:dyDescent="0.25">
      <c r="A406" s="3">
        <v>951</v>
      </c>
      <c r="B406" s="3" t="str">
        <f>_xlfn.XLOOKUP(A406,'Data Cleaning'!A406:A1875, 'Data Cleaning'!I406:I1875)</f>
        <v>25-34</v>
      </c>
      <c r="C406">
        <f>_xlfn.XLOOKUP(A406,'Data Cleaning'!A406:A1875,'Data Cleaning'!K406:K1875)</f>
        <v>0</v>
      </c>
      <c r="D406" t="str">
        <f>_xlfn.XLOOKUP(A406,'Data Cleaning'!A406:A1875, 'Data Cleaning'!D406:D1875)</f>
        <v>Bachelor</v>
      </c>
      <c r="E406" s="3" t="str">
        <f>_xlfn.XLOOKUP(A406,'Data Cleaning'!A406:A1875, 'Data Cleaning'!E406:E1875)</f>
        <v>Married</v>
      </c>
      <c r="F406" t="str">
        <f>_xlfn.XLOOKUP(A406,'Data Cleaning'!A406:A1875, 'Data Cleaning'!F406:F1875)</f>
        <v>None</v>
      </c>
      <c r="G406" s="3" t="str">
        <f>_xlfn.XLOOKUP(A406,'Data Cleaning'!A406:A1875, 'Data Cleaning'!J406:J1875)</f>
        <v>Recently promoted</v>
      </c>
    </row>
    <row r="407" spans="1:7" x14ac:dyDescent="0.25">
      <c r="A407" s="3">
        <v>1753</v>
      </c>
      <c r="B407" s="3" t="str">
        <f>_xlfn.XLOOKUP(A407,'Data Cleaning'!A407:A1876, 'Data Cleaning'!I407:I1876)</f>
        <v>25-34</v>
      </c>
      <c r="C407">
        <f>_xlfn.XLOOKUP(A407,'Data Cleaning'!A407:A1876,'Data Cleaning'!K407:K1876)</f>
        <v>0</v>
      </c>
      <c r="D407" t="str">
        <f>_xlfn.XLOOKUP(A407,'Data Cleaning'!A407:A1876, 'Data Cleaning'!D407:D1876)</f>
        <v>Bachelor</v>
      </c>
      <c r="E407" s="3" t="str">
        <f>_xlfn.XLOOKUP(A407,'Data Cleaning'!A407:A1876, 'Data Cleaning'!E407:E1876)</f>
        <v>Single</v>
      </c>
      <c r="F407" t="str">
        <f>_xlfn.XLOOKUP(A407,'Data Cleaning'!A407:A1876, 'Data Cleaning'!F407:F1876)</f>
        <v>None</v>
      </c>
      <c r="G407" s="3" t="str">
        <f>_xlfn.XLOOKUP(A407,'Data Cleaning'!A407:A1876, 'Data Cleaning'!J407:J1876)</f>
        <v>Recently promoted</v>
      </c>
    </row>
    <row r="408" spans="1:7" x14ac:dyDescent="0.25">
      <c r="A408" s="3">
        <v>1937</v>
      </c>
      <c r="B408" s="3" t="str">
        <f>_xlfn.XLOOKUP(A408,'Data Cleaning'!A408:A1877, 'Data Cleaning'!I408:I1877)</f>
        <v>35-44</v>
      </c>
      <c r="C408">
        <f>_xlfn.XLOOKUP(A408,'Data Cleaning'!A408:A1877,'Data Cleaning'!K408:K1877)</f>
        <v>0</v>
      </c>
      <c r="D408" t="str">
        <f>_xlfn.XLOOKUP(A408,'Data Cleaning'!A408:A1877, 'Data Cleaning'!D408:D1877)</f>
        <v>Bachelor</v>
      </c>
      <c r="E408" s="3" t="str">
        <f>_xlfn.XLOOKUP(A408,'Data Cleaning'!A408:A1877, 'Data Cleaning'!E408:E1877)</f>
        <v>Divorced</v>
      </c>
      <c r="F408" t="str">
        <f>_xlfn.XLOOKUP(A408,'Data Cleaning'!A408:A1877, 'Data Cleaning'!F408:F1877)</f>
        <v>Low</v>
      </c>
      <c r="G408" s="3" t="str">
        <f>_xlfn.XLOOKUP(A408,'Data Cleaning'!A408:A1877, 'Data Cleaning'!J408:J1877)</f>
        <v>Recently promoted</v>
      </c>
    </row>
    <row r="409" spans="1:7" x14ac:dyDescent="0.25">
      <c r="A409" s="3">
        <v>999</v>
      </c>
      <c r="B409" s="3" t="str">
        <f>_xlfn.XLOOKUP(A409,'Data Cleaning'!A409:A1878, 'Data Cleaning'!I409:I1878)</f>
        <v>35-44</v>
      </c>
      <c r="C409">
        <f>_xlfn.XLOOKUP(A409,'Data Cleaning'!A409:A1878,'Data Cleaning'!K409:K1878)</f>
        <v>0</v>
      </c>
      <c r="D409" t="str">
        <f>_xlfn.XLOOKUP(A409,'Data Cleaning'!A409:A1878, 'Data Cleaning'!D409:D1878)</f>
        <v>Bachelor</v>
      </c>
      <c r="E409" s="3" t="str">
        <f>_xlfn.XLOOKUP(A409,'Data Cleaning'!A409:A1878, 'Data Cleaning'!E409:E1878)</f>
        <v>Divorced</v>
      </c>
      <c r="F409" t="str">
        <f>_xlfn.XLOOKUP(A409,'Data Cleaning'!A409:A1878, 'Data Cleaning'!F409:F1878)</f>
        <v>Low</v>
      </c>
      <c r="G409" s="3" t="str">
        <f>_xlfn.XLOOKUP(A409,'Data Cleaning'!A409:A1878, 'Data Cleaning'!J409:J1878)</f>
        <v>Recently promoted</v>
      </c>
    </row>
    <row r="410" spans="1:7" x14ac:dyDescent="0.25">
      <c r="A410" s="3">
        <v>1774</v>
      </c>
      <c r="B410" s="3" t="str">
        <f>_xlfn.XLOOKUP(A410,'Data Cleaning'!A410:A1879, 'Data Cleaning'!I410:I1879)</f>
        <v>25-34</v>
      </c>
      <c r="C410">
        <f>_xlfn.XLOOKUP(A410,'Data Cleaning'!A410:A1879,'Data Cleaning'!K410:K1879)</f>
        <v>0</v>
      </c>
      <c r="D410" t="str">
        <f>_xlfn.XLOOKUP(A410,'Data Cleaning'!A410:A1879, 'Data Cleaning'!D410:D1879)</f>
        <v>Bachelor</v>
      </c>
      <c r="E410" s="3" t="str">
        <f>_xlfn.XLOOKUP(A410,'Data Cleaning'!A410:A1879, 'Data Cleaning'!E410:E1879)</f>
        <v>Divorced</v>
      </c>
      <c r="F410" t="str">
        <f>_xlfn.XLOOKUP(A410,'Data Cleaning'!A410:A1879, 'Data Cleaning'!F410:F1879)</f>
        <v>Low</v>
      </c>
      <c r="G410" s="3" t="str">
        <f>_xlfn.XLOOKUP(A410,'Data Cleaning'!A410:A1879, 'Data Cleaning'!J410:J1879)</f>
        <v>Recently promoted</v>
      </c>
    </row>
    <row r="411" spans="1:7" x14ac:dyDescent="0.25">
      <c r="A411" s="3">
        <v>1257</v>
      </c>
      <c r="B411" s="3" t="str">
        <f>_xlfn.XLOOKUP(A411,'Data Cleaning'!A411:A1880, 'Data Cleaning'!I411:I1880)</f>
        <v>35-44</v>
      </c>
      <c r="C411">
        <f>_xlfn.XLOOKUP(A411,'Data Cleaning'!A411:A1880,'Data Cleaning'!K411:K1880)</f>
        <v>0</v>
      </c>
      <c r="D411" t="str">
        <f>_xlfn.XLOOKUP(A411,'Data Cleaning'!A411:A1880, 'Data Cleaning'!D411:D1880)</f>
        <v>Bachelor</v>
      </c>
      <c r="E411" s="3" t="str">
        <f>_xlfn.XLOOKUP(A411,'Data Cleaning'!A411:A1880, 'Data Cleaning'!E411:E1880)</f>
        <v>Married</v>
      </c>
      <c r="F411" t="str">
        <f>_xlfn.XLOOKUP(A411,'Data Cleaning'!A411:A1880, 'Data Cleaning'!F411:F1880)</f>
        <v>None</v>
      </c>
      <c r="G411" s="3" t="str">
        <f>_xlfn.XLOOKUP(A411,'Data Cleaning'!A411:A1880, 'Data Cleaning'!J411:J1880)</f>
        <v>Recently promoted</v>
      </c>
    </row>
    <row r="412" spans="1:7" x14ac:dyDescent="0.25">
      <c r="A412" s="3">
        <v>1642</v>
      </c>
      <c r="B412" s="3" t="str">
        <f>_xlfn.XLOOKUP(A412,'Data Cleaning'!A412:A1881, 'Data Cleaning'!I412:I1881)</f>
        <v>35-44</v>
      </c>
      <c r="C412">
        <f>_xlfn.XLOOKUP(A412,'Data Cleaning'!A412:A1881,'Data Cleaning'!K412:K1881)</f>
        <v>0</v>
      </c>
      <c r="D412" t="str">
        <f>_xlfn.XLOOKUP(A412,'Data Cleaning'!A412:A1881, 'Data Cleaning'!D412:D1881)</f>
        <v>Doctor</v>
      </c>
      <c r="E412" s="3" t="str">
        <f>_xlfn.XLOOKUP(A412,'Data Cleaning'!A412:A1881, 'Data Cleaning'!E412:E1881)</f>
        <v>Married</v>
      </c>
      <c r="F412" t="str">
        <f>_xlfn.XLOOKUP(A412,'Data Cleaning'!A412:A1881, 'Data Cleaning'!F412:F1881)</f>
        <v>None</v>
      </c>
      <c r="G412" s="3" t="str">
        <f>_xlfn.XLOOKUP(A412,'Data Cleaning'!A412:A1881, 'Data Cleaning'!J412:J1881)</f>
        <v>Recently promoted</v>
      </c>
    </row>
    <row r="413" spans="1:7" x14ac:dyDescent="0.25">
      <c r="A413" s="3">
        <v>2049</v>
      </c>
      <c r="B413" s="3" t="str">
        <f>_xlfn.XLOOKUP(A413,'Data Cleaning'!A413:A1882, 'Data Cleaning'!I413:I1882)</f>
        <v>35-44</v>
      </c>
      <c r="C413">
        <f>_xlfn.XLOOKUP(A413,'Data Cleaning'!A413:A1882,'Data Cleaning'!K413:K1882)</f>
        <v>0</v>
      </c>
      <c r="D413" t="str">
        <f>_xlfn.XLOOKUP(A413,'Data Cleaning'!A413:A1882, 'Data Cleaning'!D413:D1882)</f>
        <v>Master</v>
      </c>
      <c r="E413" s="3" t="str">
        <f>_xlfn.XLOOKUP(A413,'Data Cleaning'!A413:A1882, 'Data Cleaning'!E413:E1882)</f>
        <v>Married</v>
      </c>
      <c r="F413" t="str">
        <f>_xlfn.XLOOKUP(A413,'Data Cleaning'!A413:A1882, 'Data Cleaning'!F413:F1882)</f>
        <v>Mid</v>
      </c>
      <c r="G413" s="3" t="str">
        <f>_xlfn.XLOOKUP(A413,'Data Cleaning'!A413:A1882, 'Data Cleaning'!J413:J1882)</f>
        <v>Recently promoted</v>
      </c>
    </row>
    <row r="414" spans="1:7" x14ac:dyDescent="0.25">
      <c r="A414" s="3">
        <v>1220</v>
      </c>
      <c r="B414" s="3" t="str">
        <f>_xlfn.XLOOKUP(A414,'Data Cleaning'!A414:A1883, 'Data Cleaning'!I414:I1883)</f>
        <v>25-34</v>
      </c>
      <c r="C414">
        <f>_xlfn.XLOOKUP(A414,'Data Cleaning'!A414:A1883,'Data Cleaning'!K414:K1883)</f>
        <v>0</v>
      </c>
      <c r="D414" t="str">
        <f>_xlfn.XLOOKUP(A414,'Data Cleaning'!A414:A1883, 'Data Cleaning'!D414:D1883)</f>
        <v>Bachelor</v>
      </c>
      <c r="E414" s="3" t="str">
        <f>_xlfn.XLOOKUP(A414,'Data Cleaning'!A414:A1883, 'Data Cleaning'!E414:E1883)</f>
        <v>Married</v>
      </c>
      <c r="F414" t="str">
        <f>_xlfn.XLOOKUP(A414,'Data Cleaning'!A414:A1883, 'Data Cleaning'!F414:F1883)</f>
        <v>Low</v>
      </c>
      <c r="G414" s="3" t="str">
        <f>_xlfn.XLOOKUP(A414,'Data Cleaning'!A414:A1883, 'Data Cleaning'!J414:J1883)</f>
        <v>Recently promoted</v>
      </c>
    </row>
    <row r="415" spans="1:7" x14ac:dyDescent="0.25">
      <c r="A415" s="3">
        <v>789</v>
      </c>
      <c r="B415" s="3" t="str">
        <f>_xlfn.XLOOKUP(A415,'Data Cleaning'!A415:A1884, 'Data Cleaning'!I415:I1884)</f>
        <v>35-44</v>
      </c>
      <c r="C415">
        <f>_xlfn.XLOOKUP(A415,'Data Cleaning'!A415:A1884,'Data Cleaning'!K415:K1884)</f>
        <v>0</v>
      </c>
      <c r="D415" t="str">
        <f>_xlfn.XLOOKUP(A415,'Data Cleaning'!A415:A1884, 'Data Cleaning'!D415:D1884)</f>
        <v>Master</v>
      </c>
      <c r="E415" s="3" t="str">
        <f>_xlfn.XLOOKUP(A415,'Data Cleaning'!A415:A1884, 'Data Cleaning'!E415:E1884)</f>
        <v>Single</v>
      </c>
      <c r="F415" t="str">
        <f>_xlfn.XLOOKUP(A415,'Data Cleaning'!A415:A1884, 'Data Cleaning'!F415:F1884)</f>
        <v>None</v>
      </c>
      <c r="G415" s="3" t="str">
        <f>_xlfn.XLOOKUP(A415,'Data Cleaning'!A415:A1884, 'Data Cleaning'!J415:J1884)</f>
        <v>Recently promoted</v>
      </c>
    </row>
    <row r="416" spans="1:7" x14ac:dyDescent="0.25">
      <c r="A416" s="3">
        <v>904</v>
      </c>
      <c r="B416" s="3" t="str">
        <f>_xlfn.XLOOKUP(A416,'Data Cleaning'!A416:A1885, 'Data Cleaning'!I416:I1885)</f>
        <v>35-44</v>
      </c>
      <c r="C416">
        <f>_xlfn.XLOOKUP(A416,'Data Cleaning'!A416:A1885,'Data Cleaning'!K416:K1885)</f>
        <v>0</v>
      </c>
      <c r="D416" t="str">
        <f>_xlfn.XLOOKUP(A416,'Data Cleaning'!A416:A1885, 'Data Cleaning'!D416:D1885)</f>
        <v>College</v>
      </c>
      <c r="E416" s="3" t="str">
        <f>_xlfn.XLOOKUP(A416,'Data Cleaning'!A416:A1885, 'Data Cleaning'!E416:E1885)</f>
        <v>Single</v>
      </c>
      <c r="F416" t="str">
        <f>_xlfn.XLOOKUP(A416,'Data Cleaning'!A416:A1885, 'Data Cleaning'!F416:F1885)</f>
        <v>None</v>
      </c>
      <c r="G416" s="3" t="str">
        <f>_xlfn.XLOOKUP(A416,'Data Cleaning'!A416:A1885, 'Data Cleaning'!J416:J1885)</f>
        <v>Recently promoted</v>
      </c>
    </row>
    <row r="417" spans="1:7" x14ac:dyDescent="0.25">
      <c r="A417" s="3">
        <v>306</v>
      </c>
      <c r="B417" s="3" t="str">
        <f>_xlfn.XLOOKUP(A417,'Data Cleaning'!A417:A1886, 'Data Cleaning'!I417:I1886)</f>
        <v>35-44</v>
      </c>
      <c r="C417">
        <f>_xlfn.XLOOKUP(A417,'Data Cleaning'!A417:A1886,'Data Cleaning'!K417:K1886)</f>
        <v>0</v>
      </c>
      <c r="D417" t="str">
        <f>_xlfn.XLOOKUP(A417,'Data Cleaning'!A417:A1886, 'Data Cleaning'!D417:D1886)</f>
        <v>Bachelor</v>
      </c>
      <c r="E417" s="3" t="str">
        <f>_xlfn.XLOOKUP(A417,'Data Cleaning'!A417:A1886, 'Data Cleaning'!E417:E1886)</f>
        <v>Divorced</v>
      </c>
      <c r="F417" t="str">
        <f>_xlfn.XLOOKUP(A417,'Data Cleaning'!A417:A1886, 'Data Cleaning'!F417:F1886)</f>
        <v>High</v>
      </c>
      <c r="G417" s="3" t="str">
        <f>_xlfn.XLOOKUP(A417,'Data Cleaning'!A417:A1886, 'Data Cleaning'!J417:J1886)</f>
        <v>Recently promoted</v>
      </c>
    </row>
    <row r="418" spans="1:7" x14ac:dyDescent="0.25">
      <c r="A418" s="3">
        <v>388</v>
      </c>
      <c r="B418" s="3" t="str">
        <f>_xlfn.XLOOKUP(A418,'Data Cleaning'!A418:A1887, 'Data Cleaning'!I418:I1887)</f>
        <v>25-34</v>
      </c>
      <c r="C418">
        <f>_xlfn.XLOOKUP(A418,'Data Cleaning'!A418:A1887,'Data Cleaning'!K418:K1887)</f>
        <v>0</v>
      </c>
      <c r="D418" t="str">
        <f>_xlfn.XLOOKUP(A418,'Data Cleaning'!A418:A1887, 'Data Cleaning'!D418:D1887)</f>
        <v>College</v>
      </c>
      <c r="E418" s="3" t="str">
        <f>_xlfn.XLOOKUP(A418,'Data Cleaning'!A418:A1887, 'Data Cleaning'!E418:E1887)</f>
        <v>Single</v>
      </c>
      <c r="F418" t="str">
        <f>_xlfn.XLOOKUP(A418,'Data Cleaning'!A418:A1887, 'Data Cleaning'!F418:F1887)</f>
        <v>None</v>
      </c>
      <c r="G418" s="3" t="str">
        <f>_xlfn.XLOOKUP(A418,'Data Cleaning'!A418:A1887, 'Data Cleaning'!J418:J1887)</f>
        <v>Recently promoted</v>
      </c>
    </row>
    <row r="419" spans="1:7" x14ac:dyDescent="0.25">
      <c r="A419" s="3">
        <v>314</v>
      </c>
      <c r="B419" s="3" t="str">
        <f>_xlfn.XLOOKUP(A419,'Data Cleaning'!A419:A1888, 'Data Cleaning'!I419:I1888)</f>
        <v>35-44</v>
      </c>
      <c r="C419">
        <f>_xlfn.XLOOKUP(A419,'Data Cleaning'!A419:A1888,'Data Cleaning'!K419:K1888)</f>
        <v>0</v>
      </c>
      <c r="D419" t="str">
        <f>_xlfn.XLOOKUP(A419,'Data Cleaning'!A419:A1888, 'Data Cleaning'!D419:D1888)</f>
        <v>Bachelor</v>
      </c>
      <c r="E419" s="3" t="str">
        <f>_xlfn.XLOOKUP(A419,'Data Cleaning'!A419:A1888, 'Data Cleaning'!E419:E1888)</f>
        <v>Single</v>
      </c>
      <c r="F419" t="str">
        <f>_xlfn.XLOOKUP(A419,'Data Cleaning'!A419:A1888, 'Data Cleaning'!F419:F1888)</f>
        <v>None</v>
      </c>
      <c r="G419" s="3" t="str">
        <f>_xlfn.XLOOKUP(A419,'Data Cleaning'!A419:A1888, 'Data Cleaning'!J419:J1888)</f>
        <v>Recently promoted</v>
      </c>
    </row>
    <row r="420" spans="1:7" x14ac:dyDescent="0.25">
      <c r="A420" s="3">
        <v>419</v>
      </c>
      <c r="B420" s="3" t="str">
        <f>_xlfn.XLOOKUP(A420,'Data Cleaning'!A420:A1889, 'Data Cleaning'!I420:I1889)</f>
        <v>35-44</v>
      </c>
      <c r="C420">
        <f>_xlfn.XLOOKUP(A420,'Data Cleaning'!A420:A1889,'Data Cleaning'!K420:K1889)</f>
        <v>0</v>
      </c>
      <c r="D420" t="str">
        <f>_xlfn.XLOOKUP(A420,'Data Cleaning'!A420:A1889, 'Data Cleaning'!D420:D1889)</f>
        <v>Master</v>
      </c>
      <c r="E420" s="3" t="str">
        <f>_xlfn.XLOOKUP(A420,'Data Cleaning'!A420:A1889, 'Data Cleaning'!E420:E1889)</f>
        <v>Married</v>
      </c>
      <c r="F420" t="str">
        <f>_xlfn.XLOOKUP(A420,'Data Cleaning'!A420:A1889, 'Data Cleaning'!F420:F1889)</f>
        <v>Low</v>
      </c>
      <c r="G420" s="3" t="str">
        <f>_xlfn.XLOOKUP(A420,'Data Cleaning'!A420:A1889, 'Data Cleaning'!J420:J1889)</f>
        <v>Recently promoted</v>
      </c>
    </row>
    <row r="421" spans="1:7" x14ac:dyDescent="0.25">
      <c r="A421" s="3">
        <v>972</v>
      </c>
      <c r="B421" s="3" t="str">
        <f>_xlfn.XLOOKUP(A421,'Data Cleaning'!A421:A1890, 'Data Cleaning'!I421:I1890)</f>
        <v>45-54</v>
      </c>
      <c r="C421">
        <f>_xlfn.XLOOKUP(A421,'Data Cleaning'!A421:A1890,'Data Cleaning'!K421:K1890)</f>
        <v>0</v>
      </c>
      <c r="D421" t="str">
        <f>_xlfn.XLOOKUP(A421,'Data Cleaning'!A421:A1890, 'Data Cleaning'!D421:D1890)</f>
        <v>College</v>
      </c>
      <c r="E421" s="3" t="str">
        <f>_xlfn.XLOOKUP(A421,'Data Cleaning'!A421:A1890, 'Data Cleaning'!E421:E1890)</f>
        <v>Married</v>
      </c>
      <c r="F421" t="str">
        <f>_xlfn.XLOOKUP(A421,'Data Cleaning'!A421:A1890, 'Data Cleaning'!F421:F1890)</f>
        <v>None</v>
      </c>
      <c r="G421" s="3" t="str">
        <f>_xlfn.XLOOKUP(A421,'Data Cleaning'!A421:A1890, 'Data Cleaning'!J421:J1890)</f>
        <v>Recently promoted</v>
      </c>
    </row>
    <row r="422" spans="1:7" x14ac:dyDescent="0.25">
      <c r="A422" s="3">
        <v>2065</v>
      </c>
      <c r="B422" s="3" t="str">
        <f>_xlfn.XLOOKUP(A422,'Data Cleaning'!A422:A1891, 'Data Cleaning'!I422:I1891)</f>
        <v>45-54</v>
      </c>
      <c r="C422">
        <f>_xlfn.XLOOKUP(A422,'Data Cleaning'!A422:A1891,'Data Cleaning'!K422:K1891)</f>
        <v>0</v>
      </c>
      <c r="D422" t="str">
        <f>_xlfn.XLOOKUP(A422,'Data Cleaning'!A422:A1891, 'Data Cleaning'!D422:D1891)</f>
        <v>Bachelor</v>
      </c>
      <c r="E422" s="3" t="str">
        <f>_xlfn.XLOOKUP(A422,'Data Cleaning'!A422:A1891, 'Data Cleaning'!E422:E1891)</f>
        <v>Married</v>
      </c>
      <c r="F422" t="str">
        <f>_xlfn.XLOOKUP(A422,'Data Cleaning'!A422:A1891, 'Data Cleaning'!F422:F1891)</f>
        <v>None</v>
      </c>
      <c r="G422" s="3" t="str">
        <f>_xlfn.XLOOKUP(A422,'Data Cleaning'!A422:A1891, 'Data Cleaning'!J422:J1891)</f>
        <v>Recently promoted</v>
      </c>
    </row>
    <row r="423" spans="1:7" x14ac:dyDescent="0.25">
      <c r="A423" s="3">
        <v>1745</v>
      </c>
      <c r="B423" s="3" t="str">
        <f>_xlfn.XLOOKUP(A423,'Data Cleaning'!A423:A1892, 'Data Cleaning'!I423:I1892)</f>
        <v>25-34</v>
      </c>
      <c r="C423">
        <f>_xlfn.XLOOKUP(A423,'Data Cleaning'!A423:A1892,'Data Cleaning'!K423:K1892)</f>
        <v>0</v>
      </c>
      <c r="D423" t="str">
        <f>_xlfn.XLOOKUP(A423,'Data Cleaning'!A423:A1892, 'Data Cleaning'!D423:D1892)</f>
        <v>Master</v>
      </c>
      <c r="E423" s="3" t="str">
        <f>_xlfn.XLOOKUP(A423,'Data Cleaning'!A423:A1892, 'Data Cleaning'!E423:E1892)</f>
        <v>Single</v>
      </c>
      <c r="F423" t="str">
        <f>_xlfn.XLOOKUP(A423,'Data Cleaning'!A423:A1892, 'Data Cleaning'!F423:F1892)</f>
        <v>None</v>
      </c>
      <c r="G423" s="3" t="str">
        <f>_xlfn.XLOOKUP(A423,'Data Cleaning'!A423:A1892, 'Data Cleaning'!J423:J1892)</f>
        <v>Recently promoted</v>
      </c>
    </row>
    <row r="424" spans="1:7" x14ac:dyDescent="0.25">
      <c r="A424" s="3">
        <v>1002</v>
      </c>
      <c r="B424" s="3" t="str">
        <f>_xlfn.XLOOKUP(A424,'Data Cleaning'!A424:A1893, 'Data Cleaning'!I424:I1893)</f>
        <v>45-54</v>
      </c>
      <c r="C424">
        <f>_xlfn.XLOOKUP(A424,'Data Cleaning'!A424:A1893,'Data Cleaning'!K424:K1893)</f>
        <v>0</v>
      </c>
      <c r="D424" t="str">
        <f>_xlfn.XLOOKUP(A424,'Data Cleaning'!A424:A1893, 'Data Cleaning'!D424:D1893)</f>
        <v>College</v>
      </c>
      <c r="E424" s="3" t="str">
        <f>_xlfn.XLOOKUP(A424,'Data Cleaning'!A424:A1893, 'Data Cleaning'!E424:E1893)</f>
        <v>Married</v>
      </c>
      <c r="F424" t="str">
        <f>_xlfn.XLOOKUP(A424,'Data Cleaning'!A424:A1893, 'Data Cleaning'!F424:F1893)</f>
        <v>Low</v>
      </c>
      <c r="G424" s="3" t="str">
        <f>_xlfn.XLOOKUP(A424,'Data Cleaning'!A424:A1893, 'Data Cleaning'!J424:J1893)</f>
        <v>Recently promoted</v>
      </c>
    </row>
    <row r="425" spans="1:7" x14ac:dyDescent="0.25">
      <c r="A425" s="3">
        <v>616</v>
      </c>
      <c r="B425" s="3" t="str">
        <f>_xlfn.XLOOKUP(A425,'Data Cleaning'!A425:A1894, 'Data Cleaning'!I425:I1894)</f>
        <v>35-44</v>
      </c>
      <c r="C425">
        <f>_xlfn.XLOOKUP(A425,'Data Cleaning'!A425:A1894,'Data Cleaning'!K425:K1894)</f>
        <v>0</v>
      </c>
      <c r="D425" t="str">
        <f>_xlfn.XLOOKUP(A425,'Data Cleaning'!A425:A1894, 'Data Cleaning'!D425:D1894)</f>
        <v>Master</v>
      </c>
      <c r="E425" s="3" t="str">
        <f>_xlfn.XLOOKUP(A425,'Data Cleaning'!A425:A1894, 'Data Cleaning'!E425:E1894)</f>
        <v>Single</v>
      </c>
      <c r="F425" t="str">
        <f>_xlfn.XLOOKUP(A425,'Data Cleaning'!A425:A1894, 'Data Cleaning'!F425:F1894)</f>
        <v>None</v>
      </c>
      <c r="G425" s="3" t="str">
        <f>_xlfn.XLOOKUP(A425,'Data Cleaning'!A425:A1894, 'Data Cleaning'!J425:J1894)</f>
        <v>Recently promoted</v>
      </c>
    </row>
    <row r="426" spans="1:7" x14ac:dyDescent="0.25">
      <c r="A426" s="3">
        <v>1126</v>
      </c>
      <c r="B426" s="3" t="str">
        <f>_xlfn.XLOOKUP(A426,'Data Cleaning'!A426:A1895, 'Data Cleaning'!I426:I1895)</f>
        <v>35-44</v>
      </c>
      <c r="C426">
        <f>_xlfn.XLOOKUP(A426,'Data Cleaning'!A426:A1895,'Data Cleaning'!K426:K1895)</f>
        <v>0</v>
      </c>
      <c r="D426" t="str">
        <f>_xlfn.XLOOKUP(A426,'Data Cleaning'!A426:A1895, 'Data Cleaning'!D426:D1895)</f>
        <v>Bachelor</v>
      </c>
      <c r="E426" s="3" t="str">
        <f>_xlfn.XLOOKUP(A426,'Data Cleaning'!A426:A1895, 'Data Cleaning'!E426:E1895)</f>
        <v>Married</v>
      </c>
      <c r="F426" t="str">
        <f>_xlfn.XLOOKUP(A426,'Data Cleaning'!A426:A1895, 'Data Cleaning'!F426:F1895)</f>
        <v>Low</v>
      </c>
      <c r="G426" s="3" t="str">
        <f>_xlfn.XLOOKUP(A426,'Data Cleaning'!A426:A1895, 'Data Cleaning'!J426:J1895)</f>
        <v>Recently promoted</v>
      </c>
    </row>
    <row r="427" spans="1:7" x14ac:dyDescent="0.25">
      <c r="A427" s="3">
        <v>1235</v>
      </c>
      <c r="B427" s="3" t="str">
        <f>_xlfn.XLOOKUP(A427,'Data Cleaning'!A427:A1896, 'Data Cleaning'!I427:I1896)</f>
        <v>25-34</v>
      </c>
      <c r="C427">
        <f>_xlfn.XLOOKUP(A427,'Data Cleaning'!A427:A1896,'Data Cleaning'!K427:K1896)</f>
        <v>0</v>
      </c>
      <c r="D427" t="str">
        <f>_xlfn.XLOOKUP(A427,'Data Cleaning'!A427:A1896, 'Data Cleaning'!D427:D1896)</f>
        <v>College</v>
      </c>
      <c r="E427" s="3" t="str">
        <f>_xlfn.XLOOKUP(A427,'Data Cleaning'!A427:A1896, 'Data Cleaning'!E427:E1896)</f>
        <v>Single</v>
      </c>
      <c r="F427" t="str">
        <f>_xlfn.XLOOKUP(A427,'Data Cleaning'!A427:A1896, 'Data Cleaning'!F427:F1896)</f>
        <v>None</v>
      </c>
      <c r="G427" s="3" t="str">
        <f>_xlfn.XLOOKUP(A427,'Data Cleaning'!A427:A1896, 'Data Cleaning'!J427:J1896)</f>
        <v>Recently promoted</v>
      </c>
    </row>
    <row r="428" spans="1:7" x14ac:dyDescent="0.25">
      <c r="A428" s="3">
        <v>141</v>
      </c>
      <c r="B428" s="3" t="str">
        <f>_xlfn.XLOOKUP(A428,'Data Cleaning'!A428:A1897, 'Data Cleaning'!I428:I1897)</f>
        <v>45-54</v>
      </c>
      <c r="C428">
        <f>_xlfn.XLOOKUP(A428,'Data Cleaning'!A428:A1897,'Data Cleaning'!K428:K1897)</f>
        <v>0</v>
      </c>
      <c r="D428" t="str">
        <f>_xlfn.XLOOKUP(A428,'Data Cleaning'!A428:A1897, 'Data Cleaning'!D428:D1897)</f>
        <v>Bachelor</v>
      </c>
      <c r="E428" s="3" t="str">
        <f>_xlfn.XLOOKUP(A428,'Data Cleaning'!A428:A1897, 'Data Cleaning'!E428:E1897)</f>
        <v>Married</v>
      </c>
      <c r="F428" t="str">
        <f>_xlfn.XLOOKUP(A428,'Data Cleaning'!A428:A1897, 'Data Cleaning'!F428:F1897)</f>
        <v>None</v>
      </c>
      <c r="G428" s="3" t="str">
        <f>_xlfn.XLOOKUP(A428,'Data Cleaning'!A428:A1897, 'Data Cleaning'!J428:J1897)</f>
        <v>Recently promoted</v>
      </c>
    </row>
    <row r="429" spans="1:7" x14ac:dyDescent="0.25">
      <c r="A429" s="3">
        <v>602</v>
      </c>
      <c r="B429" s="3" t="str">
        <f>_xlfn.XLOOKUP(A429,'Data Cleaning'!A429:A1898, 'Data Cleaning'!I429:I1898)</f>
        <v>35-44</v>
      </c>
      <c r="C429">
        <f>_xlfn.XLOOKUP(A429,'Data Cleaning'!A429:A1898,'Data Cleaning'!K429:K1898)</f>
        <v>0</v>
      </c>
      <c r="D429" t="str">
        <f>_xlfn.XLOOKUP(A429,'Data Cleaning'!A429:A1898, 'Data Cleaning'!D429:D1898)</f>
        <v>Below College</v>
      </c>
      <c r="E429" s="3" t="str">
        <f>_xlfn.XLOOKUP(A429,'Data Cleaning'!A429:A1898, 'Data Cleaning'!E429:E1898)</f>
        <v>Married</v>
      </c>
      <c r="F429" t="str">
        <f>_xlfn.XLOOKUP(A429,'Data Cleaning'!A429:A1898, 'Data Cleaning'!F429:F1898)</f>
        <v>Low</v>
      </c>
      <c r="G429" s="3" t="str">
        <f>_xlfn.XLOOKUP(A429,'Data Cleaning'!A429:A1898, 'Data Cleaning'!J429:J1898)</f>
        <v>Recently promoted</v>
      </c>
    </row>
    <row r="430" spans="1:7" x14ac:dyDescent="0.25">
      <c r="A430" s="3">
        <v>195</v>
      </c>
      <c r="B430" s="3" t="str">
        <f>_xlfn.XLOOKUP(A430,'Data Cleaning'!A430:A1899, 'Data Cleaning'!I430:I1899)</f>
        <v>25-34</v>
      </c>
      <c r="C430">
        <f>_xlfn.XLOOKUP(A430,'Data Cleaning'!A430:A1899,'Data Cleaning'!K430:K1899)</f>
        <v>0</v>
      </c>
      <c r="D430" t="str">
        <f>_xlfn.XLOOKUP(A430,'Data Cleaning'!A430:A1899, 'Data Cleaning'!D430:D1899)</f>
        <v>College</v>
      </c>
      <c r="E430" s="3" t="str">
        <f>_xlfn.XLOOKUP(A430,'Data Cleaning'!A430:A1899, 'Data Cleaning'!E430:E1899)</f>
        <v>Divorced</v>
      </c>
      <c r="F430" t="str">
        <f>_xlfn.XLOOKUP(A430,'Data Cleaning'!A430:A1899, 'Data Cleaning'!F430:F1899)</f>
        <v>High</v>
      </c>
      <c r="G430" s="3" t="str">
        <f>_xlfn.XLOOKUP(A430,'Data Cleaning'!A430:A1899, 'Data Cleaning'!J430:J1899)</f>
        <v>Recently promoted</v>
      </c>
    </row>
    <row r="431" spans="1:7" x14ac:dyDescent="0.25">
      <c r="A431" s="3">
        <v>1449</v>
      </c>
      <c r="B431" s="3" t="str">
        <f>_xlfn.XLOOKUP(A431,'Data Cleaning'!A431:A1900, 'Data Cleaning'!I431:I1900)</f>
        <v>35-44</v>
      </c>
      <c r="C431">
        <f>_xlfn.XLOOKUP(A431,'Data Cleaning'!A431:A1900,'Data Cleaning'!K431:K1900)</f>
        <v>0</v>
      </c>
      <c r="D431" t="str">
        <f>_xlfn.XLOOKUP(A431,'Data Cleaning'!A431:A1900, 'Data Cleaning'!D431:D1900)</f>
        <v>Master</v>
      </c>
      <c r="E431" s="3" t="str">
        <f>_xlfn.XLOOKUP(A431,'Data Cleaning'!A431:A1900, 'Data Cleaning'!E431:E1900)</f>
        <v>Divorced</v>
      </c>
      <c r="F431" t="str">
        <f>_xlfn.XLOOKUP(A431,'Data Cleaning'!A431:A1900, 'Data Cleaning'!F431:F1900)</f>
        <v>Mid</v>
      </c>
      <c r="G431" s="3" t="str">
        <f>_xlfn.XLOOKUP(A431,'Data Cleaning'!A431:A1900, 'Data Cleaning'!J431:J1900)</f>
        <v>Recently promoted</v>
      </c>
    </row>
    <row r="432" spans="1:7" x14ac:dyDescent="0.25">
      <c r="A432" s="3">
        <v>990</v>
      </c>
      <c r="B432" s="3" t="str">
        <f>_xlfn.XLOOKUP(A432,'Data Cleaning'!A432:A1901, 'Data Cleaning'!I432:I1901)</f>
        <v>35-44</v>
      </c>
      <c r="C432">
        <f>_xlfn.XLOOKUP(A432,'Data Cleaning'!A432:A1901,'Data Cleaning'!K432:K1901)</f>
        <v>0</v>
      </c>
      <c r="D432" t="str">
        <f>_xlfn.XLOOKUP(A432,'Data Cleaning'!A432:A1901, 'Data Cleaning'!D432:D1901)</f>
        <v>Master</v>
      </c>
      <c r="E432" s="3" t="str">
        <f>_xlfn.XLOOKUP(A432,'Data Cleaning'!A432:A1901, 'Data Cleaning'!E432:E1901)</f>
        <v>Divorced</v>
      </c>
      <c r="F432" t="str">
        <f>_xlfn.XLOOKUP(A432,'Data Cleaning'!A432:A1901, 'Data Cleaning'!F432:F1901)</f>
        <v>Mid</v>
      </c>
      <c r="G432" s="3" t="str">
        <f>_xlfn.XLOOKUP(A432,'Data Cleaning'!A432:A1901, 'Data Cleaning'!J432:J1901)</f>
        <v>Recently promoted</v>
      </c>
    </row>
    <row r="433" spans="1:7" x14ac:dyDescent="0.25">
      <c r="A433" s="3">
        <v>956</v>
      </c>
      <c r="B433" s="3" t="str">
        <f>_xlfn.XLOOKUP(A433,'Data Cleaning'!A433:A1902, 'Data Cleaning'!I433:I1902)</f>
        <v>25-34</v>
      </c>
      <c r="C433">
        <f>_xlfn.XLOOKUP(A433,'Data Cleaning'!A433:A1902,'Data Cleaning'!K433:K1902)</f>
        <v>0</v>
      </c>
      <c r="D433" t="str">
        <f>_xlfn.XLOOKUP(A433,'Data Cleaning'!A433:A1902, 'Data Cleaning'!D433:D1902)</f>
        <v>Bachelor</v>
      </c>
      <c r="E433" s="3" t="str">
        <f>_xlfn.XLOOKUP(A433,'Data Cleaning'!A433:A1902, 'Data Cleaning'!E433:E1902)</f>
        <v>Single</v>
      </c>
      <c r="F433" t="str">
        <f>_xlfn.XLOOKUP(A433,'Data Cleaning'!A433:A1902, 'Data Cleaning'!F433:F1902)</f>
        <v>None</v>
      </c>
      <c r="G433" s="3" t="str">
        <f>_xlfn.XLOOKUP(A433,'Data Cleaning'!A433:A1902, 'Data Cleaning'!J433:J1902)</f>
        <v>Recently promoted</v>
      </c>
    </row>
    <row r="434" spans="1:7" x14ac:dyDescent="0.25">
      <c r="A434" s="3">
        <v>160</v>
      </c>
      <c r="B434" s="3" t="str">
        <f>_xlfn.XLOOKUP(A434,'Data Cleaning'!A434:A1903, 'Data Cleaning'!I434:I1903)</f>
        <v>25-34</v>
      </c>
      <c r="C434">
        <f>_xlfn.XLOOKUP(A434,'Data Cleaning'!A434:A1903,'Data Cleaning'!K434:K1903)</f>
        <v>0</v>
      </c>
      <c r="D434" t="str">
        <f>_xlfn.XLOOKUP(A434,'Data Cleaning'!A434:A1903, 'Data Cleaning'!D434:D1903)</f>
        <v>College</v>
      </c>
      <c r="E434" s="3" t="str">
        <f>_xlfn.XLOOKUP(A434,'Data Cleaning'!A434:A1903, 'Data Cleaning'!E434:E1903)</f>
        <v>Married</v>
      </c>
      <c r="F434" t="str">
        <f>_xlfn.XLOOKUP(A434,'Data Cleaning'!A434:A1903, 'Data Cleaning'!F434:F1903)</f>
        <v>Low</v>
      </c>
      <c r="G434" s="3" t="str">
        <f>_xlfn.XLOOKUP(A434,'Data Cleaning'!A434:A1903, 'Data Cleaning'!J434:J1903)</f>
        <v>Recently promoted</v>
      </c>
    </row>
    <row r="435" spans="1:7" x14ac:dyDescent="0.25">
      <c r="A435" s="3">
        <v>1764</v>
      </c>
      <c r="B435" s="3" t="str">
        <f>_xlfn.XLOOKUP(A435,'Data Cleaning'!A435:A1904, 'Data Cleaning'!I435:I1904)</f>
        <v>25-34</v>
      </c>
      <c r="C435">
        <f>_xlfn.XLOOKUP(A435,'Data Cleaning'!A435:A1904,'Data Cleaning'!K435:K1904)</f>
        <v>0</v>
      </c>
      <c r="D435" t="str">
        <f>_xlfn.XLOOKUP(A435,'Data Cleaning'!A435:A1904, 'Data Cleaning'!D435:D1904)</f>
        <v>Master</v>
      </c>
      <c r="E435" s="3" t="str">
        <f>_xlfn.XLOOKUP(A435,'Data Cleaning'!A435:A1904, 'Data Cleaning'!E435:E1904)</f>
        <v>Single</v>
      </c>
      <c r="F435" t="str">
        <f>_xlfn.XLOOKUP(A435,'Data Cleaning'!A435:A1904, 'Data Cleaning'!F435:F1904)</f>
        <v>None</v>
      </c>
      <c r="G435" s="3" t="str">
        <f>_xlfn.XLOOKUP(A435,'Data Cleaning'!A435:A1904, 'Data Cleaning'!J435:J1904)</f>
        <v>Recently promoted</v>
      </c>
    </row>
    <row r="436" spans="1:7" x14ac:dyDescent="0.25">
      <c r="A436" s="3">
        <v>1653</v>
      </c>
      <c r="B436" s="3" t="str">
        <f>_xlfn.XLOOKUP(A436,'Data Cleaning'!A436:A1905, 'Data Cleaning'!I436:I1905)</f>
        <v>25-34</v>
      </c>
      <c r="C436">
        <f>_xlfn.XLOOKUP(A436,'Data Cleaning'!A436:A1905,'Data Cleaning'!K436:K1905)</f>
        <v>0</v>
      </c>
      <c r="D436" t="str">
        <f>_xlfn.XLOOKUP(A436,'Data Cleaning'!A436:A1905, 'Data Cleaning'!D436:D1905)</f>
        <v>Below College</v>
      </c>
      <c r="E436" s="3" t="str">
        <f>_xlfn.XLOOKUP(A436,'Data Cleaning'!A436:A1905, 'Data Cleaning'!E436:E1905)</f>
        <v>Divorced</v>
      </c>
      <c r="F436" t="str">
        <f>_xlfn.XLOOKUP(A436,'Data Cleaning'!A436:A1905, 'Data Cleaning'!F436:F1905)</f>
        <v>Mid</v>
      </c>
      <c r="G436" s="3" t="str">
        <f>_xlfn.XLOOKUP(A436,'Data Cleaning'!A436:A1905, 'Data Cleaning'!J436:J1905)</f>
        <v>Recently promoted</v>
      </c>
    </row>
    <row r="437" spans="1:7" x14ac:dyDescent="0.25">
      <c r="A437" s="3">
        <v>446</v>
      </c>
      <c r="B437" s="3" t="str">
        <f>_xlfn.XLOOKUP(A437,'Data Cleaning'!A437:A1906, 'Data Cleaning'!I437:I1906)</f>
        <v>25-34</v>
      </c>
      <c r="C437">
        <f>_xlfn.XLOOKUP(A437,'Data Cleaning'!A437:A1906,'Data Cleaning'!K437:K1906)</f>
        <v>0</v>
      </c>
      <c r="D437" t="str">
        <f>_xlfn.XLOOKUP(A437,'Data Cleaning'!A437:A1906, 'Data Cleaning'!D437:D1906)</f>
        <v>Bachelor</v>
      </c>
      <c r="E437" s="3" t="str">
        <f>_xlfn.XLOOKUP(A437,'Data Cleaning'!A437:A1906, 'Data Cleaning'!E437:E1906)</f>
        <v>Single</v>
      </c>
      <c r="F437" t="str">
        <f>_xlfn.XLOOKUP(A437,'Data Cleaning'!A437:A1906, 'Data Cleaning'!F437:F1906)</f>
        <v>None</v>
      </c>
      <c r="G437" s="3" t="str">
        <f>_xlfn.XLOOKUP(A437,'Data Cleaning'!A437:A1906, 'Data Cleaning'!J437:J1906)</f>
        <v>Recently promoted</v>
      </c>
    </row>
    <row r="438" spans="1:7" x14ac:dyDescent="0.25">
      <c r="A438" s="3">
        <v>293</v>
      </c>
      <c r="B438" s="3" t="str">
        <f>_xlfn.XLOOKUP(A438,'Data Cleaning'!A438:A1907, 'Data Cleaning'!I438:I1907)</f>
        <v>25-34</v>
      </c>
      <c r="C438">
        <f>_xlfn.XLOOKUP(A438,'Data Cleaning'!A438:A1907,'Data Cleaning'!K438:K1907)</f>
        <v>0</v>
      </c>
      <c r="D438" t="str">
        <f>_xlfn.XLOOKUP(A438,'Data Cleaning'!A438:A1907, 'Data Cleaning'!D438:D1907)</f>
        <v>Bachelor</v>
      </c>
      <c r="E438" s="3" t="str">
        <f>_xlfn.XLOOKUP(A438,'Data Cleaning'!A438:A1907, 'Data Cleaning'!E438:E1907)</f>
        <v>Single</v>
      </c>
      <c r="F438" t="str">
        <f>_xlfn.XLOOKUP(A438,'Data Cleaning'!A438:A1907, 'Data Cleaning'!F438:F1907)</f>
        <v>None</v>
      </c>
      <c r="G438" s="3" t="str">
        <f>_xlfn.XLOOKUP(A438,'Data Cleaning'!A438:A1907, 'Data Cleaning'!J438:J1907)</f>
        <v>Recently promoted</v>
      </c>
    </row>
    <row r="439" spans="1:7" x14ac:dyDescent="0.25">
      <c r="A439" s="3">
        <v>1927</v>
      </c>
      <c r="B439" s="3" t="str">
        <f>_xlfn.XLOOKUP(A439,'Data Cleaning'!A439:A1908, 'Data Cleaning'!I439:I1908)</f>
        <v>25-34</v>
      </c>
      <c r="C439">
        <f>_xlfn.XLOOKUP(A439,'Data Cleaning'!A439:A1908,'Data Cleaning'!K439:K1908)</f>
        <v>0</v>
      </c>
      <c r="D439" t="str">
        <f>_xlfn.XLOOKUP(A439,'Data Cleaning'!A439:A1908, 'Data Cleaning'!D439:D1908)</f>
        <v>College</v>
      </c>
      <c r="E439" s="3" t="str">
        <f>_xlfn.XLOOKUP(A439,'Data Cleaning'!A439:A1908, 'Data Cleaning'!E439:E1908)</f>
        <v>Married</v>
      </c>
      <c r="F439" t="str">
        <f>_xlfn.XLOOKUP(A439,'Data Cleaning'!A439:A1908, 'Data Cleaning'!F439:F1908)</f>
        <v>Low</v>
      </c>
      <c r="G439" s="3" t="str">
        <f>_xlfn.XLOOKUP(A439,'Data Cleaning'!A439:A1908, 'Data Cleaning'!J439:J1908)</f>
        <v>Recently promoted</v>
      </c>
    </row>
    <row r="440" spans="1:7" x14ac:dyDescent="0.25">
      <c r="A440" s="3">
        <v>1760</v>
      </c>
      <c r="B440" s="3" t="str">
        <f>_xlfn.XLOOKUP(A440,'Data Cleaning'!A440:A1909, 'Data Cleaning'!I440:I1909)</f>
        <v>35-44</v>
      </c>
      <c r="C440">
        <f>_xlfn.XLOOKUP(A440,'Data Cleaning'!A440:A1909,'Data Cleaning'!K440:K1909)</f>
        <v>0</v>
      </c>
      <c r="D440" t="str">
        <f>_xlfn.XLOOKUP(A440,'Data Cleaning'!A440:A1909, 'Data Cleaning'!D440:D1909)</f>
        <v>College</v>
      </c>
      <c r="E440" s="3" t="str">
        <f>_xlfn.XLOOKUP(A440,'Data Cleaning'!A440:A1909, 'Data Cleaning'!E440:E1909)</f>
        <v>Married</v>
      </c>
      <c r="F440" t="str">
        <f>_xlfn.XLOOKUP(A440,'Data Cleaning'!A440:A1909, 'Data Cleaning'!F440:F1909)</f>
        <v>Low</v>
      </c>
      <c r="G440" s="3" t="str">
        <f>_xlfn.XLOOKUP(A440,'Data Cleaning'!A440:A1909, 'Data Cleaning'!J440:J1909)</f>
        <v>Recently promoted</v>
      </c>
    </row>
    <row r="441" spans="1:7" x14ac:dyDescent="0.25">
      <c r="A441" s="3">
        <v>85</v>
      </c>
      <c r="B441" s="3" t="str">
        <f>_xlfn.XLOOKUP(A441,'Data Cleaning'!A441:A1910, 'Data Cleaning'!I441:I1910)</f>
        <v>35-44</v>
      </c>
      <c r="C441">
        <f>_xlfn.XLOOKUP(A441,'Data Cleaning'!A441:A1910,'Data Cleaning'!K441:K1910)</f>
        <v>0</v>
      </c>
      <c r="D441" t="str">
        <f>_xlfn.XLOOKUP(A441,'Data Cleaning'!A441:A1910, 'Data Cleaning'!D441:D1910)</f>
        <v>Bachelor</v>
      </c>
      <c r="E441" s="3" t="str">
        <f>_xlfn.XLOOKUP(A441,'Data Cleaning'!A441:A1910, 'Data Cleaning'!E441:E1910)</f>
        <v>Single</v>
      </c>
      <c r="F441" t="str">
        <f>_xlfn.XLOOKUP(A441,'Data Cleaning'!A441:A1910, 'Data Cleaning'!F441:F1910)</f>
        <v>None</v>
      </c>
      <c r="G441" s="3" t="str">
        <f>_xlfn.XLOOKUP(A441,'Data Cleaning'!A441:A1910, 'Data Cleaning'!J441:J1910)</f>
        <v>Recently promoted</v>
      </c>
    </row>
    <row r="442" spans="1:7" x14ac:dyDescent="0.25">
      <c r="A442" s="3">
        <v>551</v>
      </c>
      <c r="B442" s="3" t="str">
        <f>_xlfn.XLOOKUP(A442,'Data Cleaning'!A442:A1911, 'Data Cleaning'!I442:I1911)</f>
        <v>35-44</v>
      </c>
      <c r="C442">
        <f>_xlfn.XLOOKUP(A442,'Data Cleaning'!A442:A1911,'Data Cleaning'!K442:K1911)</f>
        <v>0</v>
      </c>
      <c r="D442" t="str">
        <f>_xlfn.XLOOKUP(A442,'Data Cleaning'!A442:A1911, 'Data Cleaning'!D442:D1911)</f>
        <v>Master</v>
      </c>
      <c r="E442" s="3" t="str">
        <f>_xlfn.XLOOKUP(A442,'Data Cleaning'!A442:A1911, 'Data Cleaning'!E442:E1911)</f>
        <v>Married</v>
      </c>
      <c r="F442" t="str">
        <f>_xlfn.XLOOKUP(A442,'Data Cleaning'!A442:A1911, 'Data Cleaning'!F442:F1911)</f>
        <v>High</v>
      </c>
      <c r="G442" s="3" t="str">
        <f>_xlfn.XLOOKUP(A442,'Data Cleaning'!A442:A1911, 'Data Cleaning'!J442:J1911)</f>
        <v>Recently promoted</v>
      </c>
    </row>
    <row r="443" spans="1:7" x14ac:dyDescent="0.25">
      <c r="A443" s="3">
        <v>2061</v>
      </c>
      <c r="B443" s="3" t="str">
        <f>_xlfn.XLOOKUP(A443,'Data Cleaning'!A443:A1912, 'Data Cleaning'!I443:I1912)</f>
        <v>35-44</v>
      </c>
      <c r="C443">
        <f>_xlfn.XLOOKUP(A443,'Data Cleaning'!A443:A1912,'Data Cleaning'!K443:K1912)</f>
        <v>0</v>
      </c>
      <c r="D443" t="str">
        <f>_xlfn.XLOOKUP(A443,'Data Cleaning'!A443:A1912, 'Data Cleaning'!D443:D1912)</f>
        <v>College</v>
      </c>
      <c r="E443" s="3" t="str">
        <f>_xlfn.XLOOKUP(A443,'Data Cleaning'!A443:A1912, 'Data Cleaning'!E443:E1912)</f>
        <v>Married</v>
      </c>
      <c r="F443" t="str">
        <f>_xlfn.XLOOKUP(A443,'Data Cleaning'!A443:A1912, 'Data Cleaning'!F443:F1912)</f>
        <v>Low</v>
      </c>
      <c r="G443" s="3" t="str">
        <f>_xlfn.XLOOKUP(A443,'Data Cleaning'!A443:A1912, 'Data Cleaning'!J443:J1912)</f>
        <v>Recently promoted</v>
      </c>
    </row>
    <row r="444" spans="1:7" x14ac:dyDescent="0.25">
      <c r="A444" s="3">
        <v>547</v>
      </c>
      <c r="B444" s="3" t="str">
        <f>_xlfn.XLOOKUP(A444,'Data Cleaning'!A444:A1913, 'Data Cleaning'!I444:I1913)</f>
        <v>35-44</v>
      </c>
      <c r="C444">
        <f>_xlfn.XLOOKUP(A444,'Data Cleaning'!A444:A1913,'Data Cleaning'!K444:K1913)</f>
        <v>0</v>
      </c>
      <c r="D444" t="str">
        <f>_xlfn.XLOOKUP(A444,'Data Cleaning'!A444:A1913, 'Data Cleaning'!D444:D1913)</f>
        <v>College</v>
      </c>
      <c r="E444" s="3" t="str">
        <f>_xlfn.XLOOKUP(A444,'Data Cleaning'!A444:A1913, 'Data Cleaning'!E444:E1913)</f>
        <v>Divorced</v>
      </c>
      <c r="F444" t="str">
        <f>_xlfn.XLOOKUP(A444,'Data Cleaning'!A444:A1913, 'Data Cleaning'!F444:F1913)</f>
        <v>Low</v>
      </c>
      <c r="G444" s="3" t="str">
        <f>_xlfn.XLOOKUP(A444,'Data Cleaning'!A444:A1913, 'Data Cleaning'!J444:J1913)</f>
        <v>Recently promoted</v>
      </c>
    </row>
    <row r="445" spans="1:7" x14ac:dyDescent="0.25">
      <c r="A445" s="3">
        <v>129</v>
      </c>
      <c r="B445" s="3" t="str">
        <f>_xlfn.XLOOKUP(A445,'Data Cleaning'!A445:A1914, 'Data Cleaning'!I445:I1914)</f>
        <v>25-34</v>
      </c>
      <c r="C445">
        <f>_xlfn.XLOOKUP(A445,'Data Cleaning'!A445:A1914,'Data Cleaning'!K445:K1914)</f>
        <v>0</v>
      </c>
      <c r="D445" t="str">
        <f>_xlfn.XLOOKUP(A445,'Data Cleaning'!A445:A1914, 'Data Cleaning'!D445:D1914)</f>
        <v>Bachelor</v>
      </c>
      <c r="E445" s="3" t="str">
        <f>_xlfn.XLOOKUP(A445,'Data Cleaning'!A445:A1914, 'Data Cleaning'!E445:E1914)</f>
        <v>Married</v>
      </c>
      <c r="F445" t="str">
        <f>_xlfn.XLOOKUP(A445,'Data Cleaning'!A445:A1914, 'Data Cleaning'!F445:F1914)</f>
        <v>None</v>
      </c>
      <c r="G445" s="3" t="str">
        <f>_xlfn.XLOOKUP(A445,'Data Cleaning'!A445:A1914, 'Data Cleaning'!J445:J1914)</f>
        <v>Recently promoted</v>
      </c>
    </row>
    <row r="446" spans="1:7" x14ac:dyDescent="0.25">
      <c r="A446" s="3">
        <v>1613</v>
      </c>
      <c r="B446" s="3" t="str">
        <f>_xlfn.XLOOKUP(A446,'Data Cleaning'!A446:A1915, 'Data Cleaning'!I446:I1915)</f>
        <v>25-34</v>
      </c>
      <c r="C446">
        <f>_xlfn.XLOOKUP(A446,'Data Cleaning'!A446:A1915,'Data Cleaning'!K446:K1915)</f>
        <v>0</v>
      </c>
      <c r="D446" t="str">
        <f>_xlfn.XLOOKUP(A446,'Data Cleaning'!A446:A1915, 'Data Cleaning'!D446:D1915)</f>
        <v>Master</v>
      </c>
      <c r="E446" s="3" t="str">
        <f>_xlfn.XLOOKUP(A446,'Data Cleaning'!A446:A1915, 'Data Cleaning'!E446:E1915)</f>
        <v>Single</v>
      </c>
      <c r="F446" t="str">
        <f>_xlfn.XLOOKUP(A446,'Data Cleaning'!A446:A1915, 'Data Cleaning'!F446:F1915)</f>
        <v>None</v>
      </c>
      <c r="G446" s="3" t="str">
        <f>_xlfn.XLOOKUP(A446,'Data Cleaning'!A446:A1915, 'Data Cleaning'!J446:J1915)</f>
        <v>Recently promoted</v>
      </c>
    </row>
    <row r="447" spans="1:7" x14ac:dyDescent="0.25">
      <c r="A447" s="3">
        <v>1132</v>
      </c>
      <c r="B447" s="3" t="str">
        <f>_xlfn.XLOOKUP(A447,'Data Cleaning'!A447:A1916, 'Data Cleaning'!I447:I1916)</f>
        <v>35-44</v>
      </c>
      <c r="C447">
        <f>_xlfn.XLOOKUP(A447,'Data Cleaning'!A447:A1916,'Data Cleaning'!K447:K1916)</f>
        <v>0</v>
      </c>
      <c r="D447" t="str">
        <f>_xlfn.XLOOKUP(A447,'Data Cleaning'!A447:A1916, 'Data Cleaning'!D447:D1916)</f>
        <v>Bachelor</v>
      </c>
      <c r="E447" s="3" t="str">
        <f>_xlfn.XLOOKUP(A447,'Data Cleaning'!A447:A1916, 'Data Cleaning'!E447:E1916)</f>
        <v>Single</v>
      </c>
      <c r="F447" t="str">
        <f>_xlfn.XLOOKUP(A447,'Data Cleaning'!A447:A1916, 'Data Cleaning'!F447:F1916)</f>
        <v>None</v>
      </c>
      <c r="G447" s="3" t="str">
        <f>_xlfn.XLOOKUP(A447,'Data Cleaning'!A447:A1916, 'Data Cleaning'!J447:J1916)</f>
        <v>Recently promoted</v>
      </c>
    </row>
    <row r="448" spans="1:7" x14ac:dyDescent="0.25">
      <c r="A448" s="3">
        <v>380</v>
      </c>
      <c r="B448" s="3" t="str">
        <f>_xlfn.XLOOKUP(A448,'Data Cleaning'!A448:A1917, 'Data Cleaning'!I448:I1917)</f>
        <v>35-44</v>
      </c>
      <c r="C448">
        <f>_xlfn.XLOOKUP(A448,'Data Cleaning'!A448:A1917,'Data Cleaning'!K448:K1917)</f>
        <v>0</v>
      </c>
      <c r="D448" t="str">
        <f>_xlfn.XLOOKUP(A448,'Data Cleaning'!A448:A1917, 'Data Cleaning'!D448:D1917)</f>
        <v>Master</v>
      </c>
      <c r="E448" s="3" t="str">
        <f>_xlfn.XLOOKUP(A448,'Data Cleaning'!A448:A1917, 'Data Cleaning'!E448:E1917)</f>
        <v>Divorced</v>
      </c>
      <c r="F448" t="str">
        <f>_xlfn.XLOOKUP(A448,'Data Cleaning'!A448:A1917, 'Data Cleaning'!F448:F1917)</f>
        <v>Mid</v>
      </c>
      <c r="G448" s="3" t="str">
        <f>_xlfn.XLOOKUP(A448,'Data Cleaning'!A448:A1917, 'Data Cleaning'!J448:J1917)</f>
        <v>Recently promoted</v>
      </c>
    </row>
    <row r="449" spans="1:7" x14ac:dyDescent="0.25">
      <c r="A449" s="3">
        <v>861</v>
      </c>
      <c r="B449" s="3" t="str">
        <f>_xlfn.XLOOKUP(A449,'Data Cleaning'!A449:A1918, 'Data Cleaning'!I449:I1918)</f>
        <v>25-34</v>
      </c>
      <c r="C449">
        <f>_xlfn.XLOOKUP(A449,'Data Cleaning'!A449:A1918,'Data Cleaning'!K449:K1918)</f>
        <v>0</v>
      </c>
      <c r="D449" t="str">
        <f>_xlfn.XLOOKUP(A449,'Data Cleaning'!A449:A1918, 'Data Cleaning'!D449:D1918)</f>
        <v>Master</v>
      </c>
      <c r="E449" s="3" t="str">
        <f>_xlfn.XLOOKUP(A449,'Data Cleaning'!A449:A1918, 'Data Cleaning'!E449:E1918)</f>
        <v>Divorced</v>
      </c>
      <c r="F449" t="str">
        <f>_xlfn.XLOOKUP(A449,'Data Cleaning'!A449:A1918, 'Data Cleaning'!F449:F1918)</f>
        <v>Low</v>
      </c>
      <c r="G449" s="3" t="str">
        <f>_xlfn.XLOOKUP(A449,'Data Cleaning'!A449:A1918, 'Data Cleaning'!J449:J1918)</f>
        <v>Recently promoted</v>
      </c>
    </row>
    <row r="450" spans="1:7" x14ac:dyDescent="0.25">
      <c r="A450" s="3">
        <v>1137</v>
      </c>
      <c r="B450" s="3" t="str">
        <f>_xlfn.XLOOKUP(A450,'Data Cleaning'!A450:A1919, 'Data Cleaning'!I450:I1919)</f>
        <v>35-44</v>
      </c>
      <c r="C450">
        <f>_xlfn.XLOOKUP(A450,'Data Cleaning'!A450:A1919,'Data Cleaning'!K450:K1919)</f>
        <v>0</v>
      </c>
      <c r="D450" t="str">
        <f>_xlfn.XLOOKUP(A450,'Data Cleaning'!A450:A1919, 'Data Cleaning'!D450:D1919)</f>
        <v>College</v>
      </c>
      <c r="E450" s="3" t="str">
        <f>_xlfn.XLOOKUP(A450,'Data Cleaning'!A450:A1919, 'Data Cleaning'!E450:E1919)</f>
        <v>Divorced</v>
      </c>
      <c r="F450" t="str">
        <f>_xlfn.XLOOKUP(A450,'Data Cleaning'!A450:A1919, 'Data Cleaning'!F450:F1919)</f>
        <v>Low</v>
      </c>
      <c r="G450" s="3" t="str">
        <f>_xlfn.XLOOKUP(A450,'Data Cleaning'!A450:A1919, 'Data Cleaning'!J450:J1919)</f>
        <v>Recently promoted</v>
      </c>
    </row>
    <row r="451" spans="1:7" x14ac:dyDescent="0.25">
      <c r="A451" s="3">
        <v>1071</v>
      </c>
      <c r="B451" s="3" t="str">
        <f>_xlfn.XLOOKUP(A451,'Data Cleaning'!A451:A1920, 'Data Cleaning'!I451:I1920)</f>
        <v>55-60</v>
      </c>
      <c r="C451">
        <f>_xlfn.XLOOKUP(A451,'Data Cleaning'!A451:A1920,'Data Cleaning'!K451:K1920)</f>
        <v>0</v>
      </c>
      <c r="D451" t="str">
        <f>_xlfn.XLOOKUP(A451,'Data Cleaning'!A451:A1920, 'Data Cleaning'!D451:D1920)</f>
        <v>Bachelor</v>
      </c>
      <c r="E451" s="3" t="str">
        <f>_xlfn.XLOOKUP(A451,'Data Cleaning'!A451:A1920, 'Data Cleaning'!E451:E1920)</f>
        <v>Married</v>
      </c>
      <c r="F451" t="str">
        <f>_xlfn.XLOOKUP(A451,'Data Cleaning'!A451:A1920, 'Data Cleaning'!F451:F1920)</f>
        <v>Low</v>
      </c>
      <c r="G451" s="3" t="str">
        <f>_xlfn.XLOOKUP(A451,'Data Cleaning'!A451:A1920, 'Data Cleaning'!J451:J1920)</f>
        <v>Recently promoted</v>
      </c>
    </row>
    <row r="452" spans="1:7" x14ac:dyDescent="0.25">
      <c r="A452" s="3">
        <v>1850</v>
      </c>
      <c r="B452" s="3" t="str">
        <f>_xlfn.XLOOKUP(A452,'Data Cleaning'!A452:A1921, 'Data Cleaning'!I452:I1921)</f>
        <v>25-34</v>
      </c>
      <c r="C452">
        <f>_xlfn.XLOOKUP(A452,'Data Cleaning'!A452:A1921,'Data Cleaning'!K452:K1921)</f>
        <v>0</v>
      </c>
      <c r="D452" t="str">
        <f>_xlfn.XLOOKUP(A452,'Data Cleaning'!A452:A1921, 'Data Cleaning'!D452:D1921)</f>
        <v>College</v>
      </c>
      <c r="E452" s="3" t="str">
        <f>_xlfn.XLOOKUP(A452,'Data Cleaning'!A452:A1921, 'Data Cleaning'!E452:E1921)</f>
        <v>Single</v>
      </c>
      <c r="F452" t="str">
        <f>_xlfn.XLOOKUP(A452,'Data Cleaning'!A452:A1921, 'Data Cleaning'!F452:F1921)</f>
        <v>None</v>
      </c>
      <c r="G452" s="3" t="str">
        <f>_xlfn.XLOOKUP(A452,'Data Cleaning'!A452:A1921, 'Data Cleaning'!J452:J1921)</f>
        <v>Recently promoted</v>
      </c>
    </row>
    <row r="453" spans="1:7" x14ac:dyDescent="0.25">
      <c r="A453" s="3">
        <v>270</v>
      </c>
      <c r="B453" s="3" t="str">
        <f>_xlfn.XLOOKUP(A453,'Data Cleaning'!A453:A1922, 'Data Cleaning'!I453:I1922)</f>
        <v>35-44</v>
      </c>
      <c r="C453">
        <f>_xlfn.XLOOKUP(A453,'Data Cleaning'!A453:A1922,'Data Cleaning'!K453:K1922)</f>
        <v>0</v>
      </c>
      <c r="D453" t="str">
        <f>_xlfn.XLOOKUP(A453,'Data Cleaning'!A453:A1922, 'Data Cleaning'!D453:D1922)</f>
        <v>College</v>
      </c>
      <c r="E453" s="3" t="str">
        <f>_xlfn.XLOOKUP(A453,'Data Cleaning'!A453:A1922, 'Data Cleaning'!E453:E1922)</f>
        <v>Divorced</v>
      </c>
      <c r="F453" t="str">
        <f>_xlfn.XLOOKUP(A453,'Data Cleaning'!A453:A1922, 'Data Cleaning'!F453:F1922)</f>
        <v>Low</v>
      </c>
      <c r="G453" s="3" t="str">
        <f>_xlfn.XLOOKUP(A453,'Data Cleaning'!A453:A1922, 'Data Cleaning'!J453:J1922)</f>
        <v>Recently promoted</v>
      </c>
    </row>
    <row r="454" spans="1:7" x14ac:dyDescent="0.25">
      <c r="A454" s="3">
        <v>1922</v>
      </c>
      <c r="B454" s="3" t="str">
        <f>_xlfn.XLOOKUP(A454,'Data Cleaning'!A454:A1923, 'Data Cleaning'!I454:I1923)</f>
        <v>45-54</v>
      </c>
      <c r="C454">
        <f>_xlfn.XLOOKUP(A454,'Data Cleaning'!A454:A1923,'Data Cleaning'!K454:K1923)</f>
        <v>0</v>
      </c>
      <c r="D454" t="str">
        <f>_xlfn.XLOOKUP(A454,'Data Cleaning'!A454:A1923, 'Data Cleaning'!D454:D1923)</f>
        <v>Master</v>
      </c>
      <c r="E454" s="3" t="str">
        <f>_xlfn.XLOOKUP(A454,'Data Cleaning'!A454:A1923, 'Data Cleaning'!E454:E1923)</f>
        <v>Single</v>
      </c>
      <c r="F454" t="str">
        <f>_xlfn.XLOOKUP(A454,'Data Cleaning'!A454:A1923, 'Data Cleaning'!F454:F1923)</f>
        <v>None</v>
      </c>
      <c r="G454" s="3" t="str">
        <f>_xlfn.XLOOKUP(A454,'Data Cleaning'!A454:A1923, 'Data Cleaning'!J454:J1923)</f>
        <v>Recently promoted</v>
      </c>
    </row>
    <row r="455" spans="1:7" x14ac:dyDescent="0.25">
      <c r="A455" s="3">
        <v>2025</v>
      </c>
      <c r="B455" s="3" t="str">
        <f>_xlfn.XLOOKUP(A455,'Data Cleaning'!A455:A1924, 'Data Cleaning'!I455:I1924)</f>
        <v>35-44</v>
      </c>
      <c r="C455">
        <f>_xlfn.XLOOKUP(A455,'Data Cleaning'!A455:A1924,'Data Cleaning'!K455:K1924)</f>
        <v>0</v>
      </c>
      <c r="D455" t="str">
        <f>_xlfn.XLOOKUP(A455,'Data Cleaning'!A455:A1924, 'Data Cleaning'!D455:D1924)</f>
        <v>College</v>
      </c>
      <c r="E455" s="3" t="str">
        <f>_xlfn.XLOOKUP(A455,'Data Cleaning'!A455:A1924, 'Data Cleaning'!E455:E1924)</f>
        <v>Divorced</v>
      </c>
      <c r="F455" t="str">
        <f>_xlfn.XLOOKUP(A455,'Data Cleaning'!A455:A1924, 'Data Cleaning'!F455:F1924)</f>
        <v>High</v>
      </c>
      <c r="G455" s="3" t="str">
        <f>_xlfn.XLOOKUP(A455,'Data Cleaning'!A455:A1924, 'Data Cleaning'!J455:J1924)</f>
        <v>Recently promoted</v>
      </c>
    </row>
    <row r="456" spans="1:7" x14ac:dyDescent="0.25">
      <c r="A456" s="3">
        <v>1011</v>
      </c>
      <c r="B456" s="3" t="str">
        <f>_xlfn.XLOOKUP(A456,'Data Cleaning'!A456:A1925, 'Data Cleaning'!I456:I1925)</f>
        <v>25-34</v>
      </c>
      <c r="C456">
        <f>_xlfn.XLOOKUP(A456,'Data Cleaning'!A456:A1925,'Data Cleaning'!K456:K1925)</f>
        <v>0</v>
      </c>
      <c r="D456" t="str">
        <f>_xlfn.XLOOKUP(A456,'Data Cleaning'!A456:A1925, 'Data Cleaning'!D456:D1925)</f>
        <v>Below College</v>
      </c>
      <c r="E456" s="3" t="str">
        <f>_xlfn.XLOOKUP(A456,'Data Cleaning'!A456:A1925, 'Data Cleaning'!E456:E1925)</f>
        <v>Married</v>
      </c>
      <c r="F456" t="str">
        <f>_xlfn.XLOOKUP(A456,'Data Cleaning'!A456:A1925, 'Data Cleaning'!F456:F1925)</f>
        <v>Low</v>
      </c>
      <c r="G456" s="3" t="str">
        <f>_xlfn.XLOOKUP(A456,'Data Cleaning'!A456:A1925, 'Data Cleaning'!J456:J1925)</f>
        <v>Recently promoted</v>
      </c>
    </row>
    <row r="457" spans="1:7" x14ac:dyDescent="0.25">
      <c r="A457" s="3">
        <v>1382</v>
      </c>
      <c r="B457" s="3" t="str">
        <f>_xlfn.XLOOKUP(A457,'Data Cleaning'!A457:A1926, 'Data Cleaning'!I457:I1926)</f>
        <v>35-44</v>
      </c>
      <c r="C457">
        <f>_xlfn.XLOOKUP(A457,'Data Cleaning'!A457:A1926,'Data Cleaning'!K457:K1926)</f>
        <v>0</v>
      </c>
      <c r="D457" t="str">
        <f>_xlfn.XLOOKUP(A457,'Data Cleaning'!A457:A1926, 'Data Cleaning'!D457:D1926)</f>
        <v>Bachelor</v>
      </c>
      <c r="E457" s="3" t="str">
        <f>_xlfn.XLOOKUP(A457,'Data Cleaning'!A457:A1926, 'Data Cleaning'!E457:E1926)</f>
        <v>Divorced</v>
      </c>
      <c r="F457" t="str">
        <f>_xlfn.XLOOKUP(A457,'Data Cleaning'!A457:A1926, 'Data Cleaning'!F457:F1926)</f>
        <v>High</v>
      </c>
      <c r="G457" s="3" t="str">
        <f>_xlfn.XLOOKUP(A457,'Data Cleaning'!A457:A1926, 'Data Cleaning'!J457:J1926)</f>
        <v>Recently promoted</v>
      </c>
    </row>
    <row r="458" spans="1:7" x14ac:dyDescent="0.25">
      <c r="A458" s="3">
        <v>469</v>
      </c>
      <c r="B458" s="3" t="str">
        <f>_xlfn.XLOOKUP(A458,'Data Cleaning'!A458:A1927, 'Data Cleaning'!I458:I1927)</f>
        <v>25-34</v>
      </c>
      <c r="C458">
        <f>_xlfn.XLOOKUP(A458,'Data Cleaning'!A458:A1927,'Data Cleaning'!K458:K1927)</f>
        <v>0</v>
      </c>
      <c r="D458" t="str">
        <f>_xlfn.XLOOKUP(A458,'Data Cleaning'!A458:A1927, 'Data Cleaning'!D458:D1927)</f>
        <v>Bachelor</v>
      </c>
      <c r="E458" s="3" t="str">
        <f>_xlfn.XLOOKUP(A458,'Data Cleaning'!A458:A1927, 'Data Cleaning'!E458:E1927)</f>
        <v>Married</v>
      </c>
      <c r="F458" t="str">
        <f>_xlfn.XLOOKUP(A458,'Data Cleaning'!A458:A1927, 'Data Cleaning'!F458:F1927)</f>
        <v>Low</v>
      </c>
      <c r="G458" s="3" t="str">
        <f>_xlfn.XLOOKUP(A458,'Data Cleaning'!A458:A1927, 'Data Cleaning'!J458:J1927)</f>
        <v>Recently promoted</v>
      </c>
    </row>
    <row r="459" spans="1:7" x14ac:dyDescent="0.25">
      <c r="A459" s="3">
        <v>450</v>
      </c>
      <c r="B459" s="3" t="str">
        <f>_xlfn.XLOOKUP(A459,'Data Cleaning'!A459:A1928, 'Data Cleaning'!I459:I1928)</f>
        <v>45-54</v>
      </c>
      <c r="C459">
        <f>_xlfn.XLOOKUP(A459,'Data Cleaning'!A459:A1928,'Data Cleaning'!K459:K1928)</f>
        <v>0</v>
      </c>
      <c r="D459" t="str">
        <f>_xlfn.XLOOKUP(A459,'Data Cleaning'!A459:A1928, 'Data Cleaning'!D459:D1928)</f>
        <v>Master</v>
      </c>
      <c r="E459" s="3" t="str">
        <f>_xlfn.XLOOKUP(A459,'Data Cleaning'!A459:A1928, 'Data Cleaning'!E459:E1928)</f>
        <v>Single</v>
      </c>
      <c r="F459" t="str">
        <f>_xlfn.XLOOKUP(A459,'Data Cleaning'!A459:A1928, 'Data Cleaning'!F459:F1928)</f>
        <v>None</v>
      </c>
      <c r="G459" s="3" t="str">
        <f>_xlfn.XLOOKUP(A459,'Data Cleaning'!A459:A1928, 'Data Cleaning'!J459:J1928)</f>
        <v>Recently promoted</v>
      </c>
    </row>
    <row r="460" spans="1:7" x14ac:dyDescent="0.25">
      <c r="A460" s="3">
        <v>1231</v>
      </c>
      <c r="B460" s="3" t="str">
        <f>_xlfn.XLOOKUP(A460,'Data Cleaning'!A460:A1929, 'Data Cleaning'!I460:I1929)</f>
        <v>35-44</v>
      </c>
      <c r="C460">
        <f>_xlfn.XLOOKUP(A460,'Data Cleaning'!A460:A1929,'Data Cleaning'!K460:K1929)</f>
        <v>0</v>
      </c>
      <c r="D460" t="str">
        <f>_xlfn.XLOOKUP(A460,'Data Cleaning'!A460:A1929, 'Data Cleaning'!D460:D1929)</f>
        <v>Doctor</v>
      </c>
      <c r="E460" s="3" t="str">
        <f>_xlfn.XLOOKUP(A460,'Data Cleaning'!A460:A1929, 'Data Cleaning'!E460:E1929)</f>
        <v>Married</v>
      </c>
      <c r="F460" t="str">
        <f>_xlfn.XLOOKUP(A460,'Data Cleaning'!A460:A1929, 'Data Cleaning'!F460:F1929)</f>
        <v>Low</v>
      </c>
      <c r="G460" s="3" t="str">
        <f>_xlfn.XLOOKUP(A460,'Data Cleaning'!A460:A1929, 'Data Cleaning'!J460:J1929)</f>
        <v>Recently promoted</v>
      </c>
    </row>
    <row r="461" spans="1:7" x14ac:dyDescent="0.25">
      <c r="A461" s="3">
        <v>1477</v>
      </c>
      <c r="B461" s="3" t="str">
        <f>_xlfn.XLOOKUP(A461,'Data Cleaning'!A461:A1930, 'Data Cleaning'!I461:I1930)</f>
        <v>25-34</v>
      </c>
      <c r="C461">
        <f>_xlfn.XLOOKUP(A461,'Data Cleaning'!A461:A1930,'Data Cleaning'!K461:K1930)</f>
        <v>0</v>
      </c>
      <c r="D461" t="str">
        <f>_xlfn.XLOOKUP(A461,'Data Cleaning'!A461:A1930, 'Data Cleaning'!D461:D1930)</f>
        <v>Bachelor</v>
      </c>
      <c r="E461" s="3" t="str">
        <f>_xlfn.XLOOKUP(A461,'Data Cleaning'!A461:A1930, 'Data Cleaning'!E461:E1930)</f>
        <v>Married</v>
      </c>
      <c r="F461" t="str">
        <f>_xlfn.XLOOKUP(A461,'Data Cleaning'!A461:A1930, 'Data Cleaning'!F461:F1930)</f>
        <v>Mid</v>
      </c>
      <c r="G461" s="3" t="str">
        <f>_xlfn.XLOOKUP(A461,'Data Cleaning'!A461:A1930, 'Data Cleaning'!J461:J1930)</f>
        <v>Recently promoted</v>
      </c>
    </row>
    <row r="462" spans="1:7" x14ac:dyDescent="0.25">
      <c r="A462" s="3">
        <v>1286</v>
      </c>
      <c r="B462" s="3" t="str">
        <f>_xlfn.XLOOKUP(A462,'Data Cleaning'!A462:A1931, 'Data Cleaning'!I462:I1931)</f>
        <v>25-34</v>
      </c>
      <c r="C462">
        <f>_xlfn.XLOOKUP(A462,'Data Cleaning'!A462:A1931,'Data Cleaning'!K462:K1931)</f>
        <v>0</v>
      </c>
      <c r="D462" t="str">
        <f>_xlfn.XLOOKUP(A462,'Data Cleaning'!A462:A1931, 'Data Cleaning'!D462:D1931)</f>
        <v>Master</v>
      </c>
      <c r="E462" s="3" t="str">
        <f>_xlfn.XLOOKUP(A462,'Data Cleaning'!A462:A1931, 'Data Cleaning'!E462:E1931)</f>
        <v>Single</v>
      </c>
      <c r="F462" t="str">
        <f>_xlfn.XLOOKUP(A462,'Data Cleaning'!A462:A1931, 'Data Cleaning'!F462:F1931)</f>
        <v>None</v>
      </c>
      <c r="G462" s="3" t="str">
        <f>_xlfn.XLOOKUP(A462,'Data Cleaning'!A462:A1931, 'Data Cleaning'!J462:J1931)</f>
        <v>Recently promoted</v>
      </c>
    </row>
    <row r="463" spans="1:7" x14ac:dyDescent="0.25">
      <c r="A463" s="3">
        <v>341</v>
      </c>
      <c r="B463" s="3" t="str">
        <f>_xlfn.XLOOKUP(A463,'Data Cleaning'!A463:A1932, 'Data Cleaning'!I463:I1932)</f>
        <v>45-54</v>
      </c>
      <c r="C463">
        <f>_xlfn.XLOOKUP(A463,'Data Cleaning'!A463:A1932,'Data Cleaning'!K463:K1932)</f>
        <v>0</v>
      </c>
      <c r="D463" t="str">
        <f>_xlfn.XLOOKUP(A463,'Data Cleaning'!A463:A1932, 'Data Cleaning'!D463:D1932)</f>
        <v>Master</v>
      </c>
      <c r="E463" s="3" t="str">
        <f>_xlfn.XLOOKUP(A463,'Data Cleaning'!A463:A1932, 'Data Cleaning'!E463:E1932)</f>
        <v>Married</v>
      </c>
      <c r="F463" t="str">
        <f>_xlfn.XLOOKUP(A463,'Data Cleaning'!A463:A1932, 'Data Cleaning'!F463:F1932)</f>
        <v>Low</v>
      </c>
      <c r="G463" s="3" t="str">
        <f>_xlfn.XLOOKUP(A463,'Data Cleaning'!A463:A1932, 'Data Cleaning'!J463:J1932)</f>
        <v>Recently promoted</v>
      </c>
    </row>
    <row r="464" spans="1:7" x14ac:dyDescent="0.25">
      <c r="A464" s="3">
        <v>882</v>
      </c>
      <c r="B464" s="3" t="str">
        <f>_xlfn.XLOOKUP(A464,'Data Cleaning'!A464:A1933, 'Data Cleaning'!I464:I1933)</f>
        <v>25-34</v>
      </c>
      <c r="C464">
        <f>_xlfn.XLOOKUP(A464,'Data Cleaning'!A464:A1933,'Data Cleaning'!K464:K1933)</f>
        <v>0</v>
      </c>
      <c r="D464" t="str">
        <f>_xlfn.XLOOKUP(A464,'Data Cleaning'!A464:A1933, 'Data Cleaning'!D464:D1933)</f>
        <v>Bachelor</v>
      </c>
      <c r="E464" s="3" t="str">
        <f>_xlfn.XLOOKUP(A464,'Data Cleaning'!A464:A1933, 'Data Cleaning'!E464:E1933)</f>
        <v>Divorced</v>
      </c>
      <c r="F464" t="str">
        <f>_xlfn.XLOOKUP(A464,'Data Cleaning'!A464:A1933, 'Data Cleaning'!F464:F1933)</f>
        <v>Low</v>
      </c>
      <c r="G464" s="3" t="str">
        <f>_xlfn.XLOOKUP(A464,'Data Cleaning'!A464:A1933, 'Data Cleaning'!J464:J1933)</f>
        <v>Recently promoted</v>
      </c>
    </row>
    <row r="465" spans="1:7" x14ac:dyDescent="0.25">
      <c r="A465" s="3">
        <v>287</v>
      </c>
      <c r="B465" s="3" t="str">
        <f>_xlfn.XLOOKUP(A465,'Data Cleaning'!A465:A1934, 'Data Cleaning'!I465:I1934)</f>
        <v>35-44</v>
      </c>
      <c r="C465">
        <f>_xlfn.XLOOKUP(A465,'Data Cleaning'!A465:A1934,'Data Cleaning'!K465:K1934)</f>
        <v>0</v>
      </c>
      <c r="D465" t="str">
        <f>_xlfn.XLOOKUP(A465,'Data Cleaning'!A465:A1934, 'Data Cleaning'!D465:D1934)</f>
        <v>Doctor</v>
      </c>
      <c r="E465" s="3" t="str">
        <f>_xlfn.XLOOKUP(A465,'Data Cleaning'!A465:A1934, 'Data Cleaning'!E465:E1934)</f>
        <v>Married</v>
      </c>
      <c r="F465" t="str">
        <f>_xlfn.XLOOKUP(A465,'Data Cleaning'!A465:A1934, 'Data Cleaning'!F465:F1934)</f>
        <v>Low</v>
      </c>
      <c r="G465" s="3" t="str">
        <f>_xlfn.XLOOKUP(A465,'Data Cleaning'!A465:A1934, 'Data Cleaning'!J465:J1934)</f>
        <v>Recently promoted</v>
      </c>
    </row>
    <row r="466" spans="1:7" x14ac:dyDescent="0.25">
      <c r="A466" s="3">
        <v>1513</v>
      </c>
      <c r="B466" s="3" t="str">
        <f>_xlfn.XLOOKUP(A466,'Data Cleaning'!A466:A1935, 'Data Cleaning'!I466:I1935)</f>
        <v>25-34</v>
      </c>
      <c r="C466">
        <f>_xlfn.XLOOKUP(A466,'Data Cleaning'!A466:A1935,'Data Cleaning'!K466:K1935)</f>
        <v>0</v>
      </c>
      <c r="D466" t="str">
        <f>_xlfn.XLOOKUP(A466,'Data Cleaning'!A466:A1935, 'Data Cleaning'!D466:D1935)</f>
        <v>Below College</v>
      </c>
      <c r="E466" s="3" t="str">
        <f>_xlfn.XLOOKUP(A466,'Data Cleaning'!A466:A1935, 'Data Cleaning'!E466:E1935)</f>
        <v>Married</v>
      </c>
      <c r="F466" t="str">
        <f>_xlfn.XLOOKUP(A466,'Data Cleaning'!A466:A1935, 'Data Cleaning'!F466:F1935)</f>
        <v>High</v>
      </c>
      <c r="G466" s="3" t="str">
        <f>_xlfn.XLOOKUP(A466,'Data Cleaning'!A466:A1935, 'Data Cleaning'!J466:J1935)</f>
        <v>Recently promoted</v>
      </c>
    </row>
    <row r="467" spans="1:7" x14ac:dyDescent="0.25">
      <c r="A467" s="3">
        <v>1114</v>
      </c>
      <c r="B467" s="3" t="str">
        <f>_xlfn.XLOOKUP(A467,'Data Cleaning'!A467:A1936, 'Data Cleaning'!I467:I1936)</f>
        <v>25-34</v>
      </c>
      <c r="C467">
        <f>_xlfn.XLOOKUP(A467,'Data Cleaning'!A467:A1936,'Data Cleaning'!K467:K1936)</f>
        <v>0</v>
      </c>
      <c r="D467" t="str">
        <f>_xlfn.XLOOKUP(A467,'Data Cleaning'!A467:A1936, 'Data Cleaning'!D467:D1936)</f>
        <v>Bachelor</v>
      </c>
      <c r="E467" s="3" t="str">
        <f>_xlfn.XLOOKUP(A467,'Data Cleaning'!A467:A1936, 'Data Cleaning'!E467:E1936)</f>
        <v>Married</v>
      </c>
      <c r="F467" t="str">
        <f>_xlfn.XLOOKUP(A467,'Data Cleaning'!A467:A1936, 'Data Cleaning'!F467:F1936)</f>
        <v>Low</v>
      </c>
      <c r="G467" s="3" t="str">
        <f>_xlfn.XLOOKUP(A467,'Data Cleaning'!A467:A1936, 'Data Cleaning'!J467:J1936)</f>
        <v>Recently promoted</v>
      </c>
    </row>
    <row r="468" spans="1:7" x14ac:dyDescent="0.25">
      <c r="A468" s="3">
        <v>974</v>
      </c>
      <c r="B468" s="3" t="str">
        <f>_xlfn.XLOOKUP(A468,'Data Cleaning'!A468:A1937, 'Data Cleaning'!I468:I1937)</f>
        <v>25-34</v>
      </c>
      <c r="C468">
        <f>_xlfn.XLOOKUP(A468,'Data Cleaning'!A468:A1937,'Data Cleaning'!K468:K1937)</f>
        <v>0</v>
      </c>
      <c r="D468" t="str">
        <f>_xlfn.XLOOKUP(A468,'Data Cleaning'!A468:A1937, 'Data Cleaning'!D468:D1937)</f>
        <v>Bachelor</v>
      </c>
      <c r="E468" s="3" t="str">
        <f>_xlfn.XLOOKUP(A468,'Data Cleaning'!A468:A1937, 'Data Cleaning'!E468:E1937)</f>
        <v>Married</v>
      </c>
      <c r="F468" t="str">
        <f>_xlfn.XLOOKUP(A468,'Data Cleaning'!A468:A1937, 'Data Cleaning'!F468:F1937)</f>
        <v>Low</v>
      </c>
      <c r="G468" s="3" t="str">
        <f>_xlfn.XLOOKUP(A468,'Data Cleaning'!A468:A1937, 'Data Cleaning'!J468:J1937)</f>
        <v>Recently promoted</v>
      </c>
    </row>
    <row r="469" spans="1:7" x14ac:dyDescent="0.25">
      <c r="A469" s="3">
        <v>1140</v>
      </c>
      <c r="B469" s="3" t="str">
        <f>_xlfn.XLOOKUP(A469,'Data Cleaning'!A469:A1938, 'Data Cleaning'!I469:I1938)</f>
        <v>25-34</v>
      </c>
      <c r="C469">
        <f>_xlfn.XLOOKUP(A469,'Data Cleaning'!A469:A1938,'Data Cleaning'!K469:K1938)</f>
        <v>0</v>
      </c>
      <c r="D469" t="str">
        <f>_xlfn.XLOOKUP(A469,'Data Cleaning'!A469:A1938, 'Data Cleaning'!D469:D1938)</f>
        <v>College</v>
      </c>
      <c r="E469" s="3" t="str">
        <f>_xlfn.XLOOKUP(A469,'Data Cleaning'!A469:A1938, 'Data Cleaning'!E469:E1938)</f>
        <v>Single</v>
      </c>
      <c r="F469" t="str">
        <f>_xlfn.XLOOKUP(A469,'Data Cleaning'!A469:A1938, 'Data Cleaning'!F469:F1938)</f>
        <v>None</v>
      </c>
      <c r="G469" s="3" t="str">
        <f>_xlfn.XLOOKUP(A469,'Data Cleaning'!A469:A1938, 'Data Cleaning'!J469:J1938)</f>
        <v>Recently promoted</v>
      </c>
    </row>
    <row r="470" spans="1:7" x14ac:dyDescent="0.25">
      <c r="A470" s="3">
        <v>1594</v>
      </c>
      <c r="B470" s="3" t="str">
        <f>_xlfn.XLOOKUP(A470,'Data Cleaning'!A470:A1939, 'Data Cleaning'!I470:I1939)</f>
        <v>35-44</v>
      </c>
      <c r="C470">
        <f>_xlfn.XLOOKUP(A470,'Data Cleaning'!A470:A1939,'Data Cleaning'!K470:K1939)</f>
        <v>0</v>
      </c>
      <c r="D470" t="str">
        <f>_xlfn.XLOOKUP(A470,'Data Cleaning'!A470:A1939, 'Data Cleaning'!D470:D1939)</f>
        <v>Master</v>
      </c>
      <c r="E470" s="3" t="str">
        <f>_xlfn.XLOOKUP(A470,'Data Cleaning'!A470:A1939, 'Data Cleaning'!E470:E1939)</f>
        <v>Married</v>
      </c>
      <c r="F470" t="str">
        <f>_xlfn.XLOOKUP(A470,'Data Cleaning'!A470:A1939, 'Data Cleaning'!F470:F1939)</f>
        <v>Low</v>
      </c>
      <c r="G470" s="3" t="str">
        <f>_xlfn.XLOOKUP(A470,'Data Cleaning'!A470:A1939, 'Data Cleaning'!J470:J1939)</f>
        <v>Recently promoted</v>
      </c>
    </row>
    <row r="471" spans="1:7" x14ac:dyDescent="0.25">
      <c r="A471" s="3">
        <v>1154</v>
      </c>
      <c r="B471" s="3" t="str">
        <f>_xlfn.XLOOKUP(A471,'Data Cleaning'!A471:A1940, 'Data Cleaning'!I471:I1940)</f>
        <v>25-34</v>
      </c>
      <c r="C471">
        <f>_xlfn.XLOOKUP(A471,'Data Cleaning'!A471:A1940,'Data Cleaning'!K471:K1940)</f>
        <v>0</v>
      </c>
      <c r="D471" t="str">
        <f>_xlfn.XLOOKUP(A471,'Data Cleaning'!A471:A1940, 'Data Cleaning'!D471:D1940)</f>
        <v>Bachelor</v>
      </c>
      <c r="E471" s="3" t="str">
        <f>_xlfn.XLOOKUP(A471,'Data Cleaning'!A471:A1940, 'Data Cleaning'!E471:E1940)</f>
        <v>Divorced</v>
      </c>
      <c r="F471" t="str">
        <f>_xlfn.XLOOKUP(A471,'Data Cleaning'!A471:A1940, 'Data Cleaning'!F471:F1940)</f>
        <v>Low</v>
      </c>
      <c r="G471" s="3" t="str">
        <f>_xlfn.XLOOKUP(A471,'Data Cleaning'!A471:A1940, 'Data Cleaning'!J471:J1940)</f>
        <v>Recently promoted</v>
      </c>
    </row>
    <row r="472" spans="1:7" x14ac:dyDescent="0.25">
      <c r="A472" s="3">
        <v>1006</v>
      </c>
      <c r="B472" s="3" t="str">
        <f>_xlfn.XLOOKUP(A472,'Data Cleaning'!A472:A1941, 'Data Cleaning'!I472:I1941)</f>
        <v>35-44</v>
      </c>
      <c r="C472">
        <f>_xlfn.XLOOKUP(A472,'Data Cleaning'!A472:A1941,'Data Cleaning'!K472:K1941)</f>
        <v>0</v>
      </c>
      <c r="D472" t="str">
        <f>_xlfn.XLOOKUP(A472,'Data Cleaning'!A472:A1941, 'Data Cleaning'!D472:D1941)</f>
        <v>Below College</v>
      </c>
      <c r="E472" s="3" t="str">
        <f>_xlfn.XLOOKUP(A472,'Data Cleaning'!A472:A1941, 'Data Cleaning'!E472:E1941)</f>
        <v>Married</v>
      </c>
      <c r="F472" t="str">
        <f>_xlfn.XLOOKUP(A472,'Data Cleaning'!A472:A1941, 'Data Cleaning'!F472:F1941)</f>
        <v>Low</v>
      </c>
      <c r="G472" s="3" t="str">
        <f>_xlfn.XLOOKUP(A472,'Data Cleaning'!A472:A1941, 'Data Cleaning'!J472:J1941)</f>
        <v>Recently promoted</v>
      </c>
    </row>
    <row r="473" spans="1:7" x14ac:dyDescent="0.25">
      <c r="A473" s="3">
        <v>615</v>
      </c>
      <c r="B473" s="3" t="str">
        <f>_xlfn.XLOOKUP(A473,'Data Cleaning'!A473:A1942, 'Data Cleaning'!I473:I1942)</f>
        <v>35-44</v>
      </c>
      <c r="C473">
        <f>_xlfn.XLOOKUP(A473,'Data Cleaning'!A473:A1942,'Data Cleaning'!K473:K1942)</f>
        <v>0</v>
      </c>
      <c r="D473" t="str">
        <f>_xlfn.XLOOKUP(A473,'Data Cleaning'!A473:A1942, 'Data Cleaning'!D473:D1942)</f>
        <v>Bachelor</v>
      </c>
      <c r="E473" s="3" t="str">
        <f>_xlfn.XLOOKUP(A473,'Data Cleaning'!A473:A1942, 'Data Cleaning'!E473:E1942)</f>
        <v>Divorced</v>
      </c>
      <c r="F473" t="str">
        <f>_xlfn.XLOOKUP(A473,'Data Cleaning'!A473:A1942, 'Data Cleaning'!F473:F1942)</f>
        <v>Low</v>
      </c>
      <c r="G473" s="3" t="str">
        <f>_xlfn.XLOOKUP(A473,'Data Cleaning'!A473:A1942, 'Data Cleaning'!J473:J1942)</f>
        <v>Recently promoted</v>
      </c>
    </row>
    <row r="474" spans="1:7" x14ac:dyDescent="0.25">
      <c r="A474" s="3">
        <v>224</v>
      </c>
      <c r="B474" s="3" t="str">
        <f>_xlfn.XLOOKUP(A474,'Data Cleaning'!A474:A1943, 'Data Cleaning'!I474:I1943)</f>
        <v>25-34</v>
      </c>
      <c r="C474">
        <f>_xlfn.XLOOKUP(A474,'Data Cleaning'!A474:A1943,'Data Cleaning'!K474:K1943)</f>
        <v>0</v>
      </c>
      <c r="D474" t="str">
        <f>_xlfn.XLOOKUP(A474,'Data Cleaning'!A474:A1943, 'Data Cleaning'!D474:D1943)</f>
        <v>Bachelor</v>
      </c>
      <c r="E474" s="3" t="str">
        <f>_xlfn.XLOOKUP(A474,'Data Cleaning'!A474:A1943, 'Data Cleaning'!E474:E1943)</f>
        <v>Divorced</v>
      </c>
      <c r="F474" t="str">
        <f>_xlfn.XLOOKUP(A474,'Data Cleaning'!A474:A1943, 'Data Cleaning'!F474:F1943)</f>
        <v>Low</v>
      </c>
      <c r="G474" s="3" t="str">
        <f>_xlfn.XLOOKUP(A474,'Data Cleaning'!A474:A1943, 'Data Cleaning'!J474:J1943)</f>
        <v>Recently promoted</v>
      </c>
    </row>
    <row r="475" spans="1:7" x14ac:dyDescent="0.25">
      <c r="A475" s="3">
        <v>2034</v>
      </c>
      <c r="B475" s="3" t="str">
        <f>_xlfn.XLOOKUP(A475,'Data Cleaning'!A475:A1944, 'Data Cleaning'!I475:I1944)</f>
        <v>35-44</v>
      </c>
      <c r="C475">
        <f>_xlfn.XLOOKUP(A475,'Data Cleaning'!A475:A1944,'Data Cleaning'!K475:K1944)</f>
        <v>0</v>
      </c>
      <c r="D475" t="str">
        <f>_xlfn.XLOOKUP(A475,'Data Cleaning'!A475:A1944, 'Data Cleaning'!D475:D1944)</f>
        <v>Master</v>
      </c>
      <c r="E475" s="3" t="str">
        <f>_xlfn.XLOOKUP(A475,'Data Cleaning'!A475:A1944, 'Data Cleaning'!E475:E1944)</f>
        <v>Married</v>
      </c>
      <c r="F475" t="str">
        <f>_xlfn.XLOOKUP(A475,'Data Cleaning'!A475:A1944, 'Data Cleaning'!F475:F1944)</f>
        <v>Low</v>
      </c>
      <c r="G475" s="3" t="str">
        <f>_xlfn.XLOOKUP(A475,'Data Cleaning'!A475:A1944, 'Data Cleaning'!J475:J1944)</f>
        <v>Recently promoted</v>
      </c>
    </row>
    <row r="476" spans="1:7" x14ac:dyDescent="0.25">
      <c r="A476" s="3">
        <v>1408</v>
      </c>
      <c r="B476" s="3" t="str">
        <f>_xlfn.XLOOKUP(A476,'Data Cleaning'!A476:A1945, 'Data Cleaning'!I476:I1945)</f>
        <v>35-44</v>
      </c>
      <c r="C476">
        <f>_xlfn.XLOOKUP(A476,'Data Cleaning'!A476:A1945,'Data Cleaning'!K476:K1945)</f>
        <v>0</v>
      </c>
      <c r="D476" t="str">
        <f>_xlfn.XLOOKUP(A476,'Data Cleaning'!A476:A1945, 'Data Cleaning'!D476:D1945)</f>
        <v>Bachelor</v>
      </c>
      <c r="E476" s="3" t="str">
        <f>_xlfn.XLOOKUP(A476,'Data Cleaning'!A476:A1945, 'Data Cleaning'!E476:E1945)</f>
        <v>Married</v>
      </c>
      <c r="F476" t="str">
        <f>_xlfn.XLOOKUP(A476,'Data Cleaning'!A476:A1945, 'Data Cleaning'!F476:F1945)</f>
        <v>Low</v>
      </c>
      <c r="G476" s="3" t="str">
        <f>_xlfn.XLOOKUP(A476,'Data Cleaning'!A476:A1945, 'Data Cleaning'!J476:J1945)</f>
        <v>Recently promoted</v>
      </c>
    </row>
    <row r="477" spans="1:7" x14ac:dyDescent="0.25">
      <c r="A477" s="3">
        <v>581</v>
      </c>
      <c r="B477" s="3" t="str">
        <f>_xlfn.XLOOKUP(A477,'Data Cleaning'!A477:A1946, 'Data Cleaning'!I477:I1946)</f>
        <v>25-34</v>
      </c>
      <c r="C477">
        <f>_xlfn.XLOOKUP(A477,'Data Cleaning'!A477:A1946,'Data Cleaning'!K477:K1946)</f>
        <v>0</v>
      </c>
      <c r="D477" t="str">
        <f>_xlfn.XLOOKUP(A477,'Data Cleaning'!A477:A1946, 'Data Cleaning'!D477:D1946)</f>
        <v>Below College</v>
      </c>
      <c r="E477" s="3" t="str">
        <f>_xlfn.XLOOKUP(A477,'Data Cleaning'!A477:A1946, 'Data Cleaning'!E477:E1946)</f>
        <v>Divorced</v>
      </c>
      <c r="F477" t="str">
        <f>_xlfn.XLOOKUP(A477,'Data Cleaning'!A477:A1946, 'Data Cleaning'!F477:F1946)</f>
        <v>Low</v>
      </c>
      <c r="G477" s="3" t="str">
        <f>_xlfn.XLOOKUP(A477,'Data Cleaning'!A477:A1946, 'Data Cleaning'!J477:J1946)</f>
        <v>Recently promoted</v>
      </c>
    </row>
    <row r="478" spans="1:7" x14ac:dyDescent="0.25">
      <c r="A478" s="3">
        <v>1669</v>
      </c>
      <c r="B478" s="3" t="str">
        <f>_xlfn.XLOOKUP(A478,'Data Cleaning'!A478:A1947, 'Data Cleaning'!I478:I1947)</f>
        <v>25-34</v>
      </c>
      <c r="C478">
        <f>_xlfn.XLOOKUP(A478,'Data Cleaning'!A478:A1947,'Data Cleaning'!K478:K1947)</f>
        <v>0</v>
      </c>
      <c r="D478" t="str">
        <f>_xlfn.XLOOKUP(A478,'Data Cleaning'!A478:A1947, 'Data Cleaning'!D478:D1947)</f>
        <v>Bachelor</v>
      </c>
      <c r="E478" s="3" t="str">
        <f>_xlfn.XLOOKUP(A478,'Data Cleaning'!A478:A1947, 'Data Cleaning'!E478:E1947)</f>
        <v>Divorced</v>
      </c>
      <c r="F478" t="str">
        <f>_xlfn.XLOOKUP(A478,'Data Cleaning'!A478:A1947, 'Data Cleaning'!F478:F1947)</f>
        <v>Low</v>
      </c>
      <c r="G478" s="3" t="str">
        <f>_xlfn.XLOOKUP(A478,'Data Cleaning'!A478:A1947, 'Data Cleaning'!J478:J1947)</f>
        <v>Recently promoted</v>
      </c>
    </row>
    <row r="479" spans="1:7" x14ac:dyDescent="0.25">
      <c r="A479" s="3">
        <v>942</v>
      </c>
      <c r="B479" s="3" t="str">
        <f>_xlfn.XLOOKUP(A479,'Data Cleaning'!A479:A1948, 'Data Cleaning'!I479:I1948)</f>
        <v>35-44</v>
      </c>
      <c r="C479">
        <f>_xlfn.XLOOKUP(A479,'Data Cleaning'!A479:A1948,'Data Cleaning'!K479:K1948)</f>
        <v>0</v>
      </c>
      <c r="D479" t="str">
        <f>_xlfn.XLOOKUP(A479,'Data Cleaning'!A479:A1948, 'Data Cleaning'!D479:D1948)</f>
        <v>Below College</v>
      </c>
      <c r="E479" s="3" t="str">
        <f>_xlfn.XLOOKUP(A479,'Data Cleaning'!A479:A1948, 'Data Cleaning'!E479:E1948)</f>
        <v>Married</v>
      </c>
      <c r="F479" t="str">
        <f>_xlfn.XLOOKUP(A479,'Data Cleaning'!A479:A1948, 'Data Cleaning'!F479:F1948)</f>
        <v>Low</v>
      </c>
      <c r="G479" s="3" t="str">
        <f>_xlfn.XLOOKUP(A479,'Data Cleaning'!A479:A1948, 'Data Cleaning'!J479:J1948)</f>
        <v>Recently promoted</v>
      </c>
    </row>
    <row r="480" spans="1:7" x14ac:dyDescent="0.25">
      <c r="A480" s="3">
        <v>1085</v>
      </c>
      <c r="B480" s="3" t="str">
        <f>_xlfn.XLOOKUP(A480,'Data Cleaning'!A480:A1949, 'Data Cleaning'!I480:I1949)</f>
        <v>35-44</v>
      </c>
      <c r="C480">
        <f>_xlfn.XLOOKUP(A480,'Data Cleaning'!A480:A1949,'Data Cleaning'!K480:K1949)</f>
        <v>0</v>
      </c>
      <c r="D480" t="str">
        <f>_xlfn.XLOOKUP(A480,'Data Cleaning'!A480:A1949, 'Data Cleaning'!D480:D1949)</f>
        <v>College</v>
      </c>
      <c r="E480" s="3" t="str">
        <f>_xlfn.XLOOKUP(A480,'Data Cleaning'!A480:A1949, 'Data Cleaning'!E480:E1949)</f>
        <v>Married</v>
      </c>
      <c r="F480" t="str">
        <f>_xlfn.XLOOKUP(A480,'Data Cleaning'!A480:A1949, 'Data Cleaning'!F480:F1949)</f>
        <v>None</v>
      </c>
      <c r="G480" s="3" t="str">
        <f>_xlfn.XLOOKUP(A480,'Data Cleaning'!A480:A1949, 'Data Cleaning'!J480:J1949)</f>
        <v>Recently promoted</v>
      </c>
    </row>
    <row r="481" spans="1:7" x14ac:dyDescent="0.25">
      <c r="A481" s="3">
        <v>824</v>
      </c>
      <c r="B481" s="3" t="str">
        <f>_xlfn.XLOOKUP(A481,'Data Cleaning'!A481:A1950, 'Data Cleaning'!I481:I1950)</f>
        <v>25-34</v>
      </c>
      <c r="C481">
        <f>_xlfn.XLOOKUP(A481,'Data Cleaning'!A481:A1950,'Data Cleaning'!K481:K1950)</f>
        <v>0</v>
      </c>
      <c r="D481" t="str">
        <f>_xlfn.XLOOKUP(A481,'Data Cleaning'!A481:A1950, 'Data Cleaning'!D481:D1950)</f>
        <v>College</v>
      </c>
      <c r="E481" s="3" t="str">
        <f>_xlfn.XLOOKUP(A481,'Data Cleaning'!A481:A1950, 'Data Cleaning'!E481:E1950)</f>
        <v>Married</v>
      </c>
      <c r="F481" t="str">
        <f>_xlfn.XLOOKUP(A481,'Data Cleaning'!A481:A1950, 'Data Cleaning'!F481:F1950)</f>
        <v>Low</v>
      </c>
      <c r="G481" s="3" t="str">
        <f>_xlfn.XLOOKUP(A481,'Data Cleaning'!A481:A1950, 'Data Cleaning'!J481:J1950)</f>
        <v>Recently promoted</v>
      </c>
    </row>
    <row r="482" spans="1:7" x14ac:dyDescent="0.25">
      <c r="A482" s="3">
        <v>1881</v>
      </c>
      <c r="B482" s="3" t="str">
        <f>_xlfn.XLOOKUP(A482,'Data Cleaning'!A482:A1951, 'Data Cleaning'!I482:I1951)</f>
        <v>25-34</v>
      </c>
      <c r="C482">
        <f>_xlfn.XLOOKUP(A482,'Data Cleaning'!A482:A1951,'Data Cleaning'!K482:K1951)</f>
        <v>0</v>
      </c>
      <c r="D482" t="str">
        <f>_xlfn.XLOOKUP(A482,'Data Cleaning'!A482:A1951, 'Data Cleaning'!D482:D1951)</f>
        <v>Bachelor</v>
      </c>
      <c r="E482" s="3" t="str">
        <f>_xlfn.XLOOKUP(A482,'Data Cleaning'!A482:A1951, 'Data Cleaning'!E482:E1951)</f>
        <v>Divorced</v>
      </c>
      <c r="F482" t="str">
        <f>_xlfn.XLOOKUP(A482,'Data Cleaning'!A482:A1951, 'Data Cleaning'!F482:F1951)</f>
        <v>Low</v>
      </c>
      <c r="G482" s="3" t="str">
        <f>_xlfn.XLOOKUP(A482,'Data Cleaning'!A482:A1951, 'Data Cleaning'!J482:J1951)</f>
        <v>Recently promoted</v>
      </c>
    </row>
    <row r="483" spans="1:7" x14ac:dyDescent="0.25">
      <c r="A483" s="3">
        <v>855</v>
      </c>
      <c r="B483" s="3" t="str">
        <f>_xlfn.XLOOKUP(A483,'Data Cleaning'!A483:A1952, 'Data Cleaning'!I483:I1952)</f>
        <v>25-34</v>
      </c>
      <c r="C483">
        <f>_xlfn.XLOOKUP(A483,'Data Cleaning'!A483:A1952,'Data Cleaning'!K483:K1952)</f>
        <v>0</v>
      </c>
      <c r="D483" t="str">
        <f>_xlfn.XLOOKUP(A483,'Data Cleaning'!A483:A1952, 'Data Cleaning'!D483:D1952)</f>
        <v>Bachelor</v>
      </c>
      <c r="E483" s="3" t="str">
        <f>_xlfn.XLOOKUP(A483,'Data Cleaning'!A483:A1952, 'Data Cleaning'!E483:E1952)</f>
        <v>Divorced</v>
      </c>
      <c r="F483" t="str">
        <f>_xlfn.XLOOKUP(A483,'Data Cleaning'!A483:A1952, 'Data Cleaning'!F483:F1952)</f>
        <v>Low</v>
      </c>
      <c r="G483" s="3" t="str">
        <f>_xlfn.XLOOKUP(A483,'Data Cleaning'!A483:A1952, 'Data Cleaning'!J483:J1952)</f>
        <v>Recently promoted</v>
      </c>
    </row>
    <row r="484" spans="1:7" x14ac:dyDescent="0.25">
      <c r="A484" s="3">
        <v>15</v>
      </c>
      <c r="B484" s="3" t="str">
        <f>_xlfn.XLOOKUP(A484,'Data Cleaning'!A484:A1953, 'Data Cleaning'!I484:I1953)</f>
        <v>25-34</v>
      </c>
      <c r="C484">
        <f>_xlfn.XLOOKUP(A484,'Data Cleaning'!A484:A1953,'Data Cleaning'!K484:K1953)</f>
        <v>0</v>
      </c>
      <c r="D484" t="str">
        <f>_xlfn.XLOOKUP(A484,'Data Cleaning'!A484:A1953, 'Data Cleaning'!D484:D1953)</f>
        <v>College</v>
      </c>
      <c r="E484" s="3" t="str">
        <f>_xlfn.XLOOKUP(A484,'Data Cleaning'!A484:A1953, 'Data Cleaning'!E484:E1953)</f>
        <v>Single</v>
      </c>
      <c r="F484" t="str">
        <f>_xlfn.XLOOKUP(A484,'Data Cleaning'!A484:A1953, 'Data Cleaning'!F484:F1953)</f>
        <v>None</v>
      </c>
      <c r="G484" s="3" t="str">
        <f>_xlfn.XLOOKUP(A484,'Data Cleaning'!A484:A1953, 'Data Cleaning'!J484:J1953)</f>
        <v>Recently promoted</v>
      </c>
    </row>
    <row r="485" spans="1:7" x14ac:dyDescent="0.25">
      <c r="A485" s="3">
        <v>725</v>
      </c>
      <c r="B485" s="3" t="str">
        <f>_xlfn.XLOOKUP(A485,'Data Cleaning'!A485:A1954, 'Data Cleaning'!I485:I1954)</f>
        <v>25-34</v>
      </c>
      <c r="C485">
        <f>_xlfn.XLOOKUP(A485,'Data Cleaning'!A485:A1954,'Data Cleaning'!K485:K1954)</f>
        <v>0</v>
      </c>
      <c r="D485" t="str">
        <f>_xlfn.XLOOKUP(A485,'Data Cleaning'!A485:A1954, 'Data Cleaning'!D485:D1954)</f>
        <v>College</v>
      </c>
      <c r="E485" s="3" t="str">
        <f>_xlfn.XLOOKUP(A485,'Data Cleaning'!A485:A1954, 'Data Cleaning'!E485:E1954)</f>
        <v>Married</v>
      </c>
      <c r="F485" t="str">
        <f>_xlfn.XLOOKUP(A485,'Data Cleaning'!A485:A1954, 'Data Cleaning'!F485:F1954)</f>
        <v>None</v>
      </c>
      <c r="G485" s="3" t="str">
        <f>_xlfn.XLOOKUP(A485,'Data Cleaning'!A485:A1954, 'Data Cleaning'!J485:J1954)</f>
        <v>Recently promoted</v>
      </c>
    </row>
    <row r="486" spans="1:7" x14ac:dyDescent="0.25">
      <c r="A486" s="3">
        <v>1321</v>
      </c>
      <c r="B486" s="3" t="str">
        <f>_xlfn.XLOOKUP(A486,'Data Cleaning'!A486:A1955, 'Data Cleaning'!I486:I1955)</f>
        <v>25-34</v>
      </c>
      <c r="C486">
        <f>_xlfn.XLOOKUP(A486,'Data Cleaning'!A486:A1955,'Data Cleaning'!K486:K1955)</f>
        <v>0</v>
      </c>
      <c r="D486" t="str">
        <f>_xlfn.XLOOKUP(A486,'Data Cleaning'!A486:A1955, 'Data Cleaning'!D486:D1955)</f>
        <v>Master</v>
      </c>
      <c r="E486" s="3" t="str">
        <f>_xlfn.XLOOKUP(A486,'Data Cleaning'!A486:A1955, 'Data Cleaning'!E486:E1955)</f>
        <v>Married</v>
      </c>
      <c r="F486" t="str">
        <f>_xlfn.XLOOKUP(A486,'Data Cleaning'!A486:A1955, 'Data Cleaning'!F486:F1955)</f>
        <v>Mid</v>
      </c>
      <c r="G486" s="3" t="str">
        <f>_xlfn.XLOOKUP(A486,'Data Cleaning'!A486:A1955, 'Data Cleaning'!J486:J1955)</f>
        <v>Recently promoted</v>
      </c>
    </row>
    <row r="487" spans="1:7" x14ac:dyDescent="0.25">
      <c r="A487" s="3">
        <v>1177</v>
      </c>
      <c r="B487" s="3" t="str">
        <f>_xlfn.XLOOKUP(A487,'Data Cleaning'!A487:A1956, 'Data Cleaning'!I487:I1956)</f>
        <v>25-34</v>
      </c>
      <c r="C487">
        <f>_xlfn.XLOOKUP(A487,'Data Cleaning'!A487:A1956,'Data Cleaning'!K487:K1956)</f>
        <v>0</v>
      </c>
      <c r="D487" t="str">
        <f>_xlfn.XLOOKUP(A487,'Data Cleaning'!A487:A1956, 'Data Cleaning'!D487:D1956)</f>
        <v>Master</v>
      </c>
      <c r="E487" s="3" t="str">
        <f>_xlfn.XLOOKUP(A487,'Data Cleaning'!A487:A1956, 'Data Cleaning'!E487:E1956)</f>
        <v>Married</v>
      </c>
      <c r="F487" t="str">
        <f>_xlfn.XLOOKUP(A487,'Data Cleaning'!A487:A1956, 'Data Cleaning'!F487:F1956)</f>
        <v>Low</v>
      </c>
      <c r="G487" s="3" t="str">
        <f>_xlfn.XLOOKUP(A487,'Data Cleaning'!A487:A1956, 'Data Cleaning'!J487:J1956)</f>
        <v>Recently promoted</v>
      </c>
    </row>
    <row r="488" spans="1:7" x14ac:dyDescent="0.25">
      <c r="A488" s="3">
        <v>230</v>
      </c>
      <c r="B488" s="3" t="str">
        <f>_xlfn.XLOOKUP(A488,'Data Cleaning'!A488:A1957, 'Data Cleaning'!I488:I1957)</f>
        <v>35-44</v>
      </c>
      <c r="C488">
        <f>_xlfn.XLOOKUP(A488,'Data Cleaning'!A488:A1957,'Data Cleaning'!K488:K1957)</f>
        <v>0</v>
      </c>
      <c r="D488" t="str">
        <f>_xlfn.XLOOKUP(A488,'Data Cleaning'!A488:A1957, 'Data Cleaning'!D488:D1957)</f>
        <v>Master</v>
      </c>
      <c r="E488" s="3" t="str">
        <f>_xlfn.XLOOKUP(A488,'Data Cleaning'!A488:A1957, 'Data Cleaning'!E488:E1957)</f>
        <v>Single</v>
      </c>
      <c r="F488" t="str">
        <f>_xlfn.XLOOKUP(A488,'Data Cleaning'!A488:A1957, 'Data Cleaning'!F488:F1957)</f>
        <v>None</v>
      </c>
      <c r="G488" s="3" t="str">
        <f>_xlfn.XLOOKUP(A488,'Data Cleaning'!A488:A1957, 'Data Cleaning'!J488:J1957)</f>
        <v>Recently promoted</v>
      </c>
    </row>
    <row r="489" spans="1:7" x14ac:dyDescent="0.25">
      <c r="A489" s="3">
        <v>985</v>
      </c>
      <c r="B489" s="3" t="str">
        <f>_xlfn.XLOOKUP(A489,'Data Cleaning'!A489:A1958, 'Data Cleaning'!I489:I1958)</f>
        <v>35-44</v>
      </c>
      <c r="C489">
        <f>_xlfn.XLOOKUP(A489,'Data Cleaning'!A489:A1958,'Data Cleaning'!K489:K1958)</f>
        <v>0</v>
      </c>
      <c r="D489" t="str">
        <f>_xlfn.XLOOKUP(A489,'Data Cleaning'!A489:A1958, 'Data Cleaning'!D489:D1958)</f>
        <v>Doctor</v>
      </c>
      <c r="E489" s="3" t="str">
        <f>_xlfn.XLOOKUP(A489,'Data Cleaning'!A489:A1958, 'Data Cleaning'!E489:E1958)</f>
        <v>Single</v>
      </c>
      <c r="F489" t="str">
        <f>_xlfn.XLOOKUP(A489,'Data Cleaning'!A489:A1958, 'Data Cleaning'!F489:F1958)</f>
        <v>None</v>
      </c>
      <c r="G489" s="3" t="str">
        <f>_xlfn.XLOOKUP(A489,'Data Cleaning'!A489:A1958, 'Data Cleaning'!J489:J1958)</f>
        <v>Recently promoted</v>
      </c>
    </row>
    <row r="490" spans="1:7" x14ac:dyDescent="0.25">
      <c r="A490" s="3">
        <v>1728</v>
      </c>
      <c r="B490" s="3" t="str">
        <f>_xlfn.XLOOKUP(A490,'Data Cleaning'!A490:A1959, 'Data Cleaning'!I490:I1959)</f>
        <v>35-44</v>
      </c>
      <c r="C490">
        <f>_xlfn.XLOOKUP(A490,'Data Cleaning'!A490:A1959,'Data Cleaning'!K490:K1959)</f>
        <v>0</v>
      </c>
      <c r="D490" t="str">
        <f>_xlfn.XLOOKUP(A490,'Data Cleaning'!A490:A1959, 'Data Cleaning'!D490:D1959)</f>
        <v>Master</v>
      </c>
      <c r="E490" s="3" t="str">
        <f>_xlfn.XLOOKUP(A490,'Data Cleaning'!A490:A1959, 'Data Cleaning'!E490:E1959)</f>
        <v>Married</v>
      </c>
      <c r="F490" t="str">
        <f>_xlfn.XLOOKUP(A490,'Data Cleaning'!A490:A1959, 'Data Cleaning'!F490:F1959)</f>
        <v>Low</v>
      </c>
      <c r="G490" s="3" t="str">
        <f>_xlfn.XLOOKUP(A490,'Data Cleaning'!A490:A1959, 'Data Cleaning'!J490:J1959)</f>
        <v>Recently promoted</v>
      </c>
    </row>
    <row r="491" spans="1:7" x14ac:dyDescent="0.25">
      <c r="A491" s="3">
        <v>709</v>
      </c>
      <c r="B491" s="3" t="str">
        <f>_xlfn.XLOOKUP(A491,'Data Cleaning'!A491:A1960, 'Data Cleaning'!I491:I1960)</f>
        <v>35-44</v>
      </c>
      <c r="C491">
        <f>_xlfn.XLOOKUP(A491,'Data Cleaning'!A491:A1960,'Data Cleaning'!K491:K1960)</f>
        <v>0</v>
      </c>
      <c r="D491" t="str">
        <f>_xlfn.XLOOKUP(A491,'Data Cleaning'!A491:A1960, 'Data Cleaning'!D491:D1960)</f>
        <v>Master</v>
      </c>
      <c r="E491" s="3" t="str">
        <f>_xlfn.XLOOKUP(A491,'Data Cleaning'!A491:A1960, 'Data Cleaning'!E491:E1960)</f>
        <v>Single</v>
      </c>
      <c r="F491" t="str">
        <f>_xlfn.XLOOKUP(A491,'Data Cleaning'!A491:A1960, 'Data Cleaning'!F491:F1960)</f>
        <v>None</v>
      </c>
      <c r="G491" s="3" t="str">
        <f>_xlfn.XLOOKUP(A491,'Data Cleaning'!A491:A1960, 'Data Cleaning'!J491:J1960)</f>
        <v>Recently promoted</v>
      </c>
    </row>
    <row r="492" spans="1:7" x14ac:dyDescent="0.25">
      <c r="A492" s="3">
        <v>1619</v>
      </c>
      <c r="B492" s="3" t="str">
        <f>_xlfn.XLOOKUP(A492,'Data Cleaning'!A492:A1961, 'Data Cleaning'!I492:I1961)</f>
        <v>25-34</v>
      </c>
      <c r="C492">
        <f>_xlfn.XLOOKUP(A492,'Data Cleaning'!A492:A1961,'Data Cleaning'!K492:K1961)</f>
        <v>0</v>
      </c>
      <c r="D492" t="str">
        <f>_xlfn.XLOOKUP(A492,'Data Cleaning'!A492:A1961, 'Data Cleaning'!D492:D1961)</f>
        <v>Bachelor</v>
      </c>
      <c r="E492" s="3" t="str">
        <f>_xlfn.XLOOKUP(A492,'Data Cleaning'!A492:A1961, 'Data Cleaning'!E492:E1961)</f>
        <v>Divorced</v>
      </c>
      <c r="F492" t="str">
        <f>_xlfn.XLOOKUP(A492,'Data Cleaning'!A492:A1961, 'Data Cleaning'!F492:F1961)</f>
        <v>Mid</v>
      </c>
      <c r="G492" s="3" t="str">
        <f>_xlfn.XLOOKUP(A492,'Data Cleaning'!A492:A1961, 'Data Cleaning'!J492:J1961)</f>
        <v>Recently promoted</v>
      </c>
    </row>
    <row r="493" spans="1:7" x14ac:dyDescent="0.25">
      <c r="A493" s="3">
        <v>764</v>
      </c>
      <c r="B493" s="3" t="str">
        <f>_xlfn.XLOOKUP(A493,'Data Cleaning'!A493:A1962, 'Data Cleaning'!I493:I1962)</f>
        <v>25-34</v>
      </c>
      <c r="C493">
        <f>_xlfn.XLOOKUP(A493,'Data Cleaning'!A493:A1962,'Data Cleaning'!K493:K1962)</f>
        <v>0</v>
      </c>
      <c r="D493" t="str">
        <f>_xlfn.XLOOKUP(A493,'Data Cleaning'!A493:A1962, 'Data Cleaning'!D493:D1962)</f>
        <v>Bachelor</v>
      </c>
      <c r="E493" s="3" t="str">
        <f>_xlfn.XLOOKUP(A493,'Data Cleaning'!A493:A1962, 'Data Cleaning'!E493:E1962)</f>
        <v>Single</v>
      </c>
      <c r="F493" t="str">
        <f>_xlfn.XLOOKUP(A493,'Data Cleaning'!A493:A1962, 'Data Cleaning'!F493:F1962)</f>
        <v>None</v>
      </c>
      <c r="G493" s="3" t="str">
        <f>_xlfn.XLOOKUP(A493,'Data Cleaning'!A493:A1962, 'Data Cleaning'!J493:J1962)</f>
        <v>Recently promoted</v>
      </c>
    </row>
    <row r="494" spans="1:7" x14ac:dyDescent="0.25">
      <c r="A494" s="3">
        <v>1049</v>
      </c>
      <c r="B494" s="3" t="str">
        <f>_xlfn.XLOOKUP(A494,'Data Cleaning'!A494:A1963, 'Data Cleaning'!I494:I1963)</f>
        <v>45-54</v>
      </c>
      <c r="C494">
        <f>_xlfn.XLOOKUP(A494,'Data Cleaning'!A494:A1963,'Data Cleaning'!K494:K1963)</f>
        <v>0</v>
      </c>
      <c r="D494" t="str">
        <f>_xlfn.XLOOKUP(A494,'Data Cleaning'!A494:A1963, 'Data Cleaning'!D494:D1963)</f>
        <v>Master</v>
      </c>
      <c r="E494" s="3" t="str">
        <f>_xlfn.XLOOKUP(A494,'Data Cleaning'!A494:A1963, 'Data Cleaning'!E494:E1963)</f>
        <v>Single</v>
      </c>
      <c r="F494" t="str">
        <f>_xlfn.XLOOKUP(A494,'Data Cleaning'!A494:A1963, 'Data Cleaning'!F494:F1963)</f>
        <v>None</v>
      </c>
      <c r="G494" s="3" t="str">
        <f>_xlfn.XLOOKUP(A494,'Data Cleaning'!A494:A1963, 'Data Cleaning'!J494:J1963)</f>
        <v>Recently promoted</v>
      </c>
    </row>
    <row r="495" spans="1:7" x14ac:dyDescent="0.25">
      <c r="A495" s="3">
        <v>1599</v>
      </c>
      <c r="B495" s="3" t="str">
        <f>_xlfn.XLOOKUP(A495,'Data Cleaning'!A495:A1964, 'Data Cleaning'!I495:I1964)</f>
        <v>35-44</v>
      </c>
      <c r="C495">
        <f>_xlfn.XLOOKUP(A495,'Data Cleaning'!A495:A1964,'Data Cleaning'!K495:K1964)</f>
        <v>0</v>
      </c>
      <c r="D495" t="str">
        <f>_xlfn.XLOOKUP(A495,'Data Cleaning'!A495:A1964, 'Data Cleaning'!D495:D1964)</f>
        <v>Bachelor</v>
      </c>
      <c r="E495" s="3" t="str">
        <f>_xlfn.XLOOKUP(A495,'Data Cleaning'!A495:A1964, 'Data Cleaning'!E495:E1964)</f>
        <v>Divorced</v>
      </c>
      <c r="F495" t="str">
        <f>_xlfn.XLOOKUP(A495,'Data Cleaning'!A495:A1964, 'Data Cleaning'!F495:F1964)</f>
        <v>Low</v>
      </c>
      <c r="G495" s="3" t="str">
        <f>_xlfn.XLOOKUP(A495,'Data Cleaning'!A495:A1964, 'Data Cleaning'!J495:J1964)</f>
        <v>Recently promoted</v>
      </c>
    </row>
    <row r="496" spans="1:7" x14ac:dyDescent="0.25">
      <c r="A496" s="3">
        <v>1084</v>
      </c>
      <c r="B496" s="3" t="str">
        <f>_xlfn.XLOOKUP(A496,'Data Cleaning'!A496:A1965, 'Data Cleaning'!I496:I1965)</f>
        <v>25-34</v>
      </c>
      <c r="C496">
        <f>_xlfn.XLOOKUP(A496,'Data Cleaning'!A496:A1965,'Data Cleaning'!K496:K1965)</f>
        <v>0</v>
      </c>
      <c r="D496" t="str">
        <f>_xlfn.XLOOKUP(A496,'Data Cleaning'!A496:A1965, 'Data Cleaning'!D496:D1965)</f>
        <v>Bachelor</v>
      </c>
      <c r="E496" s="3" t="str">
        <f>_xlfn.XLOOKUP(A496,'Data Cleaning'!A496:A1965, 'Data Cleaning'!E496:E1965)</f>
        <v>Married</v>
      </c>
      <c r="F496" t="str">
        <f>_xlfn.XLOOKUP(A496,'Data Cleaning'!A496:A1965, 'Data Cleaning'!F496:F1965)</f>
        <v>Low</v>
      </c>
      <c r="G496" s="3" t="str">
        <f>_xlfn.XLOOKUP(A496,'Data Cleaning'!A496:A1965, 'Data Cleaning'!J496:J1965)</f>
        <v>Recently promoted</v>
      </c>
    </row>
    <row r="497" spans="1:7" x14ac:dyDescent="0.25">
      <c r="A497" s="3">
        <v>1251</v>
      </c>
      <c r="B497" s="3" t="str">
        <f>_xlfn.XLOOKUP(A497,'Data Cleaning'!A497:A1966, 'Data Cleaning'!I497:I1966)</f>
        <v>25-34</v>
      </c>
      <c r="C497">
        <f>_xlfn.XLOOKUP(A497,'Data Cleaning'!A497:A1966,'Data Cleaning'!K497:K1966)</f>
        <v>0</v>
      </c>
      <c r="D497" t="str">
        <f>_xlfn.XLOOKUP(A497,'Data Cleaning'!A497:A1966, 'Data Cleaning'!D497:D1966)</f>
        <v>College</v>
      </c>
      <c r="E497" s="3" t="str">
        <f>_xlfn.XLOOKUP(A497,'Data Cleaning'!A497:A1966, 'Data Cleaning'!E497:E1966)</f>
        <v>Married</v>
      </c>
      <c r="F497" t="str">
        <f>_xlfn.XLOOKUP(A497,'Data Cleaning'!A497:A1966, 'Data Cleaning'!F497:F1966)</f>
        <v>None</v>
      </c>
      <c r="G497" s="3" t="str">
        <f>_xlfn.XLOOKUP(A497,'Data Cleaning'!A497:A1966, 'Data Cleaning'!J497:J1966)</f>
        <v>Recently promoted</v>
      </c>
    </row>
    <row r="498" spans="1:7" x14ac:dyDescent="0.25">
      <c r="A498" s="3">
        <v>2064</v>
      </c>
      <c r="B498" s="3" t="str">
        <f>_xlfn.XLOOKUP(A498,'Data Cleaning'!A498:A1967, 'Data Cleaning'!I498:I1967)</f>
        <v>25-34</v>
      </c>
      <c r="C498">
        <f>_xlfn.XLOOKUP(A498,'Data Cleaning'!A498:A1967,'Data Cleaning'!K498:K1967)</f>
        <v>0</v>
      </c>
      <c r="D498" t="str">
        <f>_xlfn.XLOOKUP(A498,'Data Cleaning'!A498:A1967, 'Data Cleaning'!D498:D1967)</f>
        <v>Bachelor</v>
      </c>
      <c r="E498" s="3" t="str">
        <f>_xlfn.XLOOKUP(A498,'Data Cleaning'!A498:A1967, 'Data Cleaning'!E498:E1967)</f>
        <v>Married</v>
      </c>
      <c r="F498" t="str">
        <f>_xlfn.XLOOKUP(A498,'Data Cleaning'!A498:A1967, 'Data Cleaning'!F498:F1967)</f>
        <v>Low</v>
      </c>
      <c r="G498" s="3" t="str">
        <f>_xlfn.XLOOKUP(A498,'Data Cleaning'!A498:A1967, 'Data Cleaning'!J498:J1967)</f>
        <v>Recently promoted</v>
      </c>
    </row>
    <row r="499" spans="1:7" x14ac:dyDescent="0.25">
      <c r="A499" s="3">
        <v>949</v>
      </c>
      <c r="B499" s="3" t="str">
        <f>_xlfn.XLOOKUP(A499,'Data Cleaning'!A499:A1968, 'Data Cleaning'!I499:I1968)</f>
        <v>35-44</v>
      </c>
      <c r="C499">
        <f>_xlfn.XLOOKUP(A499,'Data Cleaning'!A499:A1968,'Data Cleaning'!K499:K1968)</f>
        <v>0</v>
      </c>
      <c r="D499" t="str">
        <f>_xlfn.XLOOKUP(A499,'Data Cleaning'!A499:A1968, 'Data Cleaning'!D499:D1968)</f>
        <v>Master</v>
      </c>
      <c r="E499" s="3" t="str">
        <f>_xlfn.XLOOKUP(A499,'Data Cleaning'!A499:A1968, 'Data Cleaning'!E499:E1968)</f>
        <v>Single</v>
      </c>
      <c r="F499" t="str">
        <f>_xlfn.XLOOKUP(A499,'Data Cleaning'!A499:A1968, 'Data Cleaning'!F499:F1968)</f>
        <v>None</v>
      </c>
      <c r="G499" s="3" t="str">
        <f>_xlfn.XLOOKUP(A499,'Data Cleaning'!A499:A1968, 'Data Cleaning'!J499:J1968)</f>
        <v>Recently promoted</v>
      </c>
    </row>
    <row r="500" spans="1:7" x14ac:dyDescent="0.25">
      <c r="A500" s="3">
        <v>895</v>
      </c>
      <c r="B500" s="3" t="str">
        <f>_xlfn.XLOOKUP(A500,'Data Cleaning'!A500:A1969, 'Data Cleaning'!I500:I1969)</f>
        <v>25-34</v>
      </c>
      <c r="C500">
        <f>_xlfn.XLOOKUP(A500,'Data Cleaning'!A500:A1969,'Data Cleaning'!K500:K1969)</f>
        <v>0</v>
      </c>
      <c r="D500" t="str">
        <f>_xlfn.XLOOKUP(A500,'Data Cleaning'!A500:A1969, 'Data Cleaning'!D500:D1969)</f>
        <v>Master</v>
      </c>
      <c r="E500" s="3" t="str">
        <f>_xlfn.XLOOKUP(A500,'Data Cleaning'!A500:A1969, 'Data Cleaning'!E500:E1969)</f>
        <v>Married</v>
      </c>
      <c r="F500" t="str">
        <f>_xlfn.XLOOKUP(A500,'Data Cleaning'!A500:A1969, 'Data Cleaning'!F500:F1969)</f>
        <v>Low</v>
      </c>
      <c r="G500" s="3" t="str">
        <f>_xlfn.XLOOKUP(A500,'Data Cleaning'!A500:A1969, 'Data Cleaning'!J500:J1969)</f>
        <v>Recently promoted</v>
      </c>
    </row>
    <row r="501" spans="1:7" x14ac:dyDescent="0.25">
      <c r="A501" s="3">
        <v>1721</v>
      </c>
      <c r="B501" s="3" t="str">
        <f>_xlfn.XLOOKUP(A501,'Data Cleaning'!A501:A1970, 'Data Cleaning'!I501:I1970)</f>
        <v>25-34</v>
      </c>
      <c r="C501">
        <f>_xlfn.XLOOKUP(A501,'Data Cleaning'!A501:A1970,'Data Cleaning'!K501:K1970)</f>
        <v>0</v>
      </c>
      <c r="D501" t="str">
        <f>_xlfn.XLOOKUP(A501,'Data Cleaning'!A501:A1970, 'Data Cleaning'!D501:D1970)</f>
        <v>Master</v>
      </c>
      <c r="E501" s="3" t="str">
        <f>_xlfn.XLOOKUP(A501,'Data Cleaning'!A501:A1970, 'Data Cleaning'!E501:E1970)</f>
        <v>Married</v>
      </c>
      <c r="F501" t="str">
        <f>_xlfn.XLOOKUP(A501,'Data Cleaning'!A501:A1970, 'Data Cleaning'!F501:F1970)</f>
        <v>Low</v>
      </c>
      <c r="G501" s="3" t="str">
        <f>_xlfn.XLOOKUP(A501,'Data Cleaning'!A501:A1970, 'Data Cleaning'!J501:J1970)</f>
        <v>Recently promoted</v>
      </c>
    </row>
    <row r="502" spans="1:7" x14ac:dyDescent="0.25">
      <c r="A502" s="3">
        <v>1873</v>
      </c>
      <c r="B502" s="3" t="str">
        <f>_xlfn.XLOOKUP(A502,'Data Cleaning'!A502:A1971, 'Data Cleaning'!I502:I1971)</f>
        <v>55-60</v>
      </c>
      <c r="C502">
        <f>_xlfn.XLOOKUP(A502,'Data Cleaning'!A502:A1971,'Data Cleaning'!K502:K1971)</f>
        <v>0</v>
      </c>
      <c r="D502" t="str">
        <f>_xlfn.XLOOKUP(A502,'Data Cleaning'!A502:A1971, 'Data Cleaning'!D502:D1971)</f>
        <v>Master</v>
      </c>
      <c r="E502" s="3" t="str">
        <f>_xlfn.XLOOKUP(A502,'Data Cleaning'!A502:A1971, 'Data Cleaning'!E502:E1971)</f>
        <v>Married</v>
      </c>
      <c r="F502" t="str">
        <f>_xlfn.XLOOKUP(A502,'Data Cleaning'!A502:A1971, 'Data Cleaning'!F502:F1971)</f>
        <v>Low</v>
      </c>
      <c r="G502" s="3" t="str">
        <f>_xlfn.XLOOKUP(A502,'Data Cleaning'!A502:A1971, 'Data Cleaning'!J502:J1971)</f>
        <v>Recently promoted</v>
      </c>
    </row>
    <row r="503" spans="1:7" x14ac:dyDescent="0.25">
      <c r="A503" s="3">
        <v>1367</v>
      </c>
      <c r="B503" s="3" t="str">
        <f>_xlfn.XLOOKUP(A503,'Data Cleaning'!A503:A1972, 'Data Cleaning'!I503:I1972)</f>
        <v>45-54</v>
      </c>
      <c r="C503">
        <f>_xlfn.XLOOKUP(A503,'Data Cleaning'!A503:A1972,'Data Cleaning'!K503:K1972)</f>
        <v>0</v>
      </c>
      <c r="D503" t="str">
        <f>_xlfn.XLOOKUP(A503,'Data Cleaning'!A503:A1972, 'Data Cleaning'!D503:D1972)</f>
        <v>College</v>
      </c>
      <c r="E503" s="3" t="str">
        <f>_xlfn.XLOOKUP(A503,'Data Cleaning'!A503:A1972, 'Data Cleaning'!E503:E1972)</f>
        <v>Single</v>
      </c>
      <c r="F503" t="str">
        <f>_xlfn.XLOOKUP(A503,'Data Cleaning'!A503:A1972, 'Data Cleaning'!F503:F1972)</f>
        <v>None</v>
      </c>
      <c r="G503" s="3" t="str">
        <f>_xlfn.XLOOKUP(A503,'Data Cleaning'!A503:A1972, 'Data Cleaning'!J503:J1972)</f>
        <v>Recently promoted</v>
      </c>
    </row>
    <row r="504" spans="1:7" x14ac:dyDescent="0.25">
      <c r="A504" s="3">
        <v>1744</v>
      </c>
      <c r="B504" s="3" t="str">
        <f>_xlfn.XLOOKUP(A504,'Data Cleaning'!A504:A1973, 'Data Cleaning'!I504:I1973)</f>
        <v>45-54</v>
      </c>
      <c r="C504">
        <f>_xlfn.XLOOKUP(A504,'Data Cleaning'!A504:A1973,'Data Cleaning'!K504:K1973)</f>
        <v>0</v>
      </c>
      <c r="D504" t="str">
        <f>_xlfn.XLOOKUP(A504,'Data Cleaning'!A504:A1973, 'Data Cleaning'!D504:D1973)</f>
        <v>Bachelor</v>
      </c>
      <c r="E504" s="3" t="str">
        <f>_xlfn.XLOOKUP(A504,'Data Cleaning'!A504:A1973, 'Data Cleaning'!E504:E1973)</f>
        <v>Married</v>
      </c>
      <c r="F504" t="str">
        <f>_xlfn.XLOOKUP(A504,'Data Cleaning'!A504:A1973, 'Data Cleaning'!F504:F1973)</f>
        <v>Mid</v>
      </c>
      <c r="G504" s="3" t="str">
        <f>_xlfn.XLOOKUP(A504,'Data Cleaning'!A504:A1973, 'Data Cleaning'!J504:J1973)</f>
        <v>Recently promoted</v>
      </c>
    </row>
    <row r="505" spans="1:7" x14ac:dyDescent="0.25">
      <c r="A505" s="3">
        <v>862</v>
      </c>
      <c r="B505" s="3" t="str">
        <f>_xlfn.XLOOKUP(A505,'Data Cleaning'!A505:A1974, 'Data Cleaning'!I505:I1974)</f>
        <v>45-54</v>
      </c>
      <c r="C505">
        <f>_xlfn.XLOOKUP(A505,'Data Cleaning'!A505:A1974,'Data Cleaning'!K505:K1974)</f>
        <v>0</v>
      </c>
      <c r="D505" t="str">
        <f>_xlfn.XLOOKUP(A505,'Data Cleaning'!A505:A1974, 'Data Cleaning'!D505:D1974)</f>
        <v>College</v>
      </c>
      <c r="E505" s="3" t="str">
        <f>_xlfn.XLOOKUP(A505,'Data Cleaning'!A505:A1974, 'Data Cleaning'!E505:E1974)</f>
        <v>Married</v>
      </c>
      <c r="F505" t="str">
        <f>_xlfn.XLOOKUP(A505,'Data Cleaning'!A505:A1974, 'Data Cleaning'!F505:F1974)</f>
        <v>Low</v>
      </c>
      <c r="G505" s="3" t="str">
        <f>_xlfn.XLOOKUP(A505,'Data Cleaning'!A505:A1974, 'Data Cleaning'!J505:J1974)</f>
        <v>Recently promoted</v>
      </c>
    </row>
    <row r="506" spans="1:7" x14ac:dyDescent="0.25">
      <c r="A506" s="3">
        <v>829</v>
      </c>
      <c r="B506" s="3" t="str">
        <f>_xlfn.XLOOKUP(A506,'Data Cleaning'!A506:A1975, 'Data Cleaning'!I506:I1975)</f>
        <v>35-44</v>
      </c>
      <c r="C506">
        <f>_xlfn.XLOOKUP(A506,'Data Cleaning'!A506:A1975,'Data Cleaning'!K506:K1975)</f>
        <v>0</v>
      </c>
      <c r="D506" t="str">
        <f>_xlfn.XLOOKUP(A506,'Data Cleaning'!A506:A1975, 'Data Cleaning'!D506:D1975)</f>
        <v>Bachelor</v>
      </c>
      <c r="E506" s="3" t="str">
        <f>_xlfn.XLOOKUP(A506,'Data Cleaning'!A506:A1975, 'Data Cleaning'!E506:E1975)</f>
        <v>Married</v>
      </c>
      <c r="F506" t="str">
        <f>_xlfn.XLOOKUP(A506,'Data Cleaning'!A506:A1975, 'Data Cleaning'!F506:F1975)</f>
        <v>Low</v>
      </c>
      <c r="G506" s="3" t="str">
        <f>_xlfn.XLOOKUP(A506,'Data Cleaning'!A506:A1975, 'Data Cleaning'!J506:J1975)</f>
        <v>Recently promoted</v>
      </c>
    </row>
    <row r="507" spans="1:7" x14ac:dyDescent="0.25">
      <c r="A507" s="3">
        <v>1664</v>
      </c>
      <c r="B507" s="3" t="str">
        <f>_xlfn.XLOOKUP(A507,'Data Cleaning'!A507:A1976, 'Data Cleaning'!I507:I1976)</f>
        <v>35-44</v>
      </c>
      <c r="C507">
        <f>_xlfn.XLOOKUP(A507,'Data Cleaning'!A507:A1976,'Data Cleaning'!K507:K1976)</f>
        <v>0</v>
      </c>
      <c r="D507" t="str">
        <f>_xlfn.XLOOKUP(A507,'Data Cleaning'!A507:A1976, 'Data Cleaning'!D507:D1976)</f>
        <v>College</v>
      </c>
      <c r="E507" s="3" t="str">
        <f>_xlfn.XLOOKUP(A507,'Data Cleaning'!A507:A1976, 'Data Cleaning'!E507:E1976)</f>
        <v>Divorced</v>
      </c>
      <c r="F507" t="str">
        <f>_xlfn.XLOOKUP(A507,'Data Cleaning'!A507:A1976, 'Data Cleaning'!F507:F1976)</f>
        <v>Low</v>
      </c>
      <c r="G507" s="3" t="str">
        <f>_xlfn.XLOOKUP(A507,'Data Cleaning'!A507:A1976, 'Data Cleaning'!J507:J1976)</f>
        <v>Recently promoted</v>
      </c>
    </row>
    <row r="508" spans="1:7" x14ac:dyDescent="0.25">
      <c r="A508" s="3">
        <v>240</v>
      </c>
      <c r="B508" s="3" t="str">
        <f>_xlfn.XLOOKUP(A508,'Data Cleaning'!A508:A1977, 'Data Cleaning'!I508:I1977)</f>
        <v>45-54</v>
      </c>
      <c r="C508">
        <f>_xlfn.XLOOKUP(A508,'Data Cleaning'!A508:A1977,'Data Cleaning'!K508:K1977)</f>
        <v>0</v>
      </c>
      <c r="D508" t="str">
        <f>_xlfn.XLOOKUP(A508,'Data Cleaning'!A508:A1977, 'Data Cleaning'!D508:D1977)</f>
        <v>College</v>
      </c>
      <c r="E508" s="3" t="str">
        <f>_xlfn.XLOOKUP(A508,'Data Cleaning'!A508:A1977, 'Data Cleaning'!E508:E1977)</f>
        <v>Divorced</v>
      </c>
      <c r="F508" t="str">
        <f>_xlfn.XLOOKUP(A508,'Data Cleaning'!A508:A1977, 'Data Cleaning'!F508:F1977)</f>
        <v>Low</v>
      </c>
      <c r="G508" s="3" t="str">
        <f>_xlfn.XLOOKUP(A508,'Data Cleaning'!A508:A1977, 'Data Cleaning'!J508:J1977)</f>
        <v>Recently promoted</v>
      </c>
    </row>
    <row r="509" spans="1:7" x14ac:dyDescent="0.25">
      <c r="A509" s="3">
        <v>486</v>
      </c>
      <c r="B509" s="3" t="str">
        <f>_xlfn.XLOOKUP(A509,'Data Cleaning'!A509:A1978, 'Data Cleaning'!I509:I1978)</f>
        <v>35-44</v>
      </c>
      <c r="C509">
        <f>_xlfn.XLOOKUP(A509,'Data Cleaning'!A509:A1978,'Data Cleaning'!K509:K1978)</f>
        <v>0</v>
      </c>
      <c r="D509" t="str">
        <f>_xlfn.XLOOKUP(A509,'Data Cleaning'!A509:A1978, 'Data Cleaning'!D509:D1978)</f>
        <v>Bachelor</v>
      </c>
      <c r="E509" s="3" t="str">
        <f>_xlfn.XLOOKUP(A509,'Data Cleaning'!A509:A1978, 'Data Cleaning'!E509:E1978)</f>
        <v>Married</v>
      </c>
      <c r="F509" t="str">
        <f>_xlfn.XLOOKUP(A509,'Data Cleaning'!A509:A1978, 'Data Cleaning'!F509:F1978)</f>
        <v>Low</v>
      </c>
      <c r="G509" s="3" t="str">
        <f>_xlfn.XLOOKUP(A509,'Data Cleaning'!A509:A1978, 'Data Cleaning'!J509:J1978)</f>
        <v>Recently promoted</v>
      </c>
    </row>
    <row r="510" spans="1:7" x14ac:dyDescent="0.25">
      <c r="A510" s="3">
        <v>1409</v>
      </c>
      <c r="B510" s="3" t="str">
        <f>_xlfn.XLOOKUP(A510,'Data Cleaning'!A510:A1979, 'Data Cleaning'!I510:I1979)</f>
        <v>45-54</v>
      </c>
      <c r="C510">
        <f>_xlfn.XLOOKUP(A510,'Data Cleaning'!A510:A1979,'Data Cleaning'!K510:K1979)</f>
        <v>0</v>
      </c>
      <c r="D510" t="str">
        <f>_xlfn.XLOOKUP(A510,'Data Cleaning'!A510:A1979, 'Data Cleaning'!D510:D1979)</f>
        <v>Master</v>
      </c>
      <c r="E510" s="3" t="str">
        <f>_xlfn.XLOOKUP(A510,'Data Cleaning'!A510:A1979, 'Data Cleaning'!E510:E1979)</f>
        <v>Married</v>
      </c>
      <c r="F510" t="str">
        <f>_xlfn.XLOOKUP(A510,'Data Cleaning'!A510:A1979, 'Data Cleaning'!F510:F1979)</f>
        <v>None</v>
      </c>
      <c r="G510" s="3" t="str">
        <f>_xlfn.XLOOKUP(A510,'Data Cleaning'!A510:A1979, 'Data Cleaning'!J510:J1979)</f>
        <v>Recently promoted</v>
      </c>
    </row>
    <row r="511" spans="1:7" x14ac:dyDescent="0.25">
      <c r="A511" s="3">
        <v>2018</v>
      </c>
      <c r="B511" s="3" t="str">
        <f>_xlfn.XLOOKUP(A511,'Data Cleaning'!A511:A1980, 'Data Cleaning'!I511:I1980)</f>
        <v>25-34</v>
      </c>
      <c r="C511">
        <f>_xlfn.XLOOKUP(A511,'Data Cleaning'!A511:A1980,'Data Cleaning'!K511:K1980)</f>
        <v>0</v>
      </c>
      <c r="D511" t="str">
        <f>_xlfn.XLOOKUP(A511,'Data Cleaning'!A511:A1980, 'Data Cleaning'!D511:D1980)</f>
        <v>College</v>
      </c>
      <c r="E511" s="3" t="str">
        <f>_xlfn.XLOOKUP(A511,'Data Cleaning'!A511:A1980, 'Data Cleaning'!E511:E1980)</f>
        <v>Divorced</v>
      </c>
      <c r="F511" t="str">
        <f>_xlfn.XLOOKUP(A511,'Data Cleaning'!A511:A1980, 'Data Cleaning'!F511:F1980)</f>
        <v>Low</v>
      </c>
      <c r="G511" s="3" t="str">
        <f>_xlfn.XLOOKUP(A511,'Data Cleaning'!A511:A1980, 'Data Cleaning'!J511:J1980)</f>
        <v>Recently promoted</v>
      </c>
    </row>
    <row r="512" spans="1:7" x14ac:dyDescent="0.25">
      <c r="A512" s="3">
        <v>1387</v>
      </c>
      <c r="B512" s="3" t="str">
        <f>_xlfn.XLOOKUP(A512,'Data Cleaning'!A512:A1981, 'Data Cleaning'!I512:I1981)</f>
        <v>25-34</v>
      </c>
      <c r="C512">
        <f>_xlfn.XLOOKUP(A512,'Data Cleaning'!A512:A1981,'Data Cleaning'!K512:K1981)</f>
        <v>0</v>
      </c>
      <c r="D512" t="str">
        <f>_xlfn.XLOOKUP(A512,'Data Cleaning'!A512:A1981, 'Data Cleaning'!D512:D1981)</f>
        <v>Bachelor</v>
      </c>
      <c r="E512" s="3" t="str">
        <f>_xlfn.XLOOKUP(A512,'Data Cleaning'!A512:A1981, 'Data Cleaning'!E512:E1981)</f>
        <v>Married</v>
      </c>
      <c r="F512" t="str">
        <f>_xlfn.XLOOKUP(A512,'Data Cleaning'!A512:A1981, 'Data Cleaning'!F512:F1981)</f>
        <v>Low</v>
      </c>
      <c r="G512" s="3" t="str">
        <f>_xlfn.XLOOKUP(A512,'Data Cleaning'!A512:A1981, 'Data Cleaning'!J512:J1981)</f>
        <v>Recently promoted</v>
      </c>
    </row>
    <row r="513" spans="1:7" x14ac:dyDescent="0.25">
      <c r="A513" s="3">
        <v>377</v>
      </c>
      <c r="B513" s="3" t="str">
        <f>_xlfn.XLOOKUP(A513,'Data Cleaning'!A513:A1982, 'Data Cleaning'!I513:I1982)</f>
        <v>25-34</v>
      </c>
      <c r="C513">
        <f>_xlfn.XLOOKUP(A513,'Data Cleaning'!A513:A1982,'Data Cleaning'!K513:K1982)</f>
        <v>0</v>
      </c>
      <c r="D513" t="str">
        <f>_xlfn.XLOOKUP(A513,'Data Cleaning'!A513:A1982, 'Data Cleaning'!D513:D1982)</f>
        <v>Bachelor</v>
      </c>
      <c r="E513" s="3" t="str">
        <f>_xlfn.XLOOKUP(A513,'Data Cleaning'!A513:A1982, 'Data Cleaning'!E513:E1982)</f>
        <v>Married</v>
      </c>
      <c r="F513" t="str">
        <f>_xlfn.XLOOKUP(A513,'Data Cleaning'!A513:A1982, 'Data Cleaning'!F513:F1982)</f>
        <v>Low</v>
      </c>
      <c r="G513" s="3" t="str">
        <f>_xlfn.XLOOKUP(A513,'Data Cleaning'!A513:A1982, 'Data Cleaning'!J513:J1982)</f>
        <v>Recently promoted</v>
      </c>
    </row>
    <row r="514" spans="1:7" x14ac:dyDescent="0.25">
      <c r="A514" s="3">
        <v>1546</v>
      </c>
      <c r="B514" s="3" t="str">
        <f>_xlfn.XLOOKUP(A514,'Data Cleaning'!A514:A1983, 'Data Cleaning'!I514:I1983)</f>
        <v>45-54</v>
      </c>
      <c r="C514">
        <f>_xlfn.XLOOKUP(A514,'Data Cleaning'!A514:A1983,'Data Cleaning'!K514:K1983)</f>
        <v>0</v>
      </c>
      <c r="D514" t="str">
        <f>_xlfn.XLOOKUP(A514,'Data Cleaning'!A514:A1983, 'Data Cleaning'!D514:D1983)</f>
        <v>Bachelor</v>
      </c>
      <c r="E514" s="3" t="str">
        <f>_xlfn.XLOOKUP(A514,'Data Cleaning'!A514:A1983, 'Data Cleaning'!E514:E1983)</f>
        <v>Married</v>
      </c>
      <c r="F514" t="str">
        <f>_xlfn.XLOOKUP(A514,'Data Cleaning'!A514:A1983, 'Data Cleaning'!F514:F1983)</f>
        <v>Low</v>
      </c>
      <c r="G514" s="3" t="str">
        <f>_xlfn.XLOOKUP(A514,'Data Cleaning'!A514:A1983, 'Data Cleaning'!J514:J1983)</f>
        <v>Recently promoted</v>
      </c>
    </row>
    <row r="515" spans="1:7" x14ac:dyDescent="0.25">
      <c r="A515" s="3">
        <v>878</v>
      </c>
      <c r="B515" s="3" t="str">
        <f>_xlfn.XLOOKUP(A515,'Data Cleaning'!A515:A1984, 'Data Cleaning'!I515:I1984)</f>
        <v>35-44</v>
      </c>
      <c r="C515">
        <f>_xlfn.XLOOKUP(A515,'Data Cleaning'!A515:A1984,'Data Cleaning'!K515:K1984)</f>
        <v>0</v>
      </c>
      <c r="D515" t="str">
        <f>_xlfn.XLOOKUP(A515,'Data Cleaning'!A515:A1984, 'Data Cleaning'!D515:D1984)</f>
        <v>Bachelor</v>
      </c>
      <c r="E515" s="3" t="str">
        <f>_xlfn.XLOOKUP(A515,'Data Cleaning'!A515:A1984, 'Data Cleaning'!E515:E1984)</f>
        <v>Married</v>
      </c>
      <c r="F515" t="str">
        <f>_xlfn.XLOOKUP(A515,'Data Cleaning'!A515:A1984, 'Data Cleaning'!F515:F1984)</f>
        <v>None</v>
      </c>
      <c r="G515" s="3" t="str">
        <f>_xlfn.XLOOKUP(A515,'Data Cleaning'!A515:A1984, 'Data Cleaning'!J515:J1984)</f>
        <v>Recently promoted</v>
      </c>
    </row>
    <row r="516" spans="1:7" x14ac:dyDescent="0.25">
      <c r="A516" s="3">
        <v>1772</v>
      </c>
      <c r="B516" s="3" t="str">
        <f>_xlfn.XLOOKUP(A516,'Data Cleaning'!A516:A1985, 'Data Cleaning'!I516:I1985)</f>
        <v>35-44</v>
      </c>
      <c r="C516">
        <f>_xlfn.XLOOKUP(A516,'Data Cleaning'!A516:A1985,'Data Cleaning'!K516:K1985)</f>
        <v>0</v>
      </c>
      <c r="D516" t="str">
        <f>_xlfn.XLOOKUP(A516,'Data Cleaning'!A516:A1985, 'Data Cleaning'!D516:D1985)</f>
        <v>Master</v>
      </c>
      <c r="E516" s="3" t="str">
        <f>_xlfn.XLOOKUP(A516,'Data Cleaning'!A516:A1985, 'Data Cleaning'!E516:E1985)</f>
        <v>Divorced</v>
      </c>
      <c r="F516" t="str">
        <f>_xlfn.XLOOKUP(A516,'Data Cleaning'!A516:A1985, 'Data Cleaning'!F516:F1985)</f>
        <v>Mid</v>
      </c>
      <c r="G516" s="3" t="str">
        <f>_xlfn.XLOOKUP(A516,'Data Cleaning'!A516:A1985, 'Data Cleaning'!J516:J1985)</f>
        <v>Recently promoted</v>
      </c>
    </row>
    <row r="517" spans="1:7" x14ac:dyDescent="0.25">
      <c r="A517" s="3">
        <v>1768</v>
      </c>
      <c r="B517" s="3" t="str">
        <f>_xlfn.XLOOKUP(A517,'Data Cleaning'!A517:A1986, 'Data Cleaning'!I517:I1986)</f>
        <v>35-44</v>
      </c>
      <c r="C517">
        <f>_xlfn.XLOOKUP(A517,'Data Cleaning'!A517:A1986,'Data Cleaning'!K517:K1986)</f>
        <v>0</v>
      </c>
      <c r="D517" t="str">
        <f>_xlfn.XLOOKUP(A517,'Data Cleaning'!A517:A1986, 'Data Cleaning'!D517:D1986)</f>
        <v>Bachelor</v>
      </c>
      <c r="E517" s="3" t="str">
        <f>_xlfn.XLOOKUP(A517,'Data Cleaning'!A517:A1986, 'Data Cleaning'!E517:E1986)</f>
        <v>Divorced</v>
      </c>
      <c r="F517" t="str">
        <f>_xlfn.XLOOKUP(A517,'Data Cleaning'!A517:A1986, 'Data Cleaning'!F517:F1986)</f>
        <v>High</v>
      </c>
      <c r="G517" s="3" t="str">
        <f>_xlfn.XLOOKUP(A517,'Data Cleaning'!A517:A1986, 'Data Cleaning'!J517:J1986)</f>
        <v>Recently promoted</v>
      </c>
    </row>
    <row r="518" spans="1:7" x14ac:dyDescent="0.25">
      <c r="A518" s="3">
        <v>94</v>
      </c>
      <c r="B518" s="3" t="str">
        <f>_xlfn.XLOOKUP(A518,'Data Cleaning'!A518:A1987, 'Data Cleaning'!I518:I1987)</f>
        <v>25-34</v>
      </c>
      <c r="C518">
        <f>_xlfn.XLOOKUP(A518,'Data Cleaning'!A518:A1987,'Data Cleaning'!K518:K1987)</f>
        <v>0</v>
      </c>
      <c r="D518" t="str">
        <f>_xlfn.XLOOKUP(A518,'Data Cleaning'!A518:A1987, 'Data Cleaning'!D518:D1987)</f>
        <v>Bachelor</v>
      </c>
      <c r="E518" s="3" t="str">
        <f>_xlfn.XLOOKUP(A518,'Data Cleaning'!A518:A1987, 'Data Cleaning'!E518:E1987)</f>
        <v>Married</v>
      </c>
      <c r="F518" t="str">
        <f>_xlfn.XLOOKUP(A518,'Data Cleaning'!A518:A1987, 'Data Cleaning'!F518:F1987)</f>
        <v>Low</v>
      </c>
      <c r="G518" s="3" t="str">
        <f>_xlfn.XLOOKUP(A518,'Data Cleaning'!A518:A1987, 'Data Cleaning'!J518:J1987)</f>
        <v>Recently promoted</v>
      </c>
    </row>
    <row r="519" spans="1:7" x14ac:dyDescent="0.25">
      <c r="A519" s="3">
        <v>395</v>
      </c>
      <c r="B519" s="3" t="str">
        <f>_xlfn.XLOOKUP(A519,'Data Cleaning'!A519:A1988, 'Data Cleaning'!I519:I1988)</f>
        <v>25-34</v>
      </c>
      <c r="C519">
        <f>_xlfn.XLOOKUP(A519,'Data Cleaning'!A519:A1988,'Data Cleaning'!K519:K1988)</f>
        <v>0</v>
      </c>
      <c r="D519" t="str">
        <f>_xlfn.XLOOKUP(A519,'Data Cleaning'!A519:A1988, 'Data Cleaning'!D519:D1988)</f>
        <v>College</v>
      </c>
      <c r="E519" s="3" t="str">
        <f>_xlfn.XLOOKUP(A519,'Data Cleaning'!A519:A1988, 'Data Cleaning'!E519:E1988)</f>
        <v>Single</v>
      </c>
      <c r="F519" t="str">
        <f>_xlfn.XLOOKUP(A519,'Data Cleaning'!A519:A1988, 'Data Cleaning'!F519:F1988)</f>
        <v>None</v>
      </c>
      <c r="G519" s="3" t="str">
        <f>_xlfn.XLOOKUP(A519,'Data Cleaning'!A519:A1988, 'Data Cleaning'!J519:J1988)</f>
        <v>Recently promoted</v>
      </c>
    </row>
    <row r="520" spans="1:7" x14ac:dyDescent="0.25">
      <c r="A520" s="3">
        <v>613</v>
      </c>
      <c r="B520" s="3" t="str">
        <f>_xlfn.XLOOKUP(A520,'Data Cleaning'!A520:A1989, 'Data Cleaning'!I520:I1989)</f>
        <v>25-34</v>
      </c>
      <c r="C520">
        <f>_xlfn.XLOOKUP(A520,'Data Cleaning'!A520:A1989,'Data Cleaning'!K520:K1989)</f>
        <v>0</v>
      </c>
      <c r="D520" t="str">
        <f>_xlfn.XLOOKUP(A520,'Data Cleaning'!A520:A1989, 'Data Cleaning'!D520:D1989)</f>
        <v>Bachelor</v>
      </c>
      <c r="E520" s="3" t="str">
        <f>_xlfn.XLOOKUP(A520,'Data Cleaning'!A520:A1989, 'Data Cleaning'!E520:E1989)</f>
        <v>Divorced</v>
      </c>
      <c r="F520" t="str">
        <f>_xlfn.XLOOKUP(A520,'Data Cleaning'!A520:A1989, 'Data Cleaning'!F520:F1989)</f>
        <v>Low</v>
      </c>
      <c r="G520" s="3" t="str">
        <f>_xlfn.XLOOKUP(A520,'Data Cleaning'!A520:A1989, 'Data Cleaning'!J520:J1989)</f>
        <v>Recently promoted</v>
      </c>
    </row>
    <row r="521" spans="1:7" x14ac:dyDescent="0.25">
      <c r="A521" s="3">
        <v>1885</v>
      </c>
      <c r="B521" s="3" t="str">
        <f>_xlfn.XLOOKUP(A521,'Data Cleaning'!A521:A1990, 'Data Cleaning'!I521:I1990)</f>
        <v>35-44</v>
      </c>
      <c r="C521">
        <f>_xlfn.XLOOKUP(A521,'Data Cleaning'!A521:A1990,'Data Cleaning'!K521:K1990)</f>
        <v>0</v>
      </c>
      <c r="D521" t="str">
        <f>_xlfn.XLOOKUP(A521,'Data Cleaning'!A521:A1990, 'Data Cleaning'!D521:D1990)</f>
        <v>Master</v>
      </c>
      <c r="E521" s="3" t="str">
        <f>_xlfn.XLOOKUP(A521,'Data Cleaning'!A521:A1990, 'Data Cleaning'!E521:E1990)</f>
        <v>Married</v>
      </c>
      <c r="F521" t="str">
        <f>_xlfn.XLOOKUP(A521,'Data Cleaning'!A521:A1990, 'Data Cleaning'!F521:F1990)</f>
        <v>Low</v>
      </c>
      <c r="G521" s="3" t="str">
        <f>_xlfn.XLOOKUP(A521,'Data Cleaning'!A521:A1990, 'Data Cleaning'!J521:J1990)</f>
        <v>Recently promoted</v>
      </c>
    </row>
    <row r="522" spans="1:7" x14ac:dyDescent="0.25">
      <c r="A522" s="3">
        <v>548</v>
      </c>
      <c r="B522" s="3" t="str">
        <f>_xlfn.XLOOKUP(A522,'Data Cleaning'!A522:A1991, 'Data Cleaning'!I522:I1991)</f>
        <v>25-34</v>
      </c>
      <c r="C522">
        <f>_xlfn.XLOOKUP(A522,'Data Cleaning'!A522:A1991,'Data Cleaning'!K522:K1991)</f>
        <v>0</v>
      </c>
      <c r="D522" t="str">
        <f>_xlfn.XLOOKUP(A522,'Data Cleaning'!A522:A1991, 'Data Cleaning'!D522:D1991)</f>
        <v>Bachelor</v>
      </c>
      <c r="E522" s="3" t="str">
        <f>_xlfn.XLOOKUP(A522,'Data Cleaning'!A522:A1991, 'Data Cleaning'!E522:E1991)</f>
        <v>Single</v>
      </c>
      <c r="F522" t="str">
        <f>_xlfn.XLOOKUP(A522,'Data Cleaning'!A522:A1991, 'Data Cleaning'!F522:F1991)</f>
        <v>None</v>
      </c>
      <c r="G522" s="3" t="str">
        <f>_xlfn.XLOOKUP(A522,'Data Cleaning'!A522:A1991, 'Data Cleaning'!J522:J1991)</f>
        <v>Recently promoted</v>
      </c>
    </row>
    <row r="523" spans="1:7" x14ac:dyDescent="0.25">
      <c r="A523" s="3">
        <v>246</v>
      </c>
      <c r="B523" s="3" t="str">
        <f>_xlfn.XLOOKUP(A523,'Data Cleaning'!A523:A1992, 'Data Cleaning'!I523:I1992)</f>
        <v>25-34</v>
      </c>
      <c r="C523">
        <f>_xlfn.XLOOKUP(A523,'Data Cleaning'!A523:A1992,'Data Cleaning'!K523:K1992)</f>
        <v>0</v>
      </c>
      <c r="D523" t="str">
        <f>_xlfn.XLOOKUP(A523,'Data Cleaning'!A523:A1992, 'Data Cleaning'!D523:D1992)</f>
        <v>Below College</v>
      </c>
      <c r="E523" s="3" t="str">
        <f>_xlfn.XLOOKUP(A523,'Data Cleaning'!A523:A1992, 'Data Cleaning'!E523:E1992)</f>
        <v>Married</v>
      </c>
      <c r="F523" t="str">
        <f>_xlfn.XLOOKUP(A523,'Data Cleaning'!A523:A1992, 'Data Cleaning'!F523:F1992)</f>
        <v>Low</v>
      </c>
      <c r="G523" s="3" t="str">
        <f>_xlfn.XLOOKUP(A523,'Data Cleaning'!A523:A1992, 'Data Cleaning'!J523:J1992)</f>
        <v>Recently promoted</v>
      </c>
    </row>
    <row r="524" spans="1:7" x14ac:dyDescent="0.25">
      <c r="A524" s="3">
        <v>116</v>
      </c>
      <c r="B524" s="3" t="str">
        <f>_xlfn.XLOOKUP(A524,'Data Cleaning'!A524:A1993, 'Data Cleaning'!I524:I1993)</f>
        <v>45-54</v>
      </c>
      <c r="C524">
        <f>_xlfn.XLOOKUP(A524,'Data Cleaning'!A524:A1993,'Data Cleaning'!K524:K1993)</f>
        <v>0</v>
      </c>
      <c r="D524" t="str">
        <f>_xlfn.XLOOKUP(A524,'Data Cleaning'!A524:A1993, 'Data Cleaning'!D524:D1993)</f>
        <v>Master</v>
      </c>
      <c r="E524" s="3" t="str">
        <f>_xlfn.XLOOKUP(A524,'Data Cleaning'!A524:A1993, 'Data Cleaning'!E524:E1993)</f>
        <v>Married</v>
      </c>
      <c r="F524" t="str">
        <f>_xlfn.XLOOKUP(A524,'Data Cleaning'!A524:A1993, 'Data Cleaning'!F524:F1993)</f>
        <v>Mid</v>
      </c>
      <c r="G524" s="3" t="str">
        <f>_xlfn.XLOOKUP(A524,'Data Cleaning'!A524:A1993, 'Data Cleaning'!J524:J1993)</f>
        <v>Recently promoted</v>
      </c>
    </row>
    <row r="525" spans="1:7" x14ac:dyDescent="0.25">
      <c r="A525" s="3">
        <v>1631</v>
      </c>
      <c r="B525" s="3" t="str">
        <f>_xlfn.XLOOKUP(A525,'Data Cleaning'!A525:A1994, 'Data Cleaning'!I525:I1994)</f>
        <v>35-44</v>
      </c>
      <c r="C525">
        <f>_xlfn.XLOOKUP(A525,'Data Cleaning'!A525:A1994,'Data Cleaning'!K525:K1994)</f>
        <v>0</v>
      </c>
      <c r="D525" t="str">
        <f>_xlfn.XLOOKUP(A525,'Data Cleaning'!A525:A1994, 'Data Cleaning'!D525:D1994)</f>
        <v>Bachelor</v>
      </c>
      <c r="E525" s="3" t="str">
        <f>_xlfn.XLOOKUP(A525,'Data Cleaning'!A525:A1994, 'Data Cleaning'!E525:E1994)</f>
        <v>Married</v>
      </c>
      <c r="F525" t="str">
        <f>_xlfn.XLOOKUP(A525,'Data Cleaning'!A525:A1994, 'Data Cleaning'!F525:F1994)</f>
        <v>High</v>
      </c>
      <c r="G525" s="3" t="str">
        <f>_xlfn.XLOOKUP(A525,'Data Cleaning'!A525:A1994, 'Data Cleaning'!J525:J1994)</f>
        <v>Recently promoted</v>
      </c>
    </row>
    <row r="526" spans="1:7" x14ac:dyDescent="0.25">
      <c r="A526" s="3">
        <v>453</v>
      </c>
      <c r="B526" s="3" t="str">
        <f>_xlfn.XLOOKUP(A526,'Data Cleaning'!A526:A1995, 'Data Cleaning'!I526:I1995)</f>
        <v>35-44</v>
      </c>
      <c r="C526">
        <f>_xlfn.XLOOKUP(A526,'Data Cleaning'!A526:A1995,'Data Cleaning'!K526:K1995)</f>
        <v>0</v>
      </c>
      <c r="D526" t="str">
        <f>_xlfn.XLOOKUP(A526,'Data Cleaning'!A526:A1995, 'Data Cleaning'!D526:D1995)</f>
        <v>College</v>
      </c>
      <c r="E526" s="3" t="str">
        <f>_xlfn.XLOOKUP(A526,'Data Cleaning'!A526:A1995, 'Data Cleaning'!E526:E1995)</f>
        <v>Married</v>
      </c>
      <c r="F526" t="str">
        <f>_xlfn.XLOOKUP(A526,'Data Cleaning'!A526:A1995, 'Data Cleaning'!F526:F1995)</f>
        <v>High</v>
      </c>
      <c r="G526" s="3" t="str">
        <f>_xlfn.XLOOKUP(A526,'Data Cleaning'!A526:A1995, 'Data Cleaning'!J526:J1995)</f>
        <v>Recently promoted</v>
      </c>
    </row>
    <row r="527" spans="1:7" x14ac:dyDescent="0.25">
      <c r="A527" s="3">
        <v>103</v>
      </c>
      <c r="B527" s="3" t="str">
        <f>_xlfn.XLOOKUP(A527,'Data Cleaning'!A527:A1996, 'Data Cleaning'!I527:I1996)</f>
        <v>45-54</v>
      </c>
      <c r="C527">
        <f>_xlfn.XLOOKUP(A527,'Data Cleaning'!A527:A1996,'Data Cleaning'!K527:K1996)</f>
        <v>0</v>
      </c>
      <c r="D527" t="str">
        <f>_xlfn.XLOOKUP(A527,'Data Cleaning'!A527:A1996, 'Data Cleaning'!D527:D1996)</f>
        <v>College</v>
      </c>
      <c r="E527" s="3" t="str">
        <f>_xlfn.XLOOKUP(A527,'Data Cleaning'!A527:A1996, 'Data Cleaning'!E527:E1996)</f>
        <v>Divorced</v>
      </c>
      <c r="F527" t="str">
        <f>_xlfn.XLOOKUP(A527,'Data Cleaning'!A527:A1996, 'Data Cleaning'!F527:F1996)</f>
        <v>Low</v>
      </c>
      <c r="G527" s="3" t="str">
        <f>_xlfn.XLOOKUP(A527,'Data Cleaning'!A527:A1996, 'Data Cleaning'!J527:J1996)</f>
        <v>Recently promoted</v>
      </c>
    </row>
    <row r="528" spans="1:7" x14ac:dyDescent="0.25">
      <c r="A528" s="3">
        <v>1361</v>
      </c>
      <c r="B528" s="3" t="str">
        <f>_xlfn.XLOOKUP(A528,'Data Cleaning'!A528:A1997, 'Data Cleaning'!I528:I1997)</f>
        <v>35-44</v>
      </c>
      <c r="C528">
        <f>_xlfn.XLOOKUP(A528,'Data Cleaning'!A528:A1997,'Data Cleaning'!K528:K1997)</f>
        <v>0</v>
      </c>
      <c r="D528" t="str">
        <f>_xlfn.XLOOKUP(A528,'Data Cleaning'!A528:A1997, 'Data Cleaning'!D528:D1997)</f>
        <v>Master</v>
      </c>
      <c r="E528" s="3" t="str">
        <f>_xlfn.XLOOKUP(A528,'Data Cleaning'!A528:A1997, 'Data Cleaning'!E528:E1997)</f>
        <v>Married</v>
      </c>
      <c r="F528" t="str">
        <f>_xlfn.XLOOKUP(A528,'Data Cleaning'!A528:A1997, 'Data Cleaning'!F528:F1997)</f>
        <v>Low</v>
      </c>
      <c r="G528" s="3" t="str">
        <f>_xlfn.XLOOKUP(A528,'Data Cleaning'!A528:A1997, 'Data Cleaning'!J528:J1997)</f>
        <v>Recently promoted</v>
      </c>
    </row>
    <row r="529" spans="1:7" x14ac:dyDescent="0.25">
      <c r="A529" s="3">
        <v>1062</v>
      </c>
      <c r="B529" s="3" t="str">
        <f>_xlfn.XLOOKUP(A529,'Data Cleaning'!A529:A1998, 'Data Cleaning'!I529:I1998)</f>
        <v>35-44</v>
      </c>
      <c r="C529">
        <f>_xlfn.XLOOKUP(A529,'Data Cleaning'!A529:A1998,'Data Cleaning'!K529:K1998)</f>
        <v>0</v>
      </c>
      <c r="D529" t="str">
        <f>_xlfn.XLOOKUP(A529,'Data Cleaning'!A529:A1998, 'Data Cleaning'!D529:D1998)</f>
        <v>Bachelor</v>
      </c>
      <c r="E529" s="3" t="str">
        <f>_xlfn.XLOOKUP(A529,'Data Cleaning'!A529:A1998, 'Data Cleaning'!E529:E1998)</f>
        <v>Single</v>
      </c>
      <c r="F529" t="str">
        <f>_xlfn.XLOOKUP(A529,'Data Cleaning'!A529:A1998, 'Data Cleaning'!F529:F1998)</f>
        <v>None</v>
      </c>
      <c r="G529" s="3" t="str">
        <f>_xlfn.XLOOKUP(A529,'Data Cleaning'!A529:A1998, 'Data Cleaning'!J529:J1998)</f>
        <v>Recently promoted</v>
      </c>
    </row>
    <row r="530" spans="1:7" x14ac:dyDescent="0.25">
      <c r="A530" s="3">
        <v>1802</v>
      </c>
      <c r="B530" s="3" t="str">
        <f>_xlfn.XLOOKUP(A530,'Data Cleaning'!A530:A1999, 'Data Cleaning'!I530:I1999)</f>
        <v>35-44</v>
      </c>
      <c r="C530">
        <f>_xlfn.XLOOKUP(A530,'Data Cleaning'!A530:A1999,'Data Cleaning'!K530:K1999)</f>
        <v>0</v>
      </c>
      <c r="D530" t="str">
        <f>_xlfn.XLOOKUP(A530,'Data Cleaning'!A530:A1999, 'Data Cleaning'!D530:D1999)</f>
        <v>College</v>
      </c>
      <c r="E530" s="3" t="str">
        <f>_xlfn.XLOOKUP(A530,'Data Cleaning'!A530:A1999, 'Data Cleaning'!E530:E1999)</f>
        <v>Married</v>
      </c>
      <c r="F530" t="str">
        <f>_xlfn.XLOOKUP(A530,'Data Cleaning'!A530:A1999, 'Data Cleaning'!F530:F1999)</f>
        <v>Low</v>
      </c>
      <c r="G530" s="3" t="str">
        <f>_xlfn.XLOOKUP(A530,'Data Cleaning'!A530:A1999, 'Data Cleaning'!J530:J1999)</f>
        <v>Recently promoted</v>
      </c>
    </row>
    <row r="531" spans="1:7" x14ac:dyDescent="0.25">
      <c r="A531" s="3">
        <v>1835</v>
      </c>
      <c r="B531" s="3" t="str">
        <f>_xlfn.XLOOKUP(A531,'Data Cleaning'!A531:A2000, 'Data Cleaning'!I531:I2000)</f>
        <v>35-44</v>
      </c>
      <c r="C531">
        <f>_xlfn.XLOOKUP(A531,'Data Cleaning'!A531:A2000,'Data Cleaning'!K531:K2000)</f>
        <v>0</v>
      </c>
      <c r="D531" t="str">
        <f>_xlfn.XLOOKUP(A531,'Data Cleaning'!A531:A2000, 'Data Cleaning'!D531:D2000)</f>
        <v>Master</v>
      </c>
      <c r="E531" s="3" t="str">
        <f>_xlfn.XLOOKUP(A531,'Data Cleaning'!A531:A2000, 'Data Cleaning'!E531:E2000)</f>
        <v>Married</v>
      </c>
      <c r="F531" t="str">
        <f>_xlfn.XLOOKUP(A531,'Data Cleaning'!A531:A2000, 'Data Cleaning'!F531:F2000)</f>
        <v>Mid</v>
      </c>
      <c r="G531" s="3" t="str">
        <f>_xlfn.XLOOKUP(A531,'Data Cleaning'!A531:A2000, 'Data Cleaning'!J531:J2000)</f>
        <v>Recently promoted</v>
      </c>
    </row>
    <row r="532" spans="1:7" x14ac:dyDescent="0.25">
      <c r="A532" s="3">
        <v>560</v>
      </c>
      <c r="B532" s="3" t="str">
        <f>_xlfn.XLOOKUP(A532,'Data Cleaning'!A532:A2001, 'Data Cleaning'!I532:I2001)</f>
        <v>25-34</v>
      </c>
      <c r="C532">
        <f>_xlfn.XLOOKUP(A532,'Data Cleaning'!A532:A2001,'Data Cleaning'!K532:K2001)</f>
        <v>0</v>
      </c>
      <c r="D532" t="str">
        <f>_xlfn.XLOOKUP(A532,'Data Cleaning'!A532:A2001, 'Data Cleaning'!D532:D2001)</f>
        <v>Bachelor</v>
      </c>
      <c r="E532" s="3" t="str">
        <f>_xlfn.XLOOKUP(A532,'Data Cleaning'!A532:A2001, 'Data Cleaning'!E532:E2001)</f>
        <v>Divorced</v>
      </c>
      <c r="F532" t="str">
        <f>_xlfn.XLOOKUP(A532,'Data Cleaning'!A532:A2001, 'Data Cleaning'!F532:F2001)</f>
        <v>Mid</v>
      </c>
      <c r="G532" s="3" t="str">
        <f>_xlfn.XLOOKUP(A532,'Data Cleaning'!A532:A2001, 'Data Cleaning'!J532:J2001)</f>
        <v>Recently promoted</v>
      </c>
    </row>
    <row r="533" spans="1:7" x14ac:dyDescent="0.25">
      <c r="A533" s="3">
        <v>1718</v>
      </c>
      <c r="B533" s="3" t="str">
        <f>_xlfn.XLOOKUP(A533,'Data Cleaning'!A533:A2002, 'Data Cleaning'!I533:I2002)</f>
        <v>25-34</v>
      </c>
      <c r="C533">
        <f>_xlfn.XLOOKUP(A533,'Data Cleaning'!A533:A2002,'Data Cleaning'!K533:K2002)</f>
        <v>0</v>
      </c>
      <c r="D533" t="str">
        <f>_xlfn.XLOOKUP(A533,'Data Cleaning'!A533:A2002, 'Data Cleaning'!D533:D2002)</f>
        <v>Master</v>
      </c>
      <c r="E533" s="3" t="str">
        <f>_xlfn.XLOOKUP(A533,'Data Cleaning'!A533:A2002, 'Data Cleaning'!E533:E2002)</f>
        <v>Married</v>
      </c>
      <c r="F533" t="str">
        <f>_xlfn.XLOOKUP(A533,'Data Cleaning'!A533:A2002, 'Data Cleaning'!F533:F2002)</f>
        <v>High</v>
      </c>
      <c r="G533" s="3" t="str">
        <f>_xlfn.XLOOKUP(A533,'Data Cleaning'!A533:A2002, 'Data Cleaning'!J533:J2002)</f>
        <v>Recently promoted</v>
      </c>
    </row>
    <row r="534" spans="1:7" x14ac:dyDescent="0.25">
      <c r="A534" s="3">
        <v>128</v>
      </c>
      <c r="B534" s="3" t="str">
        <f>_xlfn.XLOOKUP(A534,'Data Cleaning'!A534:A2003, 'Data Cleaning'!I534:I2003)</f>
        <v>18-24</v>
      </c>
      <c r="C534">
        <f>_xlfn.XLOOKUP(A534,'Data Cleaning'!A534:A2003,'Data Cleaning'!K534:K2003)</f>
        <v>0</v>
      </c>
      <c r="D534" t="str">
        <f>_xlfn.XLOOKUP(A534,'Data Cleaning'!A534:A2003, 'Data Cleaning'!D534:D2003)</f>
        <v>College</v>
      </c>
      <c r="E534" s="3" t="str">
        <f>_xlfn.XLOOKUP(A534,'Data Cleaning'!A534:A2003, 'Data Cleaning'!E534:E2003)</f>
        <v>Married</v>
      </c>
      <c r="F534" t="str">
        <f>_xlfn.XLOOKUP(A534,'Data Cleaning'!A534:A2003, 'Data Cleaning'!F534:F2003)</f>
        <v>Low</v>
      </c>
      <c r="G534" s="3" t="str">
        <f>_xlfn.XLOOKUP(A534,'Data Cleaning'!A534:A2003, 'Data Cleaning'!J534:J2003)</f>
        <v>Recently promoted</v>
      </c>
    </row>
    <row r="535" spans="1:7" x14ac:dyDescent="0.25">
      <c r="A535" s="3">
        <v>249</v>
      </c>
      <c r="B535" s="3" t="str">
        <f>_xlfn.XLOOKUP(A535,'Data Cleaning'!A535:A2004, 'Data Cleaning'!I535:I2004)</f>
        <v>45-54</v>
      </c>
      <c r="C535">
        <f>_xlfn.XLOOKUP(A535,'Data Cleaning'!A535:A2004,'Data Cleaning'!K535:K2004)</f>
        <v>0</v>
      </c>
      <c r="D535" t="str">
        <f>_xlfn.XLOOKUP(A535,'Data Cleaning'!A535:A2004, 'Data Cleaning'!D535:D2004)</f>
        <v>Bachelor</v>
      </c>
      <c r="E535" s="3" t="str">
        <f>_xlfn.XLOOKUP(A535,'Data Cleaning'!A535:A2004, 'Data Cleaning'!E535:E2004)</f>
        <v>Married</v>
      </c>
      <c r="F535" t="str">
        <f>_xlfn.XLOOKUP(A535,'Data Cleaning'!A535:A2004, 'Data Cleaning'!F535:F2004)</f>
        <v>Low</v>
      </c>
      <c r="G535" s="3" t="str">
        <f>_xlfn.XLOOKUP(A535,'Data Cleaning'!A535:A2004, 'Data Cleaning'!J535:J2004)</f>
        <v>Recently promoted</v>
      </c>
    </row>
    <row r="536" spans="1:7" x14ac:dyDescent="0.25">
      <c r="A536" s="3">
        <v>1428</v>
      </c>
      <c r="B536" s="3" t="str">
        <f>_xlfn.XLOOKUP(A536,'Data Cleaning'!A536:A2005, 'Data Cleaning'!I536:I2005)</f>
        <v>25-34</v>
      </c>
      <c r="C536">
        <f>_xlfn.XLOOKUP(A536,'Data Cleaning'!A536:A2005,'Data Cleaning'!K536:K2005)</f>
        <v>0</v>
      </c>
      <c r="D536" t="str">
        <f>_xlfn.XLOOKUP(A536,'Data Cleaning'!A536:A2005, 'Data Cleaning'!D536:D2005)</f>
        <v>Master</v>
      </c>
      <c r="E536" s="3" t="str">
        <f>_xlfn.XLOOKUP(A536,'Data Cleaning'!A536:A2005, 'Data Cleaning'!E536:E2005)</f>
        <v>Divorced</v>
      </c>
      <c r="F536" t="str">
        <f>_xlfn.XLOOKUP(A536,'Data Cleaning'!A536:A2005, 'Data Cleaning'!F536:F2005)</f>
        <v>Mid</v>
      </c>
      <c r="G536" s="3" t="str">
        <f>_xlfn.XLOOKUP(A536,'Data Cleaning'!A536:A2005, 'Data Cleaning'!J536:J2005)</f>
        <v>Recently promoted</v>
      </c>
    </row>
    <row r="537" spans="1:7" x14ac:dyDescent="0.25">
      <c r="A537" s="3">
        <v>874</v>
      </c>
      <c r="B537" s="3" t="str">
        <f>_xlfn.XLOOKUP(A537,'Data Cleaning'!A537:A2006, 'Data Cleaning'!I537:I2006)</f>
        <v>35-44</v>
      </c>
      <c r="C537">
        <f>_xlfn.XLOOKUP(A537,'Data Cleaning'!A537:A2006,'Data Cleaning'!K537:K2006)</f>
        <v>0</v>
      </c>
      <c r="D537" t="str">
        <f>_xlfn.XLOOKUP(A537,'Data Cleaning'!A537:A2006, 'Data Cleaning'!D537:D2006)</f>
        <v>Master</v>
      </c>
      <c r="E537" s="3" t="str">
        <f>_xlfn.XLOOKUP(A537,'Data Cleaning'!A537:A2006, 'Data Cleaning'!E537:E2006)</f>
        <v>Married</v>
      </c>
      <c r="F537" t="str">
        <f>_xlfn.XLOOKUP(A537,'Data Cleaning'!A537:A2006, 'Data Cleaning'!F537:F2006)</f>
        <v>Low</v>
      </c>
      <c r="G537" s="3" t="str">
        <f>_xlfn.XLOOKUP(A537,'Data Cleaning'!A537:A2006, 'Data Cleaning'!J537:J2006)</f>
        <v>Recently promoted</v>
      </c>
    </row>
    <row r="538" spans="1:7" x14ac:dyDescent="0.25">
      <c r="A538" s="3">
        <v>178</v>
      </c>
      <c r="B538" s="3" t="str">
        <f>_xlfn.XLOOKUP(A538,'Data Cleaning'!A538:A2007, 'Data Cleaning'!I538:I2007)</f>
        <v>35-44</v>
      </c>
      <c r="C538">
        <f>_xlfn.XLOOKUP(A538,'Data Cleaning'!A538:A2007,'Data Cleaning'!K538:K2007)</f>
        <v>0</v>
      </c>
      <c r="D538" t="str">
        <f>_xlfn.XLOOKUP(A538,'Data Cleaning'!A538:A2007, 'Data Cleaning'!D538:D2007)</f>
        <v>College</v>
      </c>
      <c r="E538" s="3" t="str">
        <f>_xlfn.XLOOKUP(A538,'Data Cleaning'!A538:A2007, 'Data Cleaning'!E538:E2007)</f>
        <v>Divorced</v>
      </c>
      <c r="F538" t="str">
        <f>_xlfn.XLOOKUP(A538,'Data Cleaning'!A538:A2007, 'Data Cleaning'!F538:F2007)</f>
        <v>Mid</v>
      </c>
      <c r="G538" s="3" t="str">
        <f>_xlfn.XLOOKUP(A538,'Data Cleaning'!A538:A2007, 'Data Cleaning'!J538:J2007)</f>
        <v>Recently promoted</v>
      </c>
    </row>
    <row r="539" spans="1:7" x14ac:dyDescent="0.25">
      <c r="A539" s="3">
        <v>805</v>
      </c>
      <c r="B539" s="3" t="str">
        <f>_xlfn.XLOOKUP(A539,'Data Cleaning'!A539:A2008, 'Data Cleaning'!I539:I2008)</f>
        <v>35-44</v>
      </c>
      <c r="C539">
        <f>_xlfn.XLOOKUP(A539,'Data Cleaning'!A539:A2008,'Data Cleaning'!K539:K2008)</f>
        <v>0</v>
      </c>
      <c r="D539" t="str">
        <f>_xlfn.XLOOKUP(A539,'Data Cleaning'!A539:A2008, 'Data Cleaning'!D539:D2008)</f>
        <v>Master</v>
      </c>
      <c r="E539" s="3" t="str">
        <f>_xlfn.XLOOKUP(A539,'Data Cleaning'!A539:A2008, 'Data Cleaning'!E539:E2008)</f>
        <v>Married</v>
      </c>
      <c r="F539" t="str">
        <f>_xlfn.XLOOKUP(A539,'Data Cleaning'!A539:A2008, 'Data Cleaning'!F539:F2008)</f>
        <v>Low</v>
      </c>
      <c r="G539" s="3" t="str">
        <f>_xlfn.XLOOKUP(A539,'Data Cleaning'!A539:A2008, 'Data Cleaning'!J539:J2008)</f>
        <v>Recently promoted</v>
      </c>
    </row>
    <row r="540" spans="1:7" x14ac:dyDescent="0.25">
      <c r="A540" s="3">
        <v>1195</v>
      </c>
      <c r="B540" s="3" t="str">
        <f>_xlfn.XLOOKUP(A540,'Data Cleaning'!A540:A2009, 'Data Cleaning'!I540:I2009)</f>
        <v>45-54</v>
      </c>
      <c r="C540">
        <f>_xlfn.XLOOKUP(A540,'Data Cleaning'!A540:A2009,'Data Cleaning'!K540:K2009)</f>
        <v>0</v>
      </c>
      <c r="D540" t="str">
        <f>_xlfn.XLOOKUP(A540,'Data Cleaning'!A540:A2009, 'Data Cleaning'!D540:D2009)</f>
        <v>Bachelor</v>
      </c>
      <c r="E540" s="3" t="str">
        <f>_xlfn.XLOOKUP(A540,'Data Cleaning'!A540:A2009, 'Data Cleaning'!E540:E2009)</f>
        <v>Married</v>
      </c>
      <c r="F540" t="str">
        <f>_xlfn.XLOOKUP(A540,'Data Cleaning'!A540:A2009, 'Data Cleaning'!F540:F2009)</f>
        <v>Low</v>
      </c>
      <c r="G540" s="3" t="str">
        <f>_xlfn.XLOOKUP(A540,'Data Cleaning'!A540:A2009, 'Data Cleaning'!J540:J2009)</f>
        <v>Recently promoted</v>
      </c>
    </row>
    <row r="541" spans="1:7" x14ac:dyDescent="0.25">
      <c r="A541" s="3">
        <v>544</v>
      </c>
      <c r="B541" s="3" t="str">
        <f>_xlfn.XLOOKUP(A541,'Data Cleaning'!A541:A2010, 'Data Cleaning'!I541:I2010)</f>
        <v>45-54</v>
      </c>
      <c r="C541">
        <f>_xlfn.XLOOKUP(A541,'Data Cleaning'!A541:A2010,'Data Cleaning'!K541:K2010)</f>
        <v>0</v>
      </c>
      <c r="D541" t="str">
        <f>_xlfn.XLOOKUP(A541,'Data Cleaning'!A541:A2010, 'Data Cleaning'!D541:D2010)</f>
        <v>College</v>
      </c>
      <c r="E541" s="3" t="str">
        <f>_xlfn.XLOOKUP(A541,'Data Cleaning'!A541:A2010, 'Data Cleaning'!E541:E2010)</f>
        <v>Married</v>
      </c>
      <c r="F541" t="str">
        <f>_xlfn.XLOOKUP(A541,'Data Cleaning'!A541:A2010, 'Data Cleaning'!F541:F2010)</f>
        <v>Mid</v>
      </c>
      <c r="G541" s="3" t="str">
        <f>_xlfn.XLOOKUP(A541,'Data Cleaning'!A541:A2010, 'Data Cleaning'!J541:J2010)</f>
        <v>Recently promoted</v>
      </c>
    </row>
    <row r="542" spans="1:7" x14ac:dyDescent="0.25">
      <c r="A542" s="3">
        <v>806</v>
      </c>
      <c r="B542" s="3" t="str">
        <f>_xlfn.XLOOKUP(A542,'Data Cleaning'!A542:A2011, 'Data Cleaning'!I542:I2011)</f>
        <v>25-34</v>
      </c>
      <c r="C542">
        <f>_xlfn.XLOOKUP(A542,'Data Cleaning'!A542:A2011,'Data Cleaning'!K542:K2011)</f>
        <v>0</v>
      </c>
      <c r="D542" t="str">
        <f>_xlfn.XLOOKUP(A542,'Data Cleaning'!A542:A2011, 'Data Cleaning'!D542:D2011)</f>
        <v>Bachelor</v>
      </c>
      <c r="E542" s="3" t="str">
        <f>_xlfn.XLOOKUP(A542,'Data Cleaning'!A542:A2011, 'Data Cleaning'!E542:E2011)</f>
        <v>Married</v>
      </c>
      <c r="F542" t="str">
        <f>_xlfn.XLOOKUP(A542,'Data Cleaning'!A542:A2011, 'Data Cleaning'!F542:F2011)</f>
        <v>Mid</v>
      </c>
      <c r="G542" s="3" t="str">
        <f>_xlfn.XLOOKUP(A542,'Data Cleaning'!A542:A2011, 'Data Cleaning'!J542:J2011)</f>
        <v>Recently promoted</v>
      </c>
    </row>
    <row r="543" spans="1:7" x14ac:dyDescent="0.25">
      <c r="A543" s="3">
        <v>1992</v>
      </c>
      <c r="B543" s="3" t="str">
        <f>_xlfn.XLOOKUP(A543,'Data Cleaning'!A543:A2012, 'Data Cleaning'!I543:I2012)</f>
        <v>25-34</v>
      </c>
      <c r="C543">
        <f>_xlfn.XLOOKUP(A543,'Data Cleaning'!A543:A2012,'Data Cleaning'!K543:K2012)</f>
        <v>0</v>
      </c>
      <c r="D543" t="str">
        <f>_xlfn.XLOOKUP(A543,'Data Cleaning'!A543:A2012, 'Data Cleaning'!D543:D2012)</f>
        <v>Below College</v>
      </c>
      <c r="E543" s="3" t="str">
        <f>_xlfn.XLOOKUP(A543,'Data Cleaning'!A543:A2012, 'Data Cleaning'!E543:E2012)</f>
        <v>Divorced</v>
      </c>
      <c r="F543" t="str">
        <f>_xlfn.XLOOKUP(A543,'Data Cleaning'!A543:A2012, 'Data Cleaning'!F543:F2012)</f>
        <v>Low</v>
      </c>
      <c r="G543" s="3" t="str">
        <f>_xlfn.XLOOKUP(A543,'Data Cleaning'!A543:A2012, 'Data Cleaning'!J543:J2012)</f>
        <v>Recently promoted</v>
      </c>
    </row>
    <row r="544" spans="1:7" x14ac:dyDescent="0.25">
      <c r="A544" s="3">
        <v>1678</v>
      </c>
      <c r="B544" s="3" t="str">
        <f>_xlfn.XLOOKUP(A544,'Data Cleaning'!A544:A2013, 'Data Cleaning'!I544:I2013)</f>
        <v>35-44</v>
      </c>
      <c r="C544">
        <f>_xlfn.XLOOKUP(A544,'Data Cleaning'!A544:A2013,'Data Cleaning'!K544:K2013)</f>
        <v>0</v>
      </c>
      <c r="D544" t="str">
        <f>_xlfn.XLOOKUP(A544,'Data Cleaning'!A544:A2013, 'Data Cleaning'!D544:D2013)</f>
        <v>College</v>
      </c>
      <c r="E544" s="3" t="str">
        <f>_xlfn.XLOOKUP(A544,'Data Cleaning'!A544:A2013, 'Data Cleaning'!E544:E2013)</f>
        <v>Single</v>
      </c>
      <c r="F544" t="str">
        <f>_xlfn.XLOOKUP(A544,'Data Cleaning'!A544:A2013, 'Data Cleaning'!F544:F2013)</f>
        <v>None</v>
      </c>
      <c r="G544" s="3" t="str">
        <f>_xlfn.XLOOKUP(A544,'Data Cleaning'!A544:A2013, 'Data Cleaning'!J544:J2013)</f>
        <v>Recently promoted</v>
      </c>
    </row>
    <row r="545" spans="1:7" x14ac:dyDescent="0.25">
      <c r="A545" s="3">
        <v>1352</v>
      </c>
      <c r="B545" s="3" t="str">
        <f>_xlfn.XLOOKUP(A545,'Data Cleaning'!A545:A2014, 'Data Cleaning'!I545:I2014)</f>
        <v>45-54</v>
      </c>
      <c r="C545">
        <f>_xlfn.XLOOKUP(A545,'Data Cleaning'!A545:A2014,'Data Cleaning'!K545:K2014)</f>
        <v>0</v>
      </c>
      <c r="D545" t="str">
        <f>_xlfn.XLOOKUP(A545,'Data Cleaning'!A545:A2014, 'Data Cleaning'!D545:D2014)</f>
        <v>Bachelor</v>
      </c>
      <c r="E545" s="3" t="str">
        <f>_xlfn.XLOOKUP(A545,'Data Cleaning'!A545:A2014, 'Data Cleaning'!E545:E2014)</f>
        <v>Divorced</v>
      </c>
      <c r="F545" t="str">
        <f>_xlfn.XLOOKUP(A545,'Data Cleaning'!A545:A2014, 'Data Cleaning'!F545:F2014)</f>
        <v>Low</v>
      </c>
      <c r="G545" s="3" t="str">
        <f>_xlfn.XLOOKUP(A545,'Data Cleaning'!A545:A2014, 'Data Cleaning'!J545:J2014)</f>
        <v>Recently promoted</v>
      </c>
    </row>
    <row r="546" spans="1:7" x14ac:dyDescent="0.25">
      <c r="A546" s="3">
        <v>638</v>
      </c>
      <c r="B546" s="3" t="str">
        <f>_xlfn.XLOOKUP(A546,'Data Cleaning'!A546:A2015, 'Data Cleaning'!I546:I2015)</f>
        <v>45-54</v>
      </c>
      <c r="C546">
        <f>_xlfn.XLOOKUP(A546,'Data Cleaning'!A546:A2015,'Data Cleaning'!K546:K2015)</f>
        <v>0</v>
      </c>
      <c r="D546" t="str">
        <f>_xlfn.XLOOKUP(A546,'Data Cleaning'!A546:A2015, 'Data Cleaning'!D546:D2015)</f>
        <v>Master</v>
      </c>
      <c r="E546" s="3" t="str">
        <f>_xlfn.XLOOKUP(A546,'Data Cleaning'!A546:A2015, 'Data Cleaning'!E546:E2015)</f>
        <v>Divorced</v>
      </c>
      <c r="F546" t="str">
        <f>_xlfn.XLOOKUP(A546,'Data Cleaning'!A546:A2015, 'Data Cleaning'!F546:F2015)</f>
        <v>Low</v>
      </c>
      <c r="G546" s="3" t="str">
        <f>_xlfn.XLOOKUP(A546,'Data Cleaning'!A546:A2015, 'Data Cleaning'!J546:J2015)</f>
        <v>Recently promoted</v>
      </c>
    </row>
    <row r="547" spans="1:7" x14ac:dyDescent="0.25">
      <c r="A547" s="3">
        <v>1602</v>
      </c>
      <c r="B547" s="3" t="str">
        <f>_xlfn.XLOOKUP(A547,'Data Cleaning'!A547:A2016, 'Data Cleaning'!I547:I2016)</f>
        <v>45-54</v>
      </c>
      <c r="C547">
        <f>_xlfn.XLOOKUP(A547,'Data Cleaning'!A547:A2016,'Data Cleaning'!K547:K2016)</f>
        <v>0</v>
      </c>
      <c r="D547" t="str">
        <f>_xlfn.XLOOKUP(A547,'Data Cleaning'!A547:A2016, 'Data Cleaning'!D547:D2016)</f>
        <v>Master</v>
      </c>
      <c r="E547" s="3" t="str">
        <f>_xlfn.XLOOKUP(A547,'Data Cleaning'!A547:A2016, 'Data Cleaning'!E547:E2016)</f>
        <v>Single</v>
      </c>
      <c r="F547" t="str">
        <f>_xlfn.XLOOKUP(A547,'Data Cleaning'!A547:A2016, 'Data Cleaning'!F547:F2016)</f>
        <v>None</v>
      </c>
      <c r="G547" s="3" t="str">
        <f>_xlfn.XLOOKUP(A547,'Data Cleaning'!A547:A2016, 'Data Cleaning'!J547:J2016)</f>
        <v>Recently promoted</v>
      </c>
    </row>
    <row r="548" spans="1:7" x14ac:dyDescent="0.25">
      <c r="A548" s="3">
        <v>410</v>
      </c>
      <c r="B548" s="3" t="str">
        <f>_xlfn.XLOOKUP(A548,'Data Cleaning'!A548:A2017, 'Data Cleaning'!I548:I2017)</f>
        <v>35-44</v>
      </c>
      <c r="C548">
        <f>_xlfn.XLOOKUP(A548,'Data Cleaning'!A548:A2017,'Data Cleaning'!K548:K2017)</f>
        <v>0</v>
      </c>
      <c r="D548" t="str">
        <f>_xlfn.XLOOKUP(A548,'Data Cleaning'!A548:A2017, 'Data Cleaning'!D548:D2017)</f>
        <v>Master</v>
      </c>
      <c r="E548" s="3" t="str">
        <f>_xlfn.XLOOKUP(A548,'Data Cleaning'!A548:A2017, 'Data Cleaning'!E548:E2017)</f>
        <v>Single</v>
      </c>
      <c r="F548" t="str">
        <f>_xlfn.XLOOKUP(A548,'Data Cleaning'!A548:A2017, 'Data Cleaning'!F548:F2017)</f>
        <v>None</v>
      </c>
      <c r="G548" s="3" t="str">
        <f>_xlfn.XLOOKUP(A548,'Data Cleaning'!A548:A2017, 'Data Cleaning'!J548:J2017)</f>
        <v>Recently promoted</v>
      </c>
    </row>
    <row r="549" spans="1:7" x14ac:dyDescent="0.25">
      <c r="A549" s="3">
        <v>206</v>
      </c>
      <c r="B549" s="3" t="str">
        <f>_xlfn.XLOOKUP(A549,'Data Cleaning'!A549:A2018, 'Data Cleaning'!I549:I2018)</f>
        <v>45-54</v>
      </c>
      <c r="C549">
        <f>_xlfn.XLOOKUP(A549,'Data Cleaning'!A549:A2018,'Data Cleaning'!K549:K2018)</f>
        <v>0</v>
      </c>
      <c r="D549" t="str">
        <f>_xlfn.XLOOKUP(A549,'Data Cleaning'!A549:A2018, 'Data Cleaning'!D549:D2018)</f>
        <v>Bachelor</v>
      </c>
      <c r="E549" s="3" t="str">
        <f>_xlfn.XLOOKUP(A549,'Data Cleaning'!A549:A2018, 'Data Cleaning'!E549:E2018)</f>
        <v>Divorced</v>
      </c>
      <c r="F549" t="str">
        <f>_xlfn.XLOOKUP(A549,'Data Cleaning'!A549:A2018, 'Data Cleaning'!F549:F2018)</f>
        <v>Low</v>
      </c>
      <c r="G549" s="3" t="str">
        <f>_xlfn.XLOOKUP(A549,'Data Cleaning'!A549:A2018, 'Data Cleaning'!J549:J2018)</f>
        <v>Recently promoted</v>
      </c>
    </row>
    <row r="550" spans="1:7" x14ac:dyDescent="0.25">
      <c r="A550" s="3">
        <v>464</v>
      </c>
      <c r="B550" s="3" t="str">
        <f>_xlfn.XLOOKUP(A550,'Data Cleaning'!A550:A2019, 'Data Cleaning'!I550:I2019)</f>
        <v>35-44</v>
      </c>
      <c r="C550">
        <f>_xlfn.XLOOKUP(A550,'Data Cleaning'!A550:A2019,'Data Cleaning'!K550:K2019)</f>
        <v>0</v>
      </c>
      <c r="D550" t="str">
        <f>_xlfn.XLOOKUP(A550,'Data Cleaning'!A550:A2019, 'Data Cleaning'!D550:D2019)</f>
        <v>Master</v>
      </c>
      <c r="E550" s="3" t="str">
        <f>_xlfn.XLOOKUP(A550,'Data Cleaning'!A550:A2019, 'Data Cleaning'!E550:E2019)</f>
        <v>Single</v>
      </c>
      <c r="F550" t="str">
        <f>_xlfn.XLOOKUP(A550,'Data Cleaning'!A550:A2019, 'Data Cleaning'!F550:F2019)</f>
        <v>None</v>
      </c>
      <c r="G550" s="3" t="str">
        <f>_xlfn.XLOOKUP(A550,'Data Cleaning'!A550:A2019, 'Data Cleaning'!J550:J2019)</f>
        <v>Recently promoted</v>
      </c>
    </row>
    <row r="551" spans="1:7" x14ac:dyDescent="0.25">
      <c r="A551" s="3">
        <v>1047</v>
      </c>
      <c r="B551" s="3" t="str">
        <f>_xlfn.XLOOKUP(A551,'Data Cleaning'!A551:A2020, 'Data Cleaning'!I551:I2020)</f>
        <v>25-34</v>
      </c>
      <c r="C551">
        <f>_xlfn.XLOOKUP(A551,'Data Cleaning'!A551:A2020,'Data Cleaning'!K551:K2020)</f>
        <v>0</v>
      </c>
      <c r="D551" t="str">
        <f>_xlfn.XLOOKUP(A551,'Data Cleaning'!A551:A2020, 'Data Cleaning'!D551:D2020)</f>
        <v>Master</v>
      </c>
      <c r="E551" s="3" t="str">
        <f>_xlfn.XLOOKUP(A551,'Data Cleaning'!A551:A2020, 'Data Cleaning'!E551:E2020)</f>
        <v>Divorced</v>
      </c>
      <c r="F551" t="str">
        <f>_xlfn.XLOOKUP(A551,'Data Cleaning'!A551:A2020, 'Data Cleaning'!F551:F2020)</f>
        <v>Low</v>
      </c>
      <c r="G551" s="3" t="str">
        <f>_xlfn.XLOOKUP(A551,'Data Cleaning'!A551:A2020, 'Data Cleaning'!J551:J2020)</f>
        <v>Recently promoted</v>
      </c>
    </row>
    <row r="552" spans="1:7" x14ac:dyDescent="0.25">
      <c r="A552" s="3">
        <v>1280</v>
      </c>
      <c r="B552" s="3" t="str">
        <f>_xlfn.XLOOKUP(A552,'Data Cleaning'!A552:A2021, 'Data Cleaning'!I552:I2021)</f>
        <v>45-54</v>
      </c>
      <c r="C552">
        <f>_xlfn.XLOOKUP(A552,'Data Cleaning'!A552:A2021,'Data Cleaning'!K552:K2021)</f>
        <v>0</v>
      </c>
      <c r="D552" t="str">
        <f>_xlfn.XLOOKUP(A552,'Data Cleaning'!A552:A2021, 'Data Cleaning'!D552:D2021)</f>
        <v>College</v>
      </c>
      <c r="E552" s="3" t="str">
        <f>_xlfn.XLOOKUP(A552,'Data Cleaning'!A552:A2021, 'Data Cleaning'!E552:E2021)</f>
        <v>Married</v>
      </c>
      <c r="F552" t="str">
        <f>_xlfn.XLOOKUP(A552,'Data Cleaning'!A552:A2021, 'Data Cleaning'!F552:F2021)</f>
        <v>Low</v>
      </c>
      <c r="G552" s="3" t="str">
        <f>_xlfn.XLOOKUP(A552,'Data Cleaning'!A552:A2021, 'Data Cleaning'!J552:J2021)</f>
        <v>Recently promoted</v>
      </c>
    </row>
    <row r="553" spans="1:7" x14ac:dyDescent="0.25">
      <c r="A553" s="3">
        <v>534</v>
      </c>
      <c r="B553" s="3" t="str">
        <f>_xlfn.XLOOKUP(A553,'Data Cleaning'!A553:A2022, 'Data Cleaning'!I553:I2022)</f>
        <v>35-44</v>
      </c>
      <c r="C553">
        <f>_xlfn.XLOOKUP(A553,'Data Cleaning'!A553:A2022,'Data Cleaning'!K553:K2022)</f>
        <v>0</v>
      </c>
      <c r="D553" t="str">
        <f>_xlfn.XLOOKUP(A553,'Data Cleaning'!A553:A2022, 'Data Cleaning'!D553:D2022)</f>
        <v>Bachelor</v>
      </c>
      <c r="E553" s="3" t="str">
        <f>_xlfn.XLOOKUP(A553,'Data Cleaning'!A553:A2022, 'Data Cleaning'!E553:E2022)</f>
        <v>Married</v>
      </c>
      <c r="F553" t="str">
        <f>_xlfn.XLOOKUP(A553,'Data Cleaning'!A553:A2022, 'Data Cleaning'!F553:F2022)</f>
        <v>Low</v>
      </c>
      <c r="G553" s="3" t="str">
        <f>_xlfn.XLOOKUP(A553,'Data Cleaning'!A553:A2022, 'Data Cleaning'!J553:J2022)</f>
        <v>Recently promoted</v>
      </c>
    </row>
    <row r="554" spans="1:7" x14ac:dyDescent="0.25">
      <c r="A554" s="3">
        <v>722</v>
      </c>
      <c r="B554" s="3" t="str">
        <f>_xlfn.XLOOKUP(A554,'Data Cleaning'!A554:A2023, 'Data Cleaning'!I554:I2023)</f>
        <v>25-34</v>
      </c>
      <c r="C554">
        <f>_xlfn.XLOOKUP(A554,'Data Cleaning'!A554:A2023,'Data Cleaning'!K554:K2023)</f>
        <v>0</v>
      </c>
      <c r="D554" t="str">
        <f>_xlfn.XLOOKUP(A554,'Data Cleaning'!A554:A2023, 'Data Cleaning'!D554:D2023)</f>
        <v>Bachelor</v>
      </c>
      <c r="E554" s="3" t="str">
        <f>_xlfn.XLOOKUP(A554,'Data Cleaning'!A554:A2023, 'Data Cleaning'!E554:E2023)</f>
        <v>Single</v>
      </c>
      <c r="F554" t="str">
        <f>_xlfn.XLOOKUP(A554,'Data Cleaning'!A554:A2023, 'Data Cleaning'!F554:F2023)</f>
        <v>None</v>
      </c>
      <c r="G554" s="3" t="str">
        <f>_xlfn.XLOOKUP(A554,'Data Cleaning'!A554:A2023, 'Data Cleaning'!J554:J2023)</f>
        <v>Recently promoted</v>
      </c>
    </row>
    <row r="555" spans="1:7" x14ac:dyDescent="0.25">
      <c r="A555" s="3">
        <v>1363</v>
      </c>
      <c r="B555" s="3" t="str">
        <f>_xlfn.XLOOKUP(A555,'Data Cleaning'!A555:A2024, 'Data Cleaning'!I555:I2024)</f>
        <v>45-54</v>
      </c>
      <c r="C555">
        <f>_xlfn.XLOOKUP(A555,'Data Cleaning'!A555:A2024,'Data Cleaning'!K555:K2024)</f>
        <v>0</v>
      </c>
      <c r="D555" t="str">
        <f>_xlfn.XLOOKUP(A555,'Data Cleaning'!A555:A2024, 'Data Cleaning'!D555:D2024)</f>
        <v>Bachelor</v>
      </c>
      <c r="E555" s="3" t="str">
        <f>_xlfn.XLOOKUP(A555,'Data Cleaning'!A555:A2024, 'Data Cleaning'!E555:E2024)</f>
        <v>Single</v>
      </c>
      <c r="F555" t="str">
        <f>_xlfn.XLOOKUP(A555,'Data Cleaning'!A555:A2024, 'Data Cleaning'!F555:F2024)</f>
        <v>None</v>
      </c>
      <c r="G555" s="3" t="str">
        <f>_xlfn.XLOOKUP(A555,'Data Cleaning'!A555:A2024, 'Data Cleaning'!J555:J2024)</f>
        <v>Recently promoted</v>
      </c>
    </row>
    <row r="556" spans="1:7" x14ac:dyDescent="0.25">
      <c r="A556" s="3">
        <v>1971</v>
      </c>
      <c r="B556" s="3" t="str">
        <f>_xlfn.XLOOKUP(A556,'Data Cleaning'!A556:A2025, 'Data Cleaning'!I556:I2025)</f>
        <v>35-44</v>
      </c>
      <c r="C556">
        <f>_xlfn.XLOOKUP(A556,'Data Cleaning'!A556:A2025,'Data Cleaning'!K556:K2025)</f>
        <v>0</v>
      </c>
      <c r="D556" t="str">
        <f>_xlfn.XLOOKUP(A556,'Data Cleaning'!A556:A2025, 'Data Cleaning'!D556:D2025)</f>
        <v>Bachelor</v>
      </c>
      <c r="E556" s="3" t="str">
        <f>_xlfn.XLOOKUP(A556,'Data Cleaning'!A556:A2025, 'Data Cleaning'!E556:E2025)</f>
        <v>Married</v>
      </c>
      <c r="F556" t="str">
        <f>_xlfn.XLOOKUP(A556,'Data Cleaning'!A556:A2025, 'Data Cleaning'!F556:F2025)</f>
        <v>Low</v>
      </c>
      <c r="G556" s="3" t="str">
        <f>_xlfn.XLOOKUP(A556,'Data Cleaning'!A556:A2025, 'Data Cleaning'!J556:J2025)</f>
        <v>Recently promoted</v>
      </c>
    </row>
    <row r="557" spans="1:7" x14ac:dyDescent="0.25">
      <c r="A557" s="3">
        <v>564</v>
      </c>
      <c r="B557" s="3" t="str">
        <f>_xlfn.XLOOKUP(A557,'Data Cleaning'!A557:A2026, 'Data Cleaning'!I557:I2026)</f>
        <v>25-34</v>
      </c>
      <c r="C557">
        <f>_xlfn.XLOOKUP(A557,'Data Cleaning'!A557:A2026,'Data Cleaning'!K557:K2026)</f>
        <v>0</v>
      </c>
      <c r="D557" t="str">
        <f>_xlfn.XLOOKUP(A557,'Data Cleaning'!A557:A2026, 'Data Cleaning'!D557:D2026)</f>
        <v>Master</v>
      </c>
      <c r="E557" s="3" t="str">
        <f>_xlfn.XLOOKUP(A557,'Data Cleaning'!A557:A2026, 'Data Cleaning'!E557:E2026)</f>
        <v>Married</v>
      </c>
      <c r="F557" t="str">
        <f>_xlfn.XLOOKUP(A557,'Data Cleaning'!A557:A2026, 'Data Cleaning'!F557:F2026)</f>
        <v>None</v>
      </c>
      <c r="G557" s="3" t="str">
        <f>_xlfn.XLOOKUP(A557,'Data Cleaning'!A557:A2026, 'Data Cleaning'!J557:J2026)</f>
        <v>Recently promoted</v>
      </c>
    </row>
    <row r="558" spans="1:7" x14ac:dyDescent="0.25">
      <c r="A558" s="3">
        <v>1732</v>
      </c>
      <c r="B558" s="3" t="str">
        <f>_xlfn.XLOOKUP(A558,'Data Cleaning'!A558:A2027, 'Data Cleaning'!I558:I2027)</f>
        <v>45-54</v>
      </c>
      <c r="C558">
        <f>_xlfn.XLOOKUP(A558,'Data Cleaning'!A558:A2027,'Data Cleaning'!K558:K2027)</f>
        <v>0</v>
      </c>
      <c r="D558" t="str">
        <f>_xlfn.XLOOKUP(A558,'Data Cleaning'!A558:A2027, 'Data Cleaning'!D558:D2027)</f>
        <v>Bachelor</v>
      </c>
      <c r="E558" s="3" t="str">
        <f>_xlfn.XLOOKUP(A558,'Data Cleaning'!A558:A2027, 'Data Cleaning'!E558:E2027)</f>
        <v>Divorced</v>
      </c>
      <c r="F558" t="str">
        <f>_xlfn.XLOOKUP(A558,'Data Cleaning'!A558:A2027, 'Data Cleaning'!F558:F2027)</f>
        <v>Low</v>
      </c>
      <c r="G558" s="3" t="str">
        <f>_xlfn.XLOOKUP(A558,'Data Cleaning'!A558:A2027, 'Data Cleaning'!J558:J2027)</f>
        <v>Recently promoted</v>
      </c>
    </row>
    <row r="559" spans="1:7" x14ac:dyDescent="0.25">
      <c r="A559" s="3">
        <v>1304</v>
      </c>
      <c r="B559" s="3" t="str">
        <f>_xlfn.XLOOKUP(A559,'Data Cleaning'!A559:A2028, 'Data Cleaning'!I559:I2028)</f>
        <v>25-34</v>
      </c>
      <c r="C559">
        <f>_xlfn.XLOOKUP(A559,'Data Cleaning'!A559:A2028,'Data Cleaning'!K559:K2028)</f>
        <v>0</v>
      </c>
      <c r="D559" t="str">
        <f>_xlfn.XLOOKUP(A559,'Data Cleaning'!A559:A2028, 'Data Cleaning'!D559:D2028)</f>
        <v>Bachelor</v>
      </c>
      <c r="E559" s="3" t="str">
        <f>_xlfn.XLOOKUP(A559,'Data Cleaning'!A559:A2028, 'Data Cleaning'!E559:E2028)</f>
        <v>Married</v>
      </c>
      <c r="F559" t="str">
        <f>_xlfn.XLOOKUP(A559,'Data Cleaning'!A559:A2028, 'Data Cleaning'!F559:F2028)</f>
        <v>Mid</v>
      </c>
      <c r="G559" s="3" t="str">
        <f>_xlfn.XLOOKUP(A559,'Data Cleaning'!A559:A2028, 'Data Cleaning'!J559:J2028)</f>
        <v>Recently promoted</v>
      </c>
    </row>
    <row r="560" spans="1:7" x14ac:dyDescent="0.25">
      <c r="A560" s="3">
        <v>1497</v>
      </c>
      <c r="B560" s="3" t="str">
        <f>_xlfn.XLOOKUP(A560,'Data Cleaning'!A560:A2029, 'Data Cleaning'!I560:I2029)</f>
        <v>25-34</v>
      </c>
      <c r="C560">
        <f>_xlfn.XLOOKUP(A560,'Data Cleaning'!A560:A2029,'Data Cleaning'!K560:K2029)</f>
        <v>0</v>
      </c>
      <c r="D560" t="str">
        <f>_xlfn.XLOOKUP(A560,'Data Cleaning'!A560:A2029, 'Data Cleaning'!D560:D2029)</f>
        <v>Bachelor</v>
      </c>
      <c r="E560" s="3" t="str">
        <f>_xlfn.XLOOKUP(A560,'Data Cleaning'!A560:A2029, 'Data Cleaning'!E560:E2029)</f>
        <v>Divorced</v>
      </c>
      <c r="F560" t="str">
        <f>_xlfn.XLOOKUP(A560,'Data Cleaning'!A560:A2029, 'Data Cleaning'!F560:F2029)</f>
        <v>Mid</v>
      </c>
      <c r="G560" s="3" t="str">
        <f>_xlfn.XLOOKUP(A560,'Data Cleaning'!A560:A2029, 'Data Cleaning'!J560:J2029)</f>
        <v>Recently promoted</v>
      </c>
    </row>
    <row r="561" spans="1:7" x14ac:dyDescent="0.25">
      <c r="A561" s="3">
        <v>421</v>
      </c>
      <c r="B561" s="3" t="str">
        <f>_xlfn.XLOOKUP(A561,'Data Cleaning'!A561:A2030, 'Data Cleaning'!I561:I2030)</f>
        <v>35-44</v>
      </c>
      <c r="C561">
        <f>_xlfn.XLOOKUP(A561,'Data Cleaning'!A561:A2030,'Data Cleaning'!K561:K2030)</f>
        <v>0</v>
      </c>
      <c r="D561" t="str">
        <f>_xlfn.XLOOKUP(A561,'Data Cleaning'!A561:A2030, 'Data Cleaning'!D561:D2030)</f>
        <v>College</v>
      </c>
      <c r="E561" s="3" t="str">
        <f>_xlfn.XLOOKUP(A561,'Data Cleaning'!A561:A2030, 'Data Cleaning'!E561:E2030)</f>
        <v>Married</v>
      </c>
      <c r="F561" t="str">
        <f>_xlfn.XLOOKUP(A561,'Data Cleaning'!A561:A2030, 'Data Cleaning'!F561:F2030)</f>
        <v>Low</v>
      </c>
      <c r="G561" s="3" t="str">
        <f>_xlfn.XLOOKUP(A561,'Data Cleaning'!A561:A2030, 'Data Cleaning'!J561:J2030)</f>
        <v>Recently promoted</v>
      </c>
    </row>
    <row r="562" spans="1:7" x14ac:dyDescent="0.25">
      <c r="A562" s="3">
        <v>96</v>
      </c>
      <c r="B562" s="3" t="str">
        <f>_xlfn.XLOOKUP(A562,'Data Cleaning'!A562:A2031, 'Data Cleaning'!I562:I2031)</f>
        <v>25-34</v>
      </c>
      <c r="C562">
        <f>_xlfn.XLOOKUP(A562,'Data Cleaning'!A562:A2031,'Data Cleaning'!K562:K2031)</f>
        <v>0</v>
      </c>
      <c r="D562" t="str">
        <f>_xlfn.XLOOKUP(A562,'Data Cleaning'!A562:A2031, 'Data Cleaning'!D562:D2031)</f>
        <v>Bachelor</v>
      </c>
      <c r="E562" s="3" t="str">
        <f>_xlfn.XLOOKUP(A562,'Data Cleaning'!A562:A2031, 'Data Cleaning'!E562:E2031)</f>
        <v>Married</v>
      </c>
      <c r="F562" t="str">
        <f>_xlfn.XLOOKUP(A562,'Data Cleaning'!A562:A2031, 'Data Cleaning'!F562:F2031)</f>
        <v>Mid</v>
      </c>
      <c r="G562" s="3" t="str">
        <f>_xlfn.XLOOKUP(A562,'Data Cleaning'!A562:A2031, 'Data Cleaning'!J562:J2031)</f>
        <v>Recently promoted</v>
      </c>
    </row>
    <row r="563" spans="1:7" x14ac:dyDescent="0.25">
      <c r="A563" s="3">
        <v>1729</v>
      </c>
      <c r="B563" s="3" t="str">
        <f>_xlfn.XLOOKUP(A563,'Data Cleaning'!A563:A2032, 'Data Cleaning'!I563:I2032)</f>
        <v>25-34</v>
      </c>
      <c r="C563">
        <f>_xlfn.XLOOKUP(A563,'Data Cleaning'!A563:A2032,'Data Cleaning'!K563:K2032)</f>
        <v>0</v>
      </c>
      <c r="D563" t="str">
        <f>_xlfn.XLOOKUP(A563,'Data Cleaning'!A563:A2032, 'Data Cleaning'!D563:D2032)</f>
        <v>Below College</v>
      </c>
      <c r="E563" s="3" t="str">
        <f>_xlfn.XLOOKUP(A563,'Data Cleaning'!A563:A2032, 'Data Cleaning'!E563:E2032)</f>
        <v>Married</v>
      </c>
      <c r="F563" t="str">
        <f>_xlfn.XLOOKUP(A563,'Data Cleaning'!A563:A2032, 'Data Cleaning'!F563:F2032)</f>
        <v>Low</v>
      </c>
      <c r="G563" s="3" t="str">
        <f>_xlfn.XLOOKUP(A563,'Data Cleaning'!A563:A2032, 'Data Cleaning'!J563:J2032)</f>
        <v>Recently promoted</v>
      </c>
    </row>
    <row r="564" spans="1:7" x14ac:dyDescent="0.25">
      <c r="A564" s="3">
        <v>1013</v>
      </c>
      <c r="B564" s="3" t="str">
        <f>_xlfn.XLOOKUP(A564,'Data Cleaning'!A564:A2033, 'Data Cleaning'!I564:I2033)</f>
        <v>45-54</v>
      </c>
      <c r="C564">
        <f>_xlfn.XLOOKUP(A564,'Data Cleaning'!A564:A2033,'Data Cleaning'!K564:K2033)</f>
        <v>0</v>
      </c>
      <c r="D564" t="str">
        <f>_xlfn.XLOOKUP(A564,'Data Cleaning'!A564:A2033, 'Data Cleaning'!D564:D2033)</f>
        <v>Bachelor</v>
      </c>
      <c r="E564" s="3" t="str">
        <f>_xlfn.XLOOKUP(A564,'Data Cleaning'!A564:A2033, 'Data Cleaning'!E564:E2033)</f>
        <v>Married</v>
      </c>
      <c r="F564" t="str">
        <f>_xlfn.XLOOKUP(A564,'Data Cleaning'!A564:A2033, 'Data Cleaning'!F564:F2033)</f>
        <v>Low</v>
      </c>
      <c r="G564" s="3" t="str">
        <f>_xlfn.XLOOKUP(A564,'Data Cleaning'!A564:A2033, 'Data Cleaning'!J564:J2033)</f>
        <v>Recently promoted</v>
      </c>
    </row>
    <row r="565" spans="1:7" x14ac:dyDescent="0.25">
      <c r="A565" s="3">
        <v>1419</v>
      </c>
      <c r="B565" s="3" t="str">
        <f>_xlfn.XLOOKUP(A565,'Data Cleaning'!A565:A2034, 'Data Cleaning'!I565:I2034)</f>
        <v>25-34</v>
      </c>
      <c r="C565">
        <f>_xlfn.XLOOKUP(A565,'Data Cleaning'!A565:A2034,'Data Cleaning'!K565:K2034)</f>
        <v>0</v>
      </c>
      <c r="D565" t="str">
        <f>_xlfn.XLOOKUP(A565,'Data Cleaning'!A565:A2034, 'Data Cleaning'!D565:D2034)</f>
        <v>Bachelor</v>
      </c>
      <c r="E565" s="3" t="str">
        <f>_xlfn.XLOOKUP(A565,'Data Cleaning'!A565:A2034, 'Data Cleaning'!E565:E2034)</f>
        <v>Single</v>
      </c>
      <c r="F565" t="str">
        <f>_xlfn.XLOOKUP(A565,'Data Cleaning'!A565:A2034, 'Data Cleaning'!F565:F2034)</f>
        <v>None</v>
      </c>
      <c r="G565" s="3" t="str">
        <f>_xlfn.XLOOKUP(A565,'Data Cleaning'!A565:A2034, 'Data Cleaning'!J565:J2034)</f>
        <v>Recently promoted</v>
      </c>
    </row>
    <row r="566" spans="1:7" x14ac:dyDescent="0.25">
      <c r="A566" s="3">
        <v>2008</v>
      </c>
      <c r="B566" s="3" t="str">
        <f>_xlfn.XLOOKUP(A566,'Data Cleaning'!A566:A2035, 'Data Cleaning'!I566:I2035)</f>
        <v>35-44</v>
      </c>
      <c r="C566">
        <f>_xlfn.XLOOKUP(A566,'Data Cleaning'!A566:A2035,'Data Cleaning'!K566:K2035)</f>
        <v>0</v>
      </c>
      <c r="D566" t="str">
        <f>_xlfn.XLOOKUP(A566,'Data Cleaning'!A566:A2035, 'Data Cleaning'!D566:D2035)</f>
        <v>Master</v>
      </c>
      <c r="E566" s="3" t="str">
        <f>_xlfn.XLOOKUP(A566,'Data Cleaning'!A566:A2035, 'Data Cleaning'!E566:E2035)</f>
        <v>Single</v>
      </c>
      <c r="F566" t="str">
        <f>_xlfn.XLOOKUP(A566,'Data Cleaning'!A566:A2035, 'Data Cleaning'!F566:F2035)</f>
        <v>None</v>
      </c>
      <c r="G566" s="3" t="str">
        <f>_xlfn.XLOOKUP(A566,'Data Cleaning'!A566:A2035, 'Data Cleaning'!J566:J2035)</f>
        <v>Recently promoted</v>
      </c>
    </row>
    <row r="567" spans="1:7" x14ac:dyDescent="0.25">
      <c r="A567" s="3">
        <v>1727</v>
      </c>
      <c r="B567" s="3" t="str">
        <f>_xlfn.XLOOKUP(A567,'Data Cleaning'!A567:A2036, 'Data Cleaning'!I567:I2036)</f>
        <v>45-54</v>
      </c>
      <c r="C567">
        <f>_xlfn.XLOOKUP(A567,'Data Cleaning'!A567:A2036,'Data Cleaning'!K567:K2036)</f>
        <v>0</v>
      </c>
      <c r="D567" t="str">
        <f>_xlfn.XLOOKUP(A567,'Data Cleaning'!A567:A2036, 'Data Cleaning'!D567:D2036)</f>
        <v>Master</v>
      </c>
      <c r="E567" s="3" t="str">
        <f>_xlfn.XLOOKUP(A567,'Data Cleaning'!A567:A2036, 'Data Cleaning'!E567:E2036)</f>
        <v>Single</v>
      </c>
      <c r="F567" t="str">
        <f>_xlfn.XLOOKUP(A567,'Data Cleaning'!A567:A2036, 'Data Cleaning'!F567:F2036)</f>
        <v>None</v>
      </c>
      <c r="G567" s="3" t="str">
        <f>_xlfn.XLOOKUP(A567,'Data Cleaning'!A567:A2036, 'Data Cleaning'!J567:J2036)</f>
        <v>Recently promoted</v>
      </c>
    </row>
    <row r="568" spans="1:7" x14ac:dyDescent="0.25">
      <c r="A568" s="3">
        <v>1673</v>
      </c>
      <c r="B568" s="3" t="str">
        <f>_xlfn.XLOOKUP(A568,'Data Cleaning'!A568:A2037, 'Data Cleaning'!I568:I2037)</f>
        <v>25-34</v>
      </c>
      <c r="C568">
        <f>_xlfn.XLOOKUP(A568,'Data Cleaning'!A568:A2037,'Data Cleaning'!K568:K2037)</f>
        <v>0</v>
      </c>
      <c r="D568" t="str">
        <f>_xlfn.XLOOKUP(A568,'Data Cleaning'!A568:A2037, 'Data Cleaning'!D568:D2037)</f>
        <v>Master</v>
      </c>
      <c r="E568" s="3" t="str">
        <f>_xlfn.XLOOKUP(A568,'Data Cleaning'!A568:A2037, 'Data Cleaning'!E568:E2037)</f>
        <v>Married</v>
      </c>
      <c r="F568" t="str">
        <f>_xlfn.XLOOKUP(A568,'Data Cleaning'!A568:A2037, 'Data Cleaning'!F568:F2037)</f>
        <v>Mid</v>
      </c>
      <c r="G568" s="3" t="str">
        <f>_xlfn.XLOOKUP(A568,'Data Cleaning'!A568:A2037, 'Data Cleaning'!J568:J2037)</f>
        <v>Recently promoted</v>
      </c>
    </row>
    <row r="569" spans="1:7" x14ac:dyDescent="0.25">
      <c r="A569" s="3">
        <v>1627</v>
      </c>
      <c r="B569" s="3" t="str">
        <f>_xlfn.XLOOKUP(A569,'Data Cleaning'!A569:A2038, 'Data Cleaning'!I569:I2038)</f>
        <v>35-44</v>
      </c>
      <c r="C569">
        <f>_xlfn.XLOOKUP(A569,'Data Cleaning'!A569:A2038,'Data Cleaning'!K569:K2038)</f>
        <v>0</v>
      </c>
      <c r="D569" t="str">
        <f>_xlfn.XLOOKUP(A569,'Data Cleaning'!A569:A2038, 'Data Cleaning'!D569:D2038)</f>
        <v>College</v>
      </c>
      <c r="E569" s="3" t="str">
        <f>_xlfn.XLOOKUP(A569,'Data Cleaning'!A569:A2038, 'Data Cleaning'!E569:E2038)</f>
        <v>Divorced</v>
      </c>
      <c r="F569" t="str">
        <f>_xlfn.XLOOKUP(A569,'Data Cleaning'!A569:A2038, 'Data Cleaning'!F569:F2038)</f>
        <v>Low</v>
      </c>
      <c r="G569" s="3" t="str">
        <f>_xlfn.XLOOKUP(A569,'Data Cleaning'!A569:A2038, 'Data Cleaning'!J569:J2038)</f>
        <v>Recently promoted</v>
      </c>
    </row>
    <row r="570" spans="1:7" x14ac:dyDescent="0.25">
      <c r="A570" s="3">
        <v>550</v>
      </c>
      <c r="B570" s="3" t="str">
        <f>_xlfn.XLOOKUP(A570,'Data Cleaning'!A570:A2039, 'Data Cleaning'!I570:I2039)</f>
        <v>45-54</v>
      </c>
      <c r="C570">
        <f>_xlfn.XLOOKUP(A570,'Data Cleaning'!A570:A2039,'Data Cleaning'!K570:K2039)</f>
        <v>0</v>
      </c>
      <c r="D570" t="str">
        <f>_xlfn.XLOOKUP(A570,'Data Cleaning'!A570:A2039, 'Data Cleaning'!D570:D2039)</f>
        <v>Bachelor</v>
      </c>
      <c r="E570" s="3" t="str">
        <f>_xlfn.XLOOKUP(A570,'Data Cleaning'!A570:A2039, 'Data Cleaning'!E570:E2039)</f>
        <v>Divorced</v>
      </c>
      <c r="F570" t="str">
        <f>_xlfn.XLOOKUP(A570,'Data Cleaning'!A570:A2039, 'Data Cleaning'!F570:F2039)</f>
        <v>Low</v>
      </c>
      <c r="G570" s="3" t="str">
        <f>_xlfn.XLOOKUP(A570,'Data Cleaning'!A570:A2039, 'Data Cleaning'!J570:J2039)</f>
        <v>Recently promoted</v>
      </c>
    </row>
    <row r="571" spans="1:7" x14ac:dyDescent="0.25">
      <c r="A571" s="3">
        <v>389</v>
      </c>
      <c r="B571" s="3" t="str">
        <f>_xlfn.XLOOKUP(A571,'Data Cleaning'!A571:A2040, 'Data Cleaning'!I571:I2040)</f>
        <v>55-60</v>
      </c>
      <c r="C571">
        <f>_xlfn.XLOOKUP(A571,'Data Cleaning'!A571:A2040,'Data Cleaning'!K571:K2040)</f>
        <v>0</v>
      </c>
      <c r="D571" t="str">
        <f>_xlfn.XLOOKUP(A571,'Data Cleaning'!A571:A2040, 'Data Cleaning'!D571:D2040)</f>
        <v>College</v>
      </c>
      <c r="E571" s="3" t="str">
        <f>_xlfn.XLOOKUP(A571,'Data Cleaning'!A571:A2040, 'Data Cleaning'!E571:E2040)</f>
        <v>Married</v>
      </c>
      <c r="F571" t="str">
        <f>_xlfn.XLOOKUP(A571,'Data Cleaning'!A571:A2040, 'Data Cleaning'!F571:F2040)</f>
        <v>Low</v>
      </c>
      <c r="G571" s="3" t="str">
        <f>_xlfn.XLOOKUP(A571,'Data Cleaning'!A571:A2040, 'Data Cleaning'!J571:J2040)</f>
        <v>Recently promoted</v>
      </c>
    </row>
    <row r="572" spans="1:7" x14ac:dyDescent="0.25">
      <c r="A572" s="3">
        <v>1250</v>
      </c>
      <c r="B572" s="3" t="str">
        <f>_xlfn.XLOOKUP(A572,'Data Cleaning'!A572:A2041, 'Data Cleaning'!I572:I2041)</f>
        <v>45-54</v>
      </c>
      <c r="C572">
        <f>_xlfn.XLOOKUP(A572,'Data Cleaning'!A572:A2041,'Data Cleaning'!K572:K2041)</f>
        <v>0</v>
      </c>
      <c r="D572" t="str">
        <f>_xlfn.XLOOKUP(A572,'Data Cleaning'!A572:A2041, 'Data Cleaning'!D572:D2041)</f>
        <v>Bachelor</v>
      </c>
      <c r="E572" s="3" t="str">
        <f>_xlfn.XLOOKUP(A572,'Data Cleaning'!A572:A2041, 'Data Cleaning'!E572:E2041)</f>
        <v>Married</v>
      </c>
      <c r="F572" t="str">
        <f>_xlfn.XLOOKUP(A572,'Data Cleaning'!A572:A2041, 'Data Cleaning'!F572:F2041)</f>
        <v>None</v>
      </c>
      <c r="G572" s="3" t="str">
        <f>_xlfn.XLOOKUP(A572,'Data Cleaning'!A572:A2041, 'Data Cleaning'!J572:J2041)</f>
        <v>Recently promoted</v>
      </c>
    </row>
    <row r="573" spans="1:7" x14ac:dyDescent="0.25">
      <c r="A573" s="3">
        <v>1962</v>
      </c>
      <c r="B573" s="3" t="str">
        <f>_xlfn.XLOOKUP(A573,'Data Cleaning'!A573:A2042, 'Data Cleaning'!I573:I2042)</f>
        <v>35-44</v>
      </c>
      <c r="C573">
        <f>_xlfn.XLOOKUP(A573,'Data Cleaning'!A573:A2042,'Data Cleaning'!K573:K2042)</f>
        <v>0</v>
      </c>
      <c r="D573" t="str">
        <f>_xlfn.XLOOKUP(A573,'Data Cleaning'!A573:A2042, 'Data Cleaning'!D573:D2042)</f>
        <v>Master</v>
      </c>
      <c r="E573" s="3" t="str">
        <f>_xlfn.XLOOKUP(A573,'Data Cleaning'!A573:A2042, 'Data Cleaning'!E573:E2042)</f>
        <v>Married</v>
      </c>
      <c r="F573" t="str">
        <f>_xlfn.XLOOKUP(A573,'Data Cleaning'!A573:A2042, 'Data Cleaning'!F573:F2042)</f>
        <v>None</v>
      </c>
      <c r="G573" s="3" t="str">
        <f>_xlfn.XLOOKUP(A573,'Data Cleaning'!A573:A2042, 'Data Cleaning'!J573:J2042)</f>
        <v>Recently promoted</v>
      </c>
    </row>
    <row r="574" spans="1:7" x14ac:dyDescent="0.25">
      <c r="A574" s="3">
        <v>984</v>
      </c>
      <c r="B574" s="3" t="str">
        <f>_xlfn.XLOOKUP(A574,'Data Cleaning'!A574:A2043, 'Data Cleaning'!I574:I2043)</f>
        <v>35-44</v>
      </c>
      <c r="C574">
        <f>_xlfn.XLOOKUP(A574,'Data Cleaning'!A574:A2043,'Data Cleaning'!K574:K2043)</f>
        <v>0</v>
      </c>
      <c r="D574" t="str">
        <f>_xlfn.XLOOKUP(A574,'Data Cleaning'!A574:A2043, 'Data Cleaning'!D574:D2043)</f>
        <v>Master</v>
      </c>
      <c r="E574" s="3" t="str">
        <f>_xlfn.XLOOKUP(A574,'Data Cleaning'!A574:A2043, 'Data Cleaning'!E574:E2043)</f>
        <v>Divorced</v>
      </c>
      <c r="F574" t="str">
        <f>_xlfn.XLOOKUP(A574,'Data Cleaning'!A574:A2043, 'Data Cleaning'!F574:F2043)</f>
        <v>Low</v>
      </c>
      <c r="G574" s="3" t="str">
        <f>_xlfn.XLOOKUP(A574,'Data Cleaning'!A574:A2043, 'Data Cleaning'!J574:J2043)</f>
        <v>Recently promoted</v>
      </c>
    </row>
    <row r="575" spans="1:7" x14ac:dyDescent="0.25">
      <c r="A575" s="3">
        <v>204</v>
      </c>
      <c r="B575" s="3" t="str">
        <f>_xlfn.XLOOKUP(A575,'Data Cleaning'!A575:A2044, 'Data Cleaning'!I575:I2044)</f>
        <v>35-44</v>
      </c>
      <c r="C575">
        <f>_xlfn.XLOOKUP(A575,'Data Cleaning'!A575:A2044,'Data Cleaning'!K575:K2044)</f>
        <v>0</v>
      </c>
      <c r="D575" t="str">
        <f>_xlfn.XLOOKUP(A575,'Data Cleaning'!A575:A2044, 'Data Cleaning'!D575:D2044)</f>
        <v>Doctor</v>
      </c>
      <c r="E575" s="3" t="str">
        <f>_xlfn.XLOOKUP(A575,'Data Cleaning'!A575:A2044, 'Data Cleaning'!E575:E2044)</f>
        <v>Married</v>
      </c>
      <c r="F575" t="str">
        <f>_xlfn.XLOOKUP(A575,'Data Cleaning'!A575:A2044, 'Data Cleaning'!F575:F2044)</f>
        <v>Mid</v>
      </c>
      <c r="G575" s="3" t="str">
        <f>_xlfn.XLOOKUP(A575,'Data Cleaning'!A575:A2044, 'Data Cleaning'!J575:J2044)</f>
        <v>Recently promoted</v>
      </c>
    </row>
    <row r="576" spans="1:7" x14ac:dyDescent="0.25">
      <c r="A576" s="3">
        <v>1924</v>
      </c>
      <c r="B576" s="3" t="str">
        <f>_xlfn.XLOOKUP(A576,'Data Cleaning'!A576:A2045, 'Data Cleaning'!I576:I2045)</f>
        <v>25-34</v>
      </c>
      <c r="C576">
        <f>_xlfn.XLOOKUP(A576,'Data Cleaning'!A576:A2045,'Data Cleaning'!K576:K2045)</f>
        <v>0</v>
      </c>
      <c r="D576" t="str">
        <f>_xlfn.XLOOKUP(A576,'Data Cleaning'!A576:A2045, 'Data Cleaning'!D576:D2045)</f>
        <v>Master</v>
      </c>
      <c r="E576" s="3" t="str">
        <f>_xlfn.XLOOKUP(A576,'Data Cleaning'!A576:A2045, 'Data Cleaning'!E576:E2045)</f>
        <v>Single</v>
      </c>
      <c r="F576" t="str">
        <f>_xlfn.XLOOKUP(A576,'Data Cleaning'!A576:A2045, 'Data Cleaning'!F576:F2045)</f>
        <v>None</v>
      </c>
      <c r="G576" s="3" t="str">
        <f>_xlfn.XLOOKUP(A576,'Data Cleaning'!A576:A2045, 'Data Cleaning'!J576:J2045)</f>
        <v>Recently promoted</v>
      </c>
    </row>
    <row r="577" spans="1:7" x14ac:dyDescent="0.25">
      <c r="A577" s="3">
        <v>1192</v>
      </c>
      <c r="B577" s="3" t="str">
        <f>_xlfn.XLOOKUP(A577,'Data Cleaning'!A577:A2046, 'Data Cleaning'!I577:I2046)</f>
        <v>25-34</v>
      </c>
      <c r="C577">
        <f>_xlfn.XLOOKUP(A577,'Data Cleaning'!A577:A2046,'Data Cleaning'!K577:K2046)</f>
        <v>0</v>
      </c>
      <c r="D577" t="str">
        <f>_xlfn.XLOOKUP(A577,'Data Cleaning'!A577:A2046, 'Data Cleaning'!D577:D2046)</f>
        <v>Below College</v>
      </c>
      <c r="E577" s="3" t="str">
        <f>_xlfn.XLOOKUP(A577,'Data Cleaning'!A577:A2046, 'Data Cleaning'!E577:E2046)</f>
        <v>Married</v>
      </c>
      <c r="F577" t="str">
        <f>_xlfn.XLOOKUP(A577,'Data Cleaning'!A577:A2046, 'Data Cleaning'!F577:F2046)</f>
        <v>Low</v>
      </c>
      <c r="G577" s="3" t="str">
        <f>_xlfn.XLOOKUP(A577,'Data Cleaning'!A577:A2046, 'Data Cleaning'!J577:J2046)</f>
        <v>Recently promoted</v>
      </c>
    </row>
    <row r="578" spans="1:7" x14ac:dyDescent="0.25">
      <c r="A578" s="3">
        <v>844</v>
      </c>
      <c r="B578" s="3" t="str">
        <f>_xlfn.XLOOKUP(A578,'Data Cleaning'!A578:A2047, 'Data Cleaning'!I578:I2047)</f>
        <v>25-34</v>
      </c>
      <c r="C578">
        <f>_xlfn.XLOOKUP(A578,'Data Cleaning'!A578:A2047,'Data Cleaning'!K578:K2047)</f>
        <v>0</v>
      </c>
      <c r="D578" t="str">
        <f>_xlfn.XLOOKUP(A578,'Data Cleaning'!A578:A2047, 'Data Cleaning'!D578:D2047)</f>
        <v>Below College</v>
      </c>
      <c r="E578" s="3" t="str">
        <f>_xlfn.XLOOKUP(A578,'Data Cleaning'!A578:A2047, 'Data Cleaning'!E578:E2047)</f>
        <v>Divorced</v>
      </c>
      <c r="F578" t="str">
        <f>_xlfn.XLOOKUP(A578,'Data Cleaning'!A578:A2047, 'Data Cleaning'!F578:F2047)</f>
        <v>Low</v>
      </c>
      <c r="G578" s="3" t="str">
        <f>_xlfn.XLOOKUP(A578,'Data Cleaning'!A578:A2047, 'Data Cleaning'!J578:J2047)</f>
        <v>Recently promoted</v>
      </c>
    </row>
    <row r="579" spans="1:7" x14ac:dyDescent="0.25">
      <c r="A579" s="3">
        <v>1268</v>
      </c>
      <c r="B579" s="3" t="str">
        <f>_xlfn.XLOOKUP(A579,'Data Cleaning'!A579:A2048, 'Data Cleaning'!I579:I2048)</f>
        <v>25-34</v>
      </c>
      <c r="C579">
        <f>_xlfn.XLOOKUP(A579,'Data Cleaning'!A579:A2048,'Data Cleaning'!K579:K2048)</f>
        <v>0</v>
      </c>
      <c r="D579" t="str">
        <f>_xlfn.XLOOKUP(A579,'Data Cleaning'!A579:A2048, 'Data Cleaning'!D579:D2048)</f>
        <v>Doctor</v>
      </c>
      <c r="E579" s="3" t="str">
        <f>_xlfn.XLOOKUP(A579,'Data Cleaning'!A579:A2048, 'Data Cleaning'!E579:E2048)</f>
        <v>Divorced</v>
      </c>
      <c r="F579" t="str">
        <f>_xlfn.XLOOKUP(A579,'Data Cleaning'!A579:A2048, 'Data Cleaning'!F579:F2048)</f>
        <v>Mid</v>
      </c>
      <c r="G579" s="3" t="str">
        <f>_xlfn.XLOOKUP(A579,'Data Cleaning'!A579:A2048, 'Data Cleaning'!J579:J2048)</f>
        <v>Recently promoted</v>
      </c>
    </row>
    <row r="580" spans="1:7" x14ac:dyDescent="0.25">
      <c r="A580" s="3">
        <v>823</v>
      </c>
      <c r="B580" s="3" t="str">
        <f>_xlfn.XLOOKUP(A580,'Data Cleaning'!A580:A2049, 'Data Cleaning'!I580:I2049)</f>
        <v>35-44</v>
      </c>
      <c r="C580">
        <f>_xlfn.XLOOKUP(A580,'Data Cleaning'!A580:A2049,'Data Cleaning'!K580:K2049)</f>
        <v>0</v>
      </c>
      <c r="D580" t="str">
        <f>_xlfn.XLOOKUP(A580,'Data Cleaning'!A580:A2049, 'Data Cleaning'!D580:D2049)</f>
        <v>Bachelor</v>
      </c>
      <c r="E580" s="3" t="str">
        <f>_xlfn.XLOOKUP(A580,'Data Cleaning'!A580:A2049, 'Data Cleaning'!E580:E2049)</f>
        <v>Married</v>
      </c>
      <c r="F580" t="str">
        <f>_xlfn.XLOOKUP(A580,'Data Cleaning'!A580:A2049, 'Data Cleaning'!F580:F2049)</f>
        <v>Low</v>
      </c>
      <c r="G580" s="3" t="str">
        <f>_xlfn.XLOOKUP(A580,'Data Cleaning'!A580:A2049, 'Data Cleaning'!J580:J2049)</f>
        <v>Recently promoted</v>
      </c>
    </row>
    <row r="581" spans="1:7" x14ac:dyDescent="0.25">
      <c r="A581" s="3">
        <v>1003</v>
      </c>
      <c r="B581" s="3" t="str">
        <f>_xlfn.XLOOKUP(A581,'Data Cleaning'!A581:A2050, 'Data Cleaning'!I581:I2050)</f>
        <v>45-54</v>
      </c>
      <c r="C581">
        <f>_xlfn.XLOOKUP(A581,'Data Cleaning'!A581:A2050,'Data Cleaning'!K581:K2050)</f>
        <v>0</v>
      </c>
      <c r="D581" t="str">
        <f>_xlfn.XLOOKUP(A581,'Data Cleaning'!A581:A2050, 'Data Cleaning'!D581:D2050)</f>
        <v>College</v>
      </c>
      <c r="E581" s="3" t="str">
        <f>_xlfn.XLOOKUP(A581,'Data Cleaning'!A581:A2050, 'Data Cleaning'!E581:E2050)</f>
        <v>Single</v>
      </c>
      <c r="F581" t="str">
        <f>_xlfn.XLOOKUP(A581,'Data Cleaning'!A581:A2050, 'Data Cleaning'!F581:F2050)</f>
        <v>None</v>
      </c>
      <c r="G581" s="3" t="str">
        <f>_xlfn.XLOOKUP(A581,'Data Cleaning'!A581:A2050, 'Data Cleaning'!J581:J2050)</f>
        <v>Recently promoted</v>
      </c>
    </row>
    <row r="582" spans="1:7" x14ac:dyDescent="0.25">
      <c r="A582" s="3">
        <v>176</v>
      </c>
      <c r="B582" s="3" t="str">
        <f>_xlfn.XLOOKUP(A582,'Data Cleaning'!A582:A2051, 'Data Cleaning'!I582:I2051)</f>
        <v>35-44</v>
      </c>
      <c r="C582">
        <f>_xlfn.XLOOKUP(A582,'Data Cleaning'!A582:A2051,'Data Cleaning'!K582:K2051)</f>
        <v>0</v>
      </c>
      <c r="D582" t="str">
        <f>_xlfn.XLOOKUP(A582,'Data Cleaning'!A582:A2051, 'Data Cleaning'!D582:D2051)</f>
        <v>Below College</v>
      </c>
      <c r="E582" s="3" t="str">
        <f>_xlfn.XLOOKUP(A582,'Data Cleaning'!A582:A2051, 'Data Cleaning'!E582:E2051)</f>
        <v>Divorced</v>
      </c>
      <c r="F582" t="str">
        <f>_xlfn.XLOOKUP(A582,'Data Cleaning'!A582:A2051, 'Data Cleaning'!F582:F2051)</f>
        <v>Low</v>
      </c>
      <c r="G582" s="3" t="str">
        <f>_xlfn.XLOOKUP(A582,'Data Cleaning'!A582:A2051, 'Data Cleaning'!J582:J2051)</f>
        <v>Recently promoted</v>
      </c>
    </row>
    <row r="583" spans="1:7" x14ac:dyDescent="0.25">
      <c r="A583" s="3">
        <v>412</v>
      </c>
      <c r="B583" s="3" t="str">
        <f>_xlfn.XLOOKUP(A583,'Data Cleaning'!A583:A2052, 'Data Cleaning'!I583:I2052)</f>
        <v>25-34</v>
      </c>
      <c r="C583">
        <f>_xlfn.XLOOKUP(A583,'Data Cleaning'!A583:A2052,'Data Cleaning'!K583:K2052)</f>
        <v>0</v>
      </c>
      <c r="D583" t="str">
        <f>_xlfn.XLOOKUP(A583,'Data Cleaning'!A583:A2052, 'Data Cleaning'!D583:D2052)</f>
        <v>College</v>
      </c>
      <c r="E583" s="3" t="str">
        <f>_xlfn.XLOOKUP(A583,'Data Cleaning'!A583:A2052, 'Data Cleaning'!E583:E2052)</f>
        <v>Single</v>
      </c>
      <c r="F583" t="str">
        <f>_xlfn.XLOOKUP(A583,'Data Cleaning'!A583:A2052, 'Data Cleaning'!F583:F2052)</f>
        <v>None</v>
      </c>
      <c r="G583" s="3" t="str">
        <f>_xlfn.XLOOKUP(A583,'Data Cleaning'!A583:A2052, 'Data Cleaning'!J583:J2052)</f>
        <v>Recently promoted</v>
      </c>
    </row>
    <row r="584" spans="1:7" x14ac:dyDescent="0.25">
      <c r="A584" s="3">
        <v>1255</v>
      </c>
      <c r="B584" s="3" t="str">
        <f>_xlfn.XLOOKUP(A584,'Data Cleaning'!A584:A2053, 'Data Cleaning'!I584:I2053)</f>
        <v>35-44</v>
      </c>
      <c r="C584">
        <f>_xlfn.XLOOKUP(A584,'Data Cleaning'!A584:A2053,'Data Cleaning'!K584:K2053)</f>
        <v>0</v>
      </c>
      <c r="D584" t="str">
        <f>_xlfn.XLOOKUP(A584,'Data Cleaning'!A584:A2053, 'Data Cleaning'!D584:D2053)</f>
        <v>Bachelor</v>
      </c>
      <c r="E584" s="3" t="str">
        <f>_xlfn.XLOOKUP(A584,'Data Cleaning'!A584:A2053, 'Data Cleaning'!E584:E2053)</f>
        <v>Married</v>
      </c>
      <c r="F584" t="str">
        <f>_xlfn.XLOOKUP(A584,'Data Cleaning'!A584:A2053, 'Data Cleaning'!F584:F2053)</f>
        <v>Low</v>
      </c>
      <c r="G584" s="3" t="str">
        <f>_xlfn.XLOOKUP(A584,'Data Cleaning'!A584:A2053, 'Data Cleaning'!J584:J2053)</f>
        <v>Recently promoted</v>
      </c>
    </row>
    <row r="585" spans="1:7" x14ac:dyDescent="0.25">
      <c r="A585" s="3">
        <v>1007</v>
      </c>
      <c r="B585" s="3" t="str">
        <f>_xlfn.XLOOKUP(A585,'Data Cleaning'!A585:A2054, 'Data Cleaning'!I585:I2054)</f>
        <v>45-54</v>
      </c>
      <c r="C585">
        <f>_xlfn.XLOOKUP(A585,'Data Cleaning'!A585:A2054,'Data Cleaning'!K585:K2054)</f>
        <v>0</v>
      </c>
      <c r="D585" t="str">
        <f>_xlfn.XLOOKUP(A585,'Data Cleaning'!A585:A2054, 'Data Cleaning'!D585:D2054)</f>
        <v>College</v>
      </c>
      <c r="E585" s="3" t="str">
        <f>_xlfn.XLOOKUP(A585,'Data Cleaning'!A585:A2054, 'Data Cleaning'!E585:E2054)</f>
        <v>Divorced</v>
      </c>
      <c r="F585" t="str">
        <f>_xlfn.XLOOKUP(A585,'Data Cleaning'!A585:A2054, 'Data Cleaning'!F585:F2054)</f>
        <v>Low</v>
      </c>
      <c r="G585" s="3" t="str">
        <f>_xlfn.XLOOKUP(A585,'Data Cleaning'!A585:A2054, 'Data Cleaning'!J585:J2054)</f>
        <v>Recently promoted</v>
      </c>
    </row>
    <row r="586" spans="1:7" x14ac:dyDescent="0.25">
      <c r="A586" s="3">
        <v>458</v>
      </c>
      <c r="B586" s="3" t="str">
        <f>_xlfn.XLOOKUP(A586,'Data Cleaning'!A586:A2055, 'Data Cleaning'!I586:I2055)</f>
        <v>25-34</v>
      </c>
      <c r="C586">
        <f>_xlfn.XLOOKUP(A586,'Data Cleaning'!A586:A2055,'Data Cleaning'!K586:K2055)</f>
        <v>0</v>
      </c>
      <c r="D586" t="str">
        <f>_xlfn.XLOOKUP(A586,'Data Cleaning'!A586:A2055, 'Data Cleaning'!D586:D2055)</f>
        <v>Master</v>
      </c>
      <c r="E586" s="3" t="str">
        <f>_xlfn.XLOOKUP(A586,'Data Cleaning'!A586:A2055, 'Data Cleaning'!E586:E2055)</f>
        <v>Married</v>
      </c>
      <c r="F586" t="str">
        <f>_xlfn.XLOOKUP(A586,'Data Cleaning'!A586:A2055, 'Data Cleaning'!F586:F2055)</f>
        <v>Low</v>
      </c>
      <c r="G586" s="3" t="str">
        <f>_xlfn.XLOOKUP(A586,'Data Cleaning'!A586:A2055, 'Data Cleaning'!J586:J2055)</f>
        <v>Recently promoted</v>
      </c>
    </row>
    <row r="587" spans="1:7" x14ac:dyDescent="0.25">
      <c r="A587" s="3">
        <v>1484</v>
      </c>
      <c r="B587" s="3" t="str">
        <f>_xlfn.XLOOKUP(A587,'Data Cleaning'!A587:A2056, 'Data Cleaning'!I587:I2056)</f>
        <v>45-54</v>
      </c>
      <c r="C587">
        <f>_xlfn.XLOOKUP(A587,'Data Cleaning'!A587:A2056,'Data Cleaning'!K587:K2056)</f>
        <v>0</v>
      </c>
      <c r="D587" t="str">
        <f>_xlfn.XLOOKUP(A587,'Data Cleaning'!A587:A2056, 'Data Cleaning'!D587:D2056)</f>
        <v>Master</v>
      </c>
      <c r="E587" s="3" t="str">
        <f>_xlfn.XLOOKUP(A587,'Data Cleaning'!A587:A2056, 'Data Cleaning'!E587:E2056)</f>
        <v>Divorced</v>
      </c>
      <c r="F587" t="str">
        <f>_xlfn.XLOOKUP(A587,'Data Cleaning'!A587:A2056, 'Data Cleaning'!F587:F2056)</f>
        <v>Mid</v>
      </c>
      <c r="G587" s="3" t="str">
        <f>_xlfn.XLOOKUP(A587,'Data Cleaning'!A587:A2056, 'Data Cleaning'!J587:J2056)</f>
        <v>Recently promoted</v>
      </c>
    </row>
    <row r="588" spans="1:7" x14ac:dyDescent="0.25">
      <c r="A588" s="3">
        <v>471</v>
      </c>
      <c r="B588" s="3" t="str">
        <f>_xlfn.XLOOKUP(A588,'Data Cleaning'!A588:A2057, 'Data Cleaning'!I588:I2057)</f>
        <v>25-34</v>
      </c>
      <c r="C588">
        <f>_xlfn.XLOOKUP(A588,'Data Cleaning'!A588:A2057,'Data Cleaning'!K588:K2057)</f>
        <v>0</v>
      </c>
      <c r="D588" t="str">
        <f>_xlfn.XLOOKUP(A588,'Data Cleaning'!A588:A2057, 'Data Cleaning'!D588:D2057)</f>
        <v>Bachelor</v>
      </c>
      <c r="E588" s="3" t="str">
        <f>_xlfn.XLOOKUP(A588,'Data Cleaning'!A588:A2057, 'Data Cleaning'!E588:E2057)</f>
        <v>Married</v>
      </c>
      <c r="F588" t="str">
        <f>_xlfn.XLOOKUP(A588,'Data Cleaning'!A588:A2057, 'Data Cleaning'!F588:F2057)</f>
        <v>Low</v>
      </c>
      <c r="G588" s="3" t="str">
        <f>_xlfn.XLOOKUP(A588,'Data Cleaning'!A588:A2057, 'Data Cleaning'!J588:J2057)</f>
        <v>Recently promoted</v>
      </c>
    </row>
    <row r="589" spans="1:7" x14ac:dyDescent="0.25">
      <c r="A589" s="3">
        <v>666</v>
      </c>
      <c r="B589" s="3" t="str">
        <f>_xlfn.XLOOKUP(A589,'Data Cleaning'!A589:A2058, 'Data Cleaning'!I589:I2058)</f>
        <v>25-34</v>
      </c>
      <c r="C589">
        <f>_xlfn.XLOOKUP(A589,'Data Cleaning'!A589:A2058,'Data Cleaning'!K589:K2058)</f>
        <v>0</v>
      </c>
      <c r="D589" t="str">
        <f>_xlfn.XLOOKUP(A589,'Data Cleaning'!A589:A2058, 'Data Cleaning'!D589:D2058)</f>
        <v>Bachelor</v>
      </c>
      <c r="E589" s="3" t="str">
        <f>_xlfn.XLOOKUP(A589,'Data Cleaning'!A589:A2058, 'Data Cleaning'!E589:E2058)</f>
        <v>Divorced</v>
      </c>
      <c r="F589" t="str">
        <f>_xlfn.XLOOKUP(A589,'Data Cleaning'!A589:A2058, 'Data Cleaning'!F589:F2058)</f>
        <v>Mid</v>
      </c>
      <c r="G589" s="3" t="str">
        <f>_xlfn.XLOOKUP(A589,'Data Cleaning'!A589:A2058, 'Data Cleaning'!J589:J2058)</f>
        <v>Recently promoted</v>
      </c>
    </row>
    <row r="590" spans="1:7" x14ac:dyDescent="0.25">
      <c r="A590" s="3">
        <v>1898</v>
      </c>
      <c r="B590" s="3" t="str">
        <f>_xlfn.XLOOKUP(A590,'Data Cleaning'!A590:A2059, 'Data Cleaning'!I590:I2059)</f>
        <v>25-34</v>
      </c>
      <c r="C590">
        <f>_xlfn.XLOOKUP(A590,'Data Cleaning'!A590:A2059,'Data Cleaning'!K590:K2059)</f>
        <v>0</v>
      </c>
      <c r="D590" t="str">
        <f>_xlfn.XLOOKUP(A590,'Data Cleaning'!A590:A2059, 'Data Cleaning'!D590:D2059)</f>
        <v>College</v>
      </c>
      <c r="E590" s="3" t="str">
        <f>_xlfn.XLOOKUP(A590,'Data Cleaning'!A590:A2059, 'Data Cleaning'!E590:E2059)</f>
        <v>Single</v>
      </c>
      <c r="F590" t="str">
        <f>_xlfn.XLOOKUP(A590,'Data Cleaning'!A590:A2059, 'Data Cleaning'!F590:F2059)</f>
        <v>None</v>
      </c>
      <c r="G590" s="3" t="str">
        <f>_xlfn.XLOOKUP(A590,'Data Cleaning'!A590:A2059, 'Data Cleaning'!J590:J2059)</f>
        <v>Recently promoted</v>
      </c>
    </row>
    <row r="591" spans="1:7" x14ac:dyDescent="0.25">
      <c r="A591" s="3">
        <v>1417</v>
      </c>
      <c r="B591" s="3" t="str">
        <f>_xlfn.XLOOKUP(A591,'Data Cleaning'!A591:A2060, 'Data Cleaning'!I591:I2060)</f>
        <v>25-34</v>
      </c>
      <c r="C591">
        <f>_xlfn.XLOOKUP(A591,'Data Cleaning'!A591:A2060,'Data Cleaning'!K591:K2060)</f>
        <v>0</v>
      </c>
      <c r="D591" t="str">
        <f>_xlfn.XLOOKUP(A591,'Data Cleaning'!A591:A2060, 'Data Cleaning'!D591:D2060)</f>
        <v>Bachelor</v>
      </c>
      <c r="E591" s="3" t="str">
        <f>_xlfn.XLOOKUP(A591,'Data Cleaning'!A591:A2060, 'Data Cleaning'!E591:E2060)</f>
        <v>Single</v>
      </c>
      <c r="F591" t="str">
        <f>_xlfn.XLOOKUP(A591,'Data Cleaning'!A591:A2060, 'Data Cleaning'!F591:F2060)</f>
        <v>None</v>
      </c>
      <c r="G591" s="3" t="str">
        <f>_xlfn.XLOOKUP(A591,'Data Cleaning'!A591:A2060, 'Data Cleaning'!J591:J2060)</f>
        <v>Recently promoted</v>
      </c>
    </row>
    <row r="592" spans="1:7" x14ac:dyDescent="0.25">
      <c r="A592" s="3">
        <v>431</v>
      </c>
      <c r="B592" s="3" t="str">
        <f>_xlfn.XLOOKUP(A592,'Data Cleaning'!A592:A2061, 'Data Cleaning'!I592:I2061)</f>
        <v>45-54</v>
      </c>
      <c r="C592">
        <f>_xlfn.XLOOKUP(A592,'Data Cleaning'!A592:A2061,'Data Cleaning'!K592:K2061)</f>
        <v>0</v>
      </c>
      <c r="D592" t="str">
        <f>_xlfn.XLOOKUP(A592,'Data Cleaning'!A592:A2061, 'Data Cleaning'!D592:D2061)</f>
        <v>College</v>
      </c>
      <c r="E592" s="3" t="str">
        <f>_xlfn.XLOOKUP(A592,'Data Cleaning'!A592:A2061, 'Data Cleaning'!E592:E2061)</f>
        <v>Single</v>
      </c>
      <c r="F592" t="str">
        <f>_xlfn.XLOOKUP(A592,'Data Cleaning'!A592:A2061, 'Data Cleaning'!F592:F2061)</f>
        <v>None</v>
      </c>
      <c r="G592" s="3" t="str">
        <f>_xlfn.XLOOKUP(A592,'Data Cleaning'!A592:A2061, 'Data Cleaning'!J592:J2061)</f>
        <v>Recently promoted</v>
      </c>
    </row>
    <row r="593" spans="1:7" x14ac:dyDescent="0.25">
      <c r="A593" s="3">
        <v>323</v>
      </c>
      <c r="B593" s="3" t="str">
        <f>_xlfn.XLOOKUP(A593,'Data Cleaning'!A593:A2062, 'Data Cleaning'!I593:I2062)</f>
        <v>45-54</v>
      </c>
      <c r="C593">
        <f>_xlfn.XLOOKUP(A593,'Data Cleaning'!A593:A2062,'Data Cleaning'!K593:K2062)</f>
        <v>0</v>
      </c>
      <c r="D593" t="str">
        <f>_xlfn.XLOOKUP(A593,'Data Cleaning'!A593:A2062, 'Data Cleaning'!D593:D2062)</f>
        <v>Master</v>
      </c>
      <c r="E593" s="3" t="str">
        <f>_xlfn.XLOOKUP(A593,'Data Cleaning'!A593:A2062, 'Data Cleaning'!E593:E2062)</f>
        <v>Divorced</v>
      </c>
      <c r="F593" t="str">
        <f>_xlfn.XLOOKUP(A593,'Data Cleaning'!A593:A2062, 'Data Cleaning'!F593:F2062)</f>
        <v>Low</v>
      </c>
      <c r="G593" s="3" t="str">
        <f>_xlfn.XLOOKUP(A593,'Data Cleaning'!A593:A2062, 'Data Cleaning'!J593:J2062)</f>
        <v>Recently promoted</v>
      </c>
    </row>
    <row r="594" spans="1:7" x14ac:dyDescent="0.25">
      <c r="A594" s="3">
        <v>1965</v>
      </c>
      <c r="B594" s="3" t="str">
        <f>_xlfn.XLOOKUP(A594,'Data Cleaning'!A594:A2063, 'Data Cleaning'!I594:I2063)</f>
        <v>25-34</v>
      </c>
      <c r="C594">
        <f>_xlfn.XLOOKUP(A594,'Data Cleaning'!A594:A2063,'Data Cleaning'!K594:K2063)</f>
        <v>0</v>
      </c>
      <c r="D594" t="str">
        <f>_xlfn.XLOOKUP(A594,'Data Cleaning'!A594:A2063, 'Data Cleaning'!D594:D2063)</f>
        <v>Bachelor</v>
      </c>
      <c r="E594" s="3" t="str">
        <f>_xlfn.XLOOKUP(A594,'Data Cleaning'!A594:A2063, 'Data Cleaning'!E594:E2063)</f>
        <v>Single</v>
      </c>
      <c r="F594" t="str">
        <f>_xlfn.XLOOKUP(A594,'Data Cleaning'!A594:A2063, 'Data Cleaning'!F594:F2063)</f>
        <v>None</v>
      </c>
      <c r="G594" s="3" t="str">
        <f>_xlfn.XLOOKUP(A594,'Data Cleaning'!A594:A2063, 'Data Cleaning'!J594:J2063)</f>
        <v>Recently promoted</v>
      </c>
    </row>
    <row r="595" spans="1:7" x14ac:dyDescent="0.25">
      <c r="A595" s="3">
        <v>1816</v>
      </c>
      <c r="B595" s="3" t="str">
        <f>_xlfn.XLOOKUP(A595,'Data Cleaning'!A595:A2064, 'Data Cleaning'!I595:I2064)</f>
        <v>25-34</v>
      </c>
      <c r="C595">
        <f>_xlfn.XLOOKUP(A595,'Data Cleaning'!A595:A2064,'Data Cleaning'!K595:K2064)</f>
        <v>0</v>
      </c>
      <c r="D595" t="str">
        <f>_xlfn.XLOOKUP(A595,'Data Cleaning'!A595:A2064, 'Data Cleaning'!D595:D2064)</f>
        <v>Bachelor</v>
      </c>
      <c r="E595" s="3" t="str">
        <f>_xlfn.XLOOKUP(A595,'Data Cleaning'!A595:A2064, 'Data Cleaning'!E595:E2064)</f>
        <v>Single</v>
      </c>
      <c r="F595" t="str">
        <f>_xlfn.XLOOKUP(A595,'Data Cleaning'!A595:A2064, 'Data Cleaning'!F595:F2064)</f>
        <v>None</v>
      </c>
      <c r="G595" s="3" t="str">
        <f>_xlfn.XLOOKUP(A595,'Data Cleaning'!A595:A2064, 'Data Cleaning'!J595:J2064)</f>
        <v>Recently promoted</v>
      </c>
    </row>
    <row r="596" spans="1:7" x14ac:dyDescent="0.25">
      <c r="A596" s="3">
        <v>1544</v>
      </c>
      <c r="B596" s="3" t="str">
        <f>_xlfn.XLOOKUP(A596,'Data Cleaning'!A596:A2065, 'Data Cleaning'!I596:I2065)</f>
        <v>25-34</v>
      </c>
      <c r="C596">
        <f>_xlfn.XLOOKUP(A596,'Data Cleaning'!A596:A2065,'Data Cleaning'!K596:K2065)</f>
        <v>0</v>
      </c>
      <c r="D596" t="str">
        <f>_xlfn.XLOOKUP(A596,'Data Cleaning'!A596:A2065, 'Data Cleaning'!D596:D2065)</f>
        <v>Below College</v>
      </c>
      <c r="E596" s="3" t="str">
        <f>_xlfn.XLOOKUP(A596,'Data Cleaning'!A596:A2065, 'Data Cleaning'!E596:E2065)</f>
        <v>Married</v>
      </c>
      <c r="F596" t="str">
        <f>_xlfn.XLOOKUP(A596,'Data Cleaning'!A596:A2065, 'Data Cleaning'!F596:F2065)</f>
        <v>Low</v>
      </c>
      <c r="G596" s="3" t="str">
        <f>_xlfn.XLOOKUP(A596,'Data Cleaning'!A596:A2065, 'Data Cleaning'!J596:J2065)</f>
        <v>Recently promoted</v>
      </c>
    </row>
    <row r="597" spans="1:7" x14ac:dyDescent="0.25">
      <c r="A597" s="3">
        <v>439</v>
      </c>
      <c r="B597" s="3" t="str">
        <f>_xlfn.XLOOKUP(A597,'Data Cleaning'!A597:A2066, 'Data Cleaning'!I597:I2066)</f>
        <v>25-34</v>
      </c>
      <c r="C597">
        <f>_xlfn.XLOOKUP(A597,'Data Cleaning'!A597:A2066,'Data Cleaning'!K597:K2066)</f>
        <v>0</v>
      </c>
      <c r="D597" t="str">
        <f>_xlfn.XLOOKUP(A597,'Data Cleaning'!A597:A2066, 'Data Cleaning'!D597:D2066)</f>
        <v>Master</v>
      </c>
      <c r="E597" s="3" t="str">
        <f>_xlfn.XLOOKUP(A597,'Data Cleaning'!A597:A2066, 'Data Cleaning'!E597:E2066)</f>
        <v>Single</v>
      </c>
      <c r="F597" t="str">
        <f>_xlfn.XLOOKUP(A597,'Data Cleaning'!A597:A2066, 'Data Cleaning'!F597:F2066)</f>
        <v>None</v>
      </c>
      <c r="G597" s="3" t="str">
        <f>_xlfn.XLOOKUP(A597,'Data Cleaning'!A597:A2066, 'Data Cleaning'!J597:J2066)</f>
        <v>Recently promoted</v>
      </c>
    </row>
    <row r="598" spans="1:7" x14ac:dyDescent="0.25">
      <c r="A598" s="3">
        <v>500</v>
      </c>
      <c r="B598" s="3" t="str">
        <f>_xlfn.XLOOKUP(A598,'Data Cleaning'!A598:A2067, 'Data Cleaning'!I598:I2067)</f>
        <v>45-54</v>
      </c>
      <c r="C598">
        <f>_xlfn.XLOOKUP(A598,'Data Cleaning'!A598:A2067,'Data Cleaning'!K598:K2067)</f>
        <v>0</v>
      </c>
      <c r="D598" t="str">
        <f>_xlfn.XLOOKUP(A598,'Data Cleaning'!A598:A2067, 'Data Cleaning'!D598:D2067)</f>
        <v>College</v>
      </c>
      <c r="E598" s="3" t="str">
        <f>_xlfn.XLOOKUP(A598,'Data Cleaning'!A598:A2067, 'Data Cleaning'!E598:E2067)</f>
        <v>Married</v>
      </c>
      <c r="F598" t="str">
        <f>_xlfn.XLOOKUP(A598,'Data Cleaning'!A598:A2067, 'Data Cleaning'!F598:F2067)</f>
        <v>Low</v>
      </c>
      <c r="G598" s="3" t="str">
        <f>_xlfn.XLOOKUP(A598,'Data Cleaning'!A598:A2067, 'Data Cleaning'!J598:J2067)</f>
        <v>Recently promoted</v>
      </c>
    </row>
    <row r="599" spans="1:7" x14ac:dyDescent="0.25">
      <c r="A599" s="3">
        <v>498</v>
      </c>
      <c r="B599" s="3" t="str">
        <f>_xlfn.XLOOKUP(A599,'Data Cleaning'!A599:A2068, 'Data Cleaning'!I599:I2068)</f>
        <v>25-34</v>
      </c>
      <c r="C599">
        <f>_xlfn.XLOOKUP(A599,'Data Cleaning'!A599:A2068,'Data Cleaning'!K599:K2068)</f>
        <v>0</v>
      </c>
      <c r="D599" t="str">
        <f>_xlfn.XLOOKUP(A599,'Data Cleaning'!A599:A2068, 'Data Cleaning'!D599:D2068)</f>
        <v>Master</v>
      </c>
      <c r="E599" s="3" t="str">
        <f>_xlfn.XLOOKUP(A599,'Data Cleaning'!A599:A2068, 'Data Cleaning'!E599:E2068)</f>
        <v>Single</v>
      </c>
      <c r="F599" t="str">
        <f>_xlfn.XLOOKUP(A599,'Data Cleaning'!A599:A2068, 'Data Cleaning'!F599:F2068)</f>
        <v>None</v>
      </c>
      <c r="G599" s="3" t="str">
        <f>_xlfn.XLOOKUP(A599,'Data Cleaning'!A599:A2068, 'Data Cleaning'!J599:J2068)</f>
        <v>Recently promoted</v>
      </c>
    </row>
    <row r="600" spans="1:7" x14ac:dyDescent="0.25">
      <c r="A600" s="3">
        <v>645</v>
      </c>
      <c r="B600" s="3" t="str">
        <f>_xlfn.XLOOKUP(A600,'Data Cleaning'!A600:A2069, 'Data Cleaning'!I600:I2069)</f>
        <v>25-34</v>
      </c>
      <c r="C600">
        <f>_xlfn.XLOOKUP(A600,'Data Cleaning'!A600:A2069,'Data Cleaning'!K600:K2069)</f>
        <v>0</v>
      </c>
      <c r="D600" t="str">
        <f>_xlfn.XLOOKUP(A600,'Data Cleaning'!A600:A2069, 'Data Cleaning'!D600:D2069)</f>
        <v>Below College</v>
      </c>
      <c r="E600" s="3" t="str">
        <f>_xlfn.XLOOKUP(A600,'Data Cleaning'!A600:A2069, 'Data Cleaning'!E600:E2069)</f>
        <v>Married</v>
      </c>
      <c r="F600" t="str">
        <f>_xlfn.XLOOKUP(A600,'Data Cleaning'!A600:A2069, 'Data Cleaning'!F600:F2069)</f>
        <v>None</v>
      </c>
      <c r="G600" s="3" t="str">
        <f>_xlfn.XLOOKUP(A600,'Data Cleaning'!A600:A2069, 'Data Cleaning'!J600:J2069)</f>
        <v>Recently promoted</v>
      </c>
    </row>
    <row r="601" spans="1:7" x14ac:dyDescent="0.25">
      <c r="A601" s="3">
        <v>1460</v>
      </c>
      <c r="B601" s="3" t="str">
        <f>_xlfn.XLOOKUP(A601,'Data Cleaning'!A601:A2070, 'Data Cleaning'!I601:I2070)</f>
        <v>45-54</v>
      </c>
      <c r="C601">
        <f>_xlfn.XLOOKUP(A601,'Data Cleaning'!A601:A2070,'Data Cleaning'!K601:K2070)</f>
        <v>0</v>
      </c>
      <c r="D601" t="str">
        <f>_xlfn.XLOOKUP(A601,'Data Cleaning'!A601:A2070, 'Data Cleaning'!D601:D2070)</f>
        <v>Bachelor</v>
      </c>
      <c r="E601" s="3" t="str">
        <f>_xlfn.XLOOKUP(A601,'Data Cleaning'!A601:A2070, 'Data Cleaning'!E601:E2070)</f>
        <v>Divorced</v>
      </c>
      <c r="F601" t="str">
        <f>_xlfn.XLOOKUP(A601,'Data Cleaning'!A601:A2070, 'Data Cleaning'!F601:F2070)</f>
        <v>Low</v>
      </c>
      <c r="G601" s="3" t="str">
        <f>_xlfn.XLOOKUP(A601,'Data Cleaning'!A601:A2070, 'Data Cleaning'!J601:J2070)</f>
        <v>Recently promoted</v>
      </c>
    </row>
    <row r="602" spans="1:7" x14ac:dyDescent="0.25">
      <c r="A602" s="3">
        <v>77</v>
      </c>
      <c r="B602" s="3" t="str">
        <f>_xlfn.XLOOKUP(A602,'Data Cleaning'!A602:A2071, 'Data Cleaning'!I602:I2071)</f>
        <v>35-44</v>
      </c>
      <c r="C602">
        <f>_xlfn.XLOOKUP(A602,'Data Cleaning'!A602:A2071,'Data Cleaning'!K602:K2071)</f>
        <v>0</v>
      </c>
      <c r="D602" t="str">
        <f>_xlfn.XLOOKUP(A602,'Data Cleaning'!A602:A2071, 'Data Cleaning'!D602:D2071)</f>
        <v>Master</v>
      </c>
      <c r="E602" s="3" t="str">
        <f>_xlfn.XLOOKUP(A602,'Data Cleaning'!A602:A2071, 'Data Cleaning'!E602:E2071)</f>
        <v>Divorced</v>
      </c>
      <c r="F602" t="str">
        <f>_xlfn.XLOOKUP(A602,'Data Cleaning'!A602:A2071, 'Data Cleaning'!F602:F2071)</f>
        <v>Low</v>
      </c>
      <c r="G602" s="3" t="str">
        <f>_xlfn.XLOOKUP(A602,'Data Cleaning'!A602:A2071, 'Data Cleaning'!J602:J2071)</f>
        <v>Recently promoted</v>
      </c>
    </row>
    <row r="603" spans="1:7" x14ac:dyDescent="0.25">
      <c r="A603" s="3">
        <v>260</v>
      </c>
      <c r="B603" s="3" t="str">
        <f>_xlfn.XLOOKUP(A603,'Data Cleaning'!A603:A2072, 'Data Cleaning'!I603:I2072)</f>
        <v>25-34</v>
      </c>
      <c r="C603">
        <f>_xlfn.XLOOKUP(A603,'Data Cleaning'!A603:A2072,'Data Cleaning'!K603:K2072)</f>
        <v>0</v>
      </c>
      <c r="D603" t="str">
        <f>_xlfn.XLOOKUP(A603,'Data Cleaning'!A603:A2072, 'Data Cleaning'!D603:D2072)</f>
        <v>Bachelor</v>
      </c>
      <c r="E603" s="3" t="str">
        <f>_xlfn.XLOOKUP(A603,'Data Cleaning'!A603:A2072, 'Data Cleaning'!E603:E2072)</f>
        <v>Single</v>
      </c>
      <c r="F603" t="str">
        <f>_xlfn.XLOOKUP(A603,'Data Cleaning'!A603:A2072, 'Data Cleaning'!F603:F2072)</f>
        <v>None</v>
      </c>
      <c r="G603" s="3" t="str">
        <f>_xlfn.XLOOKUP(A603,'Data Cleaning'!A603:A2072, 'Data Cleaning'!J603:J2072)</f>
        <v>Recently promoted</v>
      </c>
    </row>
    <row r="604" spans="1:7" x14ac:dyDescent="0.25">
      <c r="A604" s="3">
        <v>112</v>
      </c>
      <c r="B604" s="3" t="str">
        <f>_xlfn.XLOOKUP(A604,'Data Cleaning'!A604:A2073, 'Data Cleaning'!I604:I2073)</f>
        <v>55-60</v>
      </c>
      <c r="C604">
        <f>_xlfn.XLOOKUP(A604,'Data Cleaning'!A604:A2073,'Data Cleaning'!K604:K2073)</f>
        <v>0</v>
      </c>
      <c r="D604" t="str">
        <f>_xlfn.XLOOKUP(A604,'Data Cleaning'!A604:A2073, 'Data Cleaning'!D604:D2073)</f>
        <v>Bachelor</v>
      </c>
      <c r="E604" s="3" t="str">
        <f>_xlfn.XLOOKUP(A604,'Data Cleaning'!A604:A2073, 'Data Cleaning'!E604:E2073)</f>
        <v>Single</v>
      </c>
      <c r="F604" t="str">
        <f>_xlfn.XLOOKUP(A604,'Data Cleaning'!A604:A2073, 'Data Cleaning'!F604:F2073)</f>
        <v>None</v>
      </c>
      <c r="G604" s="3" t="str">
        <f>_xlfn.XLOOKUP(A604,'Data Cleaning'!A604:A2073, 'Data Cleaning'!J604:J2073)</f>
        <v>Recently promoted</v>
      </c>
    </row>
    <row r="605" spans="1:7" x14ac:dyDescent="0.25">
      <c r="A605" s="3">
        <v>1254</v>
      </c>
      <c r="B605" s="3" t="str">
        <f>_xlfn.XLOOKUP(A605,'Data Cleaning'!A605:A2074, 'Data Cleaning'!I605:I2074)</f>
        <v>55-60</v>
      </c>
      <c r="C605">
        <f>_xlfn.XLOOKUP(A605,'Data Cleaning'!A605:A2074,'Data Cleaning'!K605:K2074)</f>
        <v>0</v>
      </c>
      <c r="D605" t="str">
        <f>_xlfn.XLOOKUP(A605,'Data Cleaning'!A605:A2074, 'Data Cleaning'!D605:D2074)</f>
        <v>Bachelor</v>
      </c>
      <c r="E605" s="3" t="str">
        <f>_xlfn.XLOOKUP(A605,'Data Cleaning'!A605:A2074, 'Data Cleaning'!E605:E2074)</f>
        <v>Single</v>
      </c>
      <c r="F605" t="str">
        <f>_xlfn.XLOOKUP(A605,'Data Cleaning'!A605:A2074, 'Data Cleaning'!F605:F2074)</f>
        <v>None</v>
      </c>
      <c r="G605" s="3" t="str">
        <f>_xlfn.XLOOKUP(A605,'Data Cleaning'!A605:A2074, 'Data Cleaning'!J605:J2074)</f>
        <v>Recently promoted</v>
      </c>
    </row>
    <row r="606" spans="1:7" x14ac:dyDescent="0.25">
      <c r="A606" s="3">
        <v>303</v>
      </c>
      <c r="B606" s="3" t="str">
        <f>_xlfn.XLOOKUP(A606,'Data Cleaning'!A606:A2075, 'Data Cleaning'!I606:I2075)</f>
        <v>45-54</v>
      </c>
      <c r="C606">
        <f>_xlfn.XLOOKUP(A606,'Data Cleaning'!A606:A2075,'Data Cleaning'!K606:K2075)</f>
        <v>0</v>
      </c>
      <c r="D606" t="str">
        <f>_xlfn.XLOOKUP(A606,'Data Cleaning'!A606:A2075, 'Data Cleaning'!D606:D2075)</f>
        <v>Bachelor</v>
      </c>
      <c r="E606" s="3" t="str">
        <f>_xlfn.XLOOKUP(A606,'Data Cleaning'!A606:A2075, 'Data Cleaning'!E606:E2075)</f>
        <v>Married</v>
      </c>
      <c r="F606" t="str">
        <f>_xlfn.XLOOKUP(A606,'Data Cleaning'!A606:A2075, 'Data Cleaning'!F606:F2075)</f>
        <v>Low</v>
      </c>
      <c r="G606" s="3" t="str">
        <f>_xlfn.XLOOKUP(A606,'Data Cleaning'!A606:A2075, 'Data Cleaning'!J606:J2075)</f>
        <v>Recently promoted</v>
      </c>
    </row>
    <row r="607" spans="1:7" x14ac:dyDescent="0.25">
      <c r="A607" s="3">
        <v>192</v>
      </c>
      <c r="B607" s="3" t="str">
        <f>_xlfn.XLOOKUP(A607,'Data Cleaning'!A607:A2076, 'Data Cleaning'!I607:I2076)</f>
        <v>45-54</v>
      </c>
      <c r="C607">
        <f>_xlfn.XLOOKUP(A607,'Data Cleaning'!A607:A2076,'Data Cleaning'!K607:K2076)</f>
        <v>0</v>
      </c>
      <c r="D607" t="str">
        <f>_xlfn.XLOOKUP(A607,'Data Cleaning'!A607:A2076, 'Data Cleaning'!D607:D2076)</f>
        <v>Bachelor</v>
      </c>
      <c r="E607" s="3" t="str">
        <f>_xlfn.XLOOKUP(A607,'Data Cleaning'!A607:A2076, 'Data Cleaning'!E607:E2076)</f>
        <v>Single</v>
      </c>
      <c r="F607" t="str">
        <f>_xlfn.XLOOKUP(A607,'Data Cleaning'!A607:A2076, 'Data Cleaning'!F607:F2076)</f>
        <v>None</v>
      </c>
      <c r="G607" s="3" t="str">
        <f>_xlfn.XLOOKUP(A607,'Data Cleaning'!A607:A2076, 'Data Cleaning'!J607:J2076)</f>
        <v>Recently promoted</v>
      </c>
    </row>
    <row r="608" spans="1:7" x14ac:dyDescent="0.25">
      <c r="A608" s="3">
        <v>362</v>
      </c>
      <c r="B608" s="3" t="str">
        <f>_xlfn.XLOOKUP(A608,'Data Cleaning'!A608:A2077, 'Data Cleaning'!I608:I2077)</f>
        <v>25-34</v>
      </c>
      <c r="C608">
        <f>_xlfn.XLOOKUP(A608,'Data Cleaning'!A608:A2077,'Data Cleaning'!K608:K2077)</f>
        <v>0</v>
      </c>
      <c r="D608" t="str">
        <f>_xlfn.XLOOKUP(A608,'Data Cleaning'!A608:A2077, 'Data Cleaning'!D608:D2077)</f>
        <v>Below College</v>
      </c>
      <c r="E608" s="3" t="str">
        <f>_xlfn.XLOOKUP(A608,'Data Cleaning'!A608:A2077, 'Data Cleaning'!E608:E2077)</f>
        <v>Single</v>
      </c>
      <c r="F608" t="str">
        <f>_xlfn.XLOOKUP(A608,'Data Cleaning'!A608:A2077, 'Data Cleaning'!F608:F2077)</f>
        <v>None</v>
      </c>
      <c r="G608" s="3" t="str">
        <f>_xlfn.XLOOKUP(A608,'Data Cleaning'!A608:A2077, 'Data Cleaning'!J608:J2077)</f>
        <v>Recently promoted</v>
      </c>
    </row>
    <row r="609" spans="1:7" x14ac:dyDescent="0.25">
      <c r="A609" s="3">
        <v>460</v>
      </c>
      <c r="B609" s="3" t="str">
        <f>_xlfn.XLOOKUP(A609,'Data Cleaning'!A609:A2078, 'Data Cleaning'!I609:I2078)</f>
        <v>35-44</v>
      </c>
      <c r="C609">
        <f>_xlfn.XLOOKUP(A609,'Data Cleaning'!A609:A2078,'Data Cleaning'!K609:K2078)</f>
        <v>0</v>
      </c>
      <c r="D609" t="str">
        <f>_xlfn.XLOOKUP(A609,'Data Cleaning'!A609:A2078, 'Data Cleaning'!D609:D2078)</f>
        <v>College</v>
      </c>
      <c r="E609" s="3" t="str">
        <f>_xlfn.XLOOKUP(A609,'Data Cleaning'!A609:A2078, 'Data Cleaning'!E609:E2078)</f>
        <v>Divorced</v>
      </c>
      <c r="F609" t="str">
        <f>_xlfn.XLOOKUP(A609,'Data Cleaning'!A609:A2078, 'Data Cleaning'!F609:F2078)</f>
        <v>Mid</v>
      </c>
      <c r="G609" s="3" t="str">
        <f>_xlfn.XLOOKUP(A609,'Data Cleaning'!A609:A2078, 'Data Cleaning'!J609:J2078)</f>
        <v>Recently promoted</v>
      </c>
    </row>
    <row r="610" spans="1:7" x14ac:dyDescent="0.25">
      <c r="A610" s="3">
        <v>679</v>
      </c>
      <c r="B610" s="3" t="str">
        <f>_xlfn.XLOOKUP(A610,'Data Cleaning'!A610:A2079, 'Data Cleaning'!I610:I2079)</f>
        <v>25-34</v>
      </c>
      <c r="C610">
        <f>_xlfn.XLOOKUP(A610,'Data Cleaning'!A610:A2079,'Data Cleaning'!K610:K2079)</f>
        <v>0</v>
      </c>
      <c r="D610" t="str">
        <f>_xlfn.XLOOKUP(A610,'Data Cleaning'!A610:A2079, 'Data Cleaning'!D610:D2079)</f>
        <v>Master</v>
      </c>
      <c r="E610" s="3" t="str">
        <f>_xlfn.XLOOKUP(A610,'Data Cleaning'!A610:A2079, 'Data Cleaning'!E610:E2079)</f>
        <v>Married</v>
      </c>
      <c r="F610" t="str">
        <f>_xlfn.XLOOKUP(A610,'Data Cleaning'!A610:A2079, 'Data Cleaning'!F610:F2079)</f>
        <v>Low</v>
      </c>
      <c r="G610" s="3" t="str">
        <f>_xlfn.XLOOKUP(A610,'Data Cleaning'!A610:A2079, 'Data Cleaning'!J610:J2079)</f>
        <v>Recently promoted</v>
      </c>
    </row>
    <row r="611" spans="1:7" x14ac:dyDescent="0.25">
      <c r="A611" s="3">
        <v>1048</v>
      </c>
      <c r="B611" s="3" t="str">
        <f>_xlfn.XLOOKUP(A611,'Data Cleaning'!A611:A2080, 'Data Cleaning'!I611:I2080)</f>
        <v>55-60</v>
      </c>
      <c r="C611">
        <f>_xlfn.XLOOKUP(A611,'Data Cleaning'!A611:A2080,'Data Cleaning'!K611:K2080)</f>
        <v>0</v>
      </c>
      <c r="D611" t="str">
        <f>_xlfn.XLOOKUP(A611,'Data Cleaning'!A611:A2080, 'Data Cleaning'!D611:D2080)</f>
        <v>College</v>
      </c>
      <c r="E611" s="3" t="str">
        <f>_xlfn.XLOOKUP(A611,'Data Cleaning'!A611:A2080, 'Data Cleaning'!E611:E2080)</f>
        <v>Married</v>
      </c>
      <c r="F611" t="str">
        <f>_xlfn.XLOOKUP(A611,'Data Cleaning'!A611:A2080, 'Data Cleaning'!F611:F2080)</f>
        <v>Low</v>
      </c>
      <c r="G611" s="3" t="str">
        <f>_xlfn.XLOOKUP(A611,'Data Cleaning'!A611:A2080, 'Data Cleaning'!J611:J2080)</f>
        <v>Recently promoted</v>
      </c>
    </row>
    <row r="612" spans="1:7" x14ac:dyDescent="0.25">
      <c r="A612" s="3">
        <v>604</v>
      </c>
      <c r="B612" s="3" t="str">
        <f>_xlfn.XLOOKUP(A612,'Data Cleaning'!A612:A2081, 'Data Cleaning'!I612:I2081)</f>
        <v>25-34</v>
      </c>
      <c r="C612">
        <f>_xlfn.XLOOKUP(A612,'Data Cleaning'!A612:A2081,'Data Cleaning'!K612:K2081)</f>
        <v>0</v>
      </c>
      <c r="D612" t="str">
        <f>_xlfn.XLOOKUP(A612,'Data Cleaning'!A612:A2081, 'Data Cleaning'!D612:D2081)</f>
        <v>Below College</v>
      </c>
      <c r="E612" s="3" t="str">
        <f>_xlfn.XLOOKUP(A612,'Data Cleaning'!A612:A2081, 'Data Cleaning'!E612:E2081)</f>
        <v>Single</v>
      </c>
      <c r="F612" t="str">
        <f>_xlfn.XLOOKUP(A612,'Data Cleaning'!A612:A2081, 'Data Cleaning'!F612:F2081)</f>
        <v>None</v>
      </c>
      <c r="G612" s="3" t="str">
        <f>_xlfn.XLOOKUP(A612,'Data Cleaning'!A612:A2081, 'Data Cleaning'!J612:J2081)</f>
        <v>Recently promoted</v>
      </c>
    </row>
    <row r="613" spans="1:7" x14ac:dyDescent="0.25">
      <c r="A613" s="3">
        <v>612</v>
      </c>
      <c r="B613" s="3" t="str">
        <f>_xlfn.XLOOKUP(A613,'Data Cleaning'!A613:A2082, 'Data Cleaning'!I613:I2082)</f>
        <v>25-34</v>
      </c>
      <c r="C613">
        <f>_xlfn.XLOOKUP(A613,'Data Cleaning'!A613:A2082,'Data Cleaning'!K613:K2082)</f>
        <v>0</v>
      </c>
      <c r="D613" t="str">
        <f>_xlfn.XLOOKUP(A613,'Data Cleaning'!A613:A2082, 'Data Cleaning'!D613:D2082)</f>
        <v>Doctor</v>
      </c>
      <c r="E613" s="3" t="str">
        <f>_xlfn.XLOOKUP(A613,'Data Cleaning'!A613:A2082, 'Data Cleaning'!E613:E2082)</f>
        <v>Divorced</v>
      </c>
      <c r="F613" t="str">
        <f>_xlfn.XLOOKUP(A613,'Data Cleaning'!A613:A2082, 'Data Cleaning'!F613:F2082)</f>
        <v>Low</v>
      </c>
      <c r="G613" s="3" t="str">
        <f>_xlfn.XLOOKUP(A613,'Data Cleaning'!A613:A2082, 'Data Cleaning'!J613:J2082)</f>
        <v>Recently promoted</v>
      </c>
    </row>
    <row r="614" spans="1:7" x14ac:dyDescent="0.25">
      <c r="A614" s="3">
        <v>21</v>
      </c>
      <c r="B614" s="3" t="str">
        <f>_xlfn.XLOOKUP(A614,'Data Cleaning'!A614:A2083, 'Data Cleaning'!I614:I2083)</f>
        <v>25-34</v>
      </c>
      <c r="C614">
        <f>_xlfn.XLOOKUP(A614,'Data Cleaning'!A614:A2083,'Data Cleaning'!K614:K2083)</f>
        <v>0</v>
      </c>
      <c r="D614" t="str">
        <f>_xlfn.XLOOKUP(A614,'Data Cleaning'!A614:A2083, 'Data Cleaning'!D614:D2083)</f>
        <v>College</v>
      </c>
      <c r="E614" s="3" t="str">
        <f>_xlfn.XLOOKUP(A614,'Data Cleaning'!A614:A2083, 'Data Cleaning'!E614:E2083)</f>
        <v>Divorced</v>
      </c>
      <c r="F614" t="str">
        <f>_xlfn.XLOOKUP(A614,'Data Cleaning'!A614:A2083, 'Data Cleaning'!F614:F2083)</f>
        <v>Mid</v>
      </c>
      <c r="G614" s="3" t="str">
        <f>_xlfn.XLOOKUP(A614,'Data Cleaning'!A614:A2083, 'Data Cleaning'!J614:J2083)</f>
        <v>Recently promoted</v>
      </c>
    </row>
    <row r="615" spans="1:7" x14ac:dyDescent="0.25">
      <c r="A615" s="3">
        <v>1670</v>
      </c>
      <c r="B615" s="3" t="str">
        <f>_xlfn.XLOOKUP(A615,'Data Cleaning'!A615:A2084, 'Data Cleaning'!I615:I2084)</f>
        <v>25-34</v>
      </c>
      <c r="C615">
        <f>_xlfn.XLOOKUP(A615,'Data Cleaning'!A615:A2084,'Data Cleaning'!K615:K2084)</f>
        <v>0</v>
      </c>
      <c r="D615" t="str">
        <f>_xlfn.XLOOKUP(A615,'Data Cleaning'!A615:A2084, 'Data Cleaning'!D615:D2084)</f>
        <v>Master</v>
      </c>
      <c r="E615" s="3" t="str">
        <f>_xlfn.XLOOKUP(A615,'Data Cleaning'!A615:A2084, 'Data Cleaning'!E615:E2084)</f>
        <v>Divorced</v>
      </c>
      <c r="F615" t="str">
        <f>_xlfn.XLOOKUP(A615,'Data Cleaning'!A615:A2084, 'Data Cleaning'!F615:F2084)</f>
        <v>Mid</v>
      </c>
      <c r="G615" s="3" t="str">
        <f>_xlfn.XLOOKUP(A615,'Data Cleaning'!A615:A2084, 'Data Cleaning'!J615:J2084)</f>
        <v>Recently promoted</v>
      </c>
    </row>
    <row r="616" spans="1:7" x14ac:dyDescent="0.25">
      <c r="A616" s="3">
        <v>105</v>
      </c>
      <c r="B616" s="3" t="str">
        <f>_xlfn.XLOOKUP(A616,'Data Cleaning'!A616:A2085, 'Data Cleaning'!I616:I2085)</f>
        <v>35-44</v>
      </c>
      <c r="C616">
        <f>_xlfn.XLOOKUP(A616,'Data Cleaning'!A616:A2085,'Data Cleaning'!K616:K2085)</f>
        <v>0</v>
      </c>
      <c r="D616" t="str">
        <f>_xlfn.XLOOKUP(A616,'Data Cleaning'!A616:A2085, 'Data Cleaning'!D616:D2085)</f>
        <v>Bachelor</v>
      </c>
      <c r="E616" s="3" t="str">
        <f>_xlfn.XLOOKUP(A616,'Data Cleaning'!A616:A2085, 'Data Cleaning'!E616:E2085)</f>
        <v>Single</v>
      </c>
      <c r="F616" t="str">
        <f>_xlfn.XLOOKUP(A616,'Data Cleaning'!A616:A2085, 'Data Cleaning'!F616:F2085)</f>
        <v>None</v>
      </c>
      <c r="G616" s="3" t="str">
        <f>_xlfn.XLOOKUP(A616,'Data Cleaning'!A616:A2085, 'Data Cleaning'!J616:J2085)</f>
        <v>Recently promoted</v>
      </c>
    </row>
    <row r="617" spans="1:7" x14ac:dyDescent="0.25">
      <c r="A617" s="3">
        <v>940</v>
      </c>
      <c r="B617" s="3" t="str">
        <f>_xlfn.XLOOKUP(A617,'Data Cleaning'!A617:A2086, 'Data Cleaning'!I617:I2086)</f>
        <v>55-60</v>
      </c>
      <c r="C617">
        <f>_xlfn.XLOOKUP(A617,'Data Cleaning'!A617:A2086,'Data Cleaning'!K617:K2086)</f>
        <v>0</v>
      </c>
      <c r="D617" t="str">
        <f>_xlfn.XLOOKUP(A617,'Data Cleaning'!A617:A2086, 'Data Cleaning'!D617:D2086)</f>
        <v>Bachelor</v>
      </c>
      <c r="E617" s="3" t="str">
        <f>_xlfn.XLOOKUP(A617,'Data Cleaning'!A617:A2086, 'Data Cleaning'!E617:E2086)</f>
        <v>Divorced</v>
      </c>
      <c r="F617" t="str">
        <f>_xlfn.XLOOKUP(A617,'Data Cleaning'!A617:A2086, 'Data Cleaning'!F617:F2086)</f>
        <v>Low</v>
      </c>
      <c r="G617" s="3" t="str">
        <f>_xlfn.XLOOKUP(A617,'Data Cleaning'!A617:A2086, 'Data Cleaning'!J617:J2086)</f>
        <v>Recently promoted</v>
      </c>
    </row>
    <row r="618" spans="1:7" x14ac:dyDescent="0.25">
      <c r="A618" s="3">
        <v>936</v>
      </c>
      <c r="B618" s="3" t="str">
        <f>_xlfn.XLOOKUP(A618,'Data Cleaning'!A618:A2087, 'Data Cleaning'!I618:I2087)</f>
        <v>35-44</v>
      </c>
      <c r="C618">
        <f>_xlfn.XLOOKUP(A618,'Data Cleaning'!A618:A2087,'Data Cleaning'!K618:K2087)</f>
        <v>0</v>
      </c>
      <c r="D618" t="str">
        <f>_xlfn.XLOOKUP(A618,'Data Cleaning'!A618:A2087, 'Data Cleaning'!D618:D2087)</f>
        <v>College</v>
      </c>
      <c r="E618" s="3" t="str">
        <f>_xlfn.XLOOKUP(A618,'Data Cleaning'!A618:A2087, 'Data Cleaning'!E618:E2087)</f>
        <v>Single</v>
      </c>
      <c r="F618" t="str">
        <f>_xlfn.XLOOKUP(A618,'Data Cleaning'!A618:A2087, 'Data Cleaning'!F618:F2087)</f>
        <v>None</v>
      </c>
      <c r="G618" s="3" t="str">
        <f>_xlfn.XLOOKUP(A618,'Data Cleaning'!A618:A2087, 'Data Cleaning'!J618:J2087)</f>
        <v>Recently promoted</v>
      </c>
    </row>
    <row r="619" spans="1:7" x14ac:dyDescent="0.25">
      <c r="A619" s="3">
        <v>1545</v>
      </c>
      <c r="B619" s="3" t="str">
        <f>_xlfn.XLOOKUP(A619,'Data Cleaning'!A619:A2088, 'Data Cleaning'!I619:I2088)</f>
        <v>25-34</v>
      </c>
      <c r="C619">
        <f>_xlfn.XLOOKUP(A619,'Data Cleaning'!A619:A2088,'Data Cleaning'!K619:K2088)</f>
        <v>0</v>
      </c>
      <c r="D619" t="str">
        <f>_xlfn.XLOOKUP(A619,'Data Cleaning'!A619:A2088, 'Data Cleaning'!D619:D2088)</f>
        <v>Bachelor</v>
      </c>
      <c r="E619" s="3" t="str">
        <f>_xlfn.XLOOKUP(A619,'Data Cleaning'!A619:A2088, 'Data Cleaning'!E619:E2088)</f>
        <v>Single</v>
      </c>
      <c r="F619" t="str">
        <f>_xlfn.XLOOKUP(A619,'Data Cleaning'!A619:A2088, 'Data Cleaning'!F619:F2088)</f>
        <v>None</v>
      </c>
      <c r="G619" s="3" t="str">
        <f>_xlfn.XLOOKUP(A619,'Data Cleaning'!A619:A2088, 'Data Cleaning'!J619:J2088)</f>
        <v>Recently promoted</v>
      </c>
    </row>
    <row r="620" spans="1:7" x14ac:dyDescent="0.25">
      <c r="A620" s="3">
        <v>2051</v>
      </c>
      <c r="B620" s="3" t="str">
        <f>_xlfn.XLOOKUP(A620,'Data Cleaning'!A620:A2089, 'Data Cleaning'!I620:I2089)</f>
        <v>35-44</v>
      </c>
      <c r="C620">
        <f>_xlfn.XLOOKUP(A620,'Data Cleaning'!A620:A2089,'Data Cleaning'!K620:K2089)</f>
        <v>0</v>
      </c>
      <c r="D620" t="str">
        <f>_xlfn.XLOOKUP(A620,'Data Cleaning'!A620:A2089, 'Data Cleaning'!D620:D2089)</f>
        <v>Master</v>
      </c>
      <c r="E620" s="3" t="str">
        <f>_xlfn.XLOOKUP(A620,'Data Cleaning'!A620:A2089, 'Data Cleaning'!E620:E2089)</f>
        <v>Married</v>
      </c>
      <c r="F620" t="str">
        <f>_xlfn.XLOOKUP(A620,'Data Cleaning'!A620:A2089, 'Data Cleaning'!F620:F2089)</f>
        <v>High</v>
      </c>
      <c r="G620" s="3" t="str">
        <f>_xlfn.XLOOKUP(A620,'Data Cleaning'!A620:A2089, 'Data Cleaning'!J620:J2089)</f>
        <v>Recently promoted</v>
      </c>
    </row>
    <row r="621" spans="1:7" x14ac:dyDescent="0.25">
      <c r="A621" s="3">
        <v>1587</v>
      </c>
      <c r="B621" s="3" t="str">
        <f>_xlfn.XLOOKUP(A621,'Data Cleaning'!A621:A2090, 'Data Cleaning'!I621:I2090)</f>
        <v>35-44</v>
      </c>
      <c r="C621">
        <f>_xlfn.XLOOKUP(A621,'Data Cleaning'!A621:A2090,'Data Cleaning'!K621:K2090)</f>
        <v>0</v>
      </c>
      <c r="D621" t="str">
        <f>_xlfn.XLOOKUP(A621,'Data Cleaning'!A621:A2090, 'Data Cleaning'!D621:D2090)</f>
        <v>Master</v>
      </c>
      <c r="E621" s="3" t="str">
        <f>_xlfn.XLOOKUP(A621,'Data Cleaning'!A621:A2090, 'Data Cleaning'!E621:E2090)</f>
        <v>Single</v>
      </c>
      <c r="F621" t="str">
        <f>_xlfn.XLOOKUP(A621,'Data Cleaning'!A621:A2090, 'Data Cleaning'!F621:F2090)</f>
        <v>None</v>
      </c>
      <c r="G621" s="3" t="str">
        <f>_xlfn.XLOOKUP(A621,'Data Cleaning'!A621:A2090, 'Data Cleaning'!J621:J2090)</f>
        <v>Recently promoted</v>
      </c>
    </row>
    <row r="622" spans="1:7" x14ac:dyDescent="0.25">
      <c r="A622" s="3">
        <v>1638</v>
      </c>
      <c r="B622" s="3" t="str">
        <f>_xlfn.XLOOKUP(A622,'Data Cleaning'!A622:A2091, 'Data Cleaning'!I622:I2091)</f>
        <v>35-44</v>
      </c>
      <c r="C622">
        <f>_xlfn.XLOOKUP(A622,'Data Cleaning'!A622:A2091,'Data Cleaning'!K622:K2091)</f>
        <v>0</v>
      </c>
      <c r="D622" t="str">
        <f>_xlfn.XLOOKUP(A622,'Data Cleaning'!A622:A2091, 'Data Cleaning'!D622:D2091)</f>
        <v>College</v>
      </c>
      <c r="E622" s="3" t="str">
        <f>_xlfn.XLOOKUP(A622,'Data Cleaning'!A622:A2091, 'Data Cleaning'!E622:E2091)</f>
        <v>Married</v>
      </c>
      <c r="F622" t="str">
        <f>_xlfn.XLOOKUP(A622,'Data Cleaning'!A622:A2091, 'Data Cleaning'!F622:F2091)</f>
        <v>Low</v>
      </c>
      <c r="G622" s="3" t="str">
        <f>_xlfn.XLOOKUP(A622,'Data Cleaning'!A622:A2091, 'Data Cleaning'!J622:J2091)</f>
        <v>Recently promoted</v>
      </c>
    </row>
    <row r="623" spans="1:7" x14ac:dyDescent="0.25">
      <c r="A623" s="3">
        <v>1799</v>
      </c>
      <c r="B623" s="3" t="str">
        <f>_xlfn.XLOOKUP(A623,'Data Cleaning'!A623:A2092, 'Data Cleaning'!I623:I2092)</f>
        <v>25-34</v>
      </c>
      <c r="C623">
        <f>_xlfn.XLOOKUP(A623,'Data Cleaning'!A623:A2092,'Data Cleaning'!K623:K2092)</f>
        <v>0</v>
      </c>
      <c r="D623" t="str">
        <f>_xlfn.XLOOKUP(A623,'Data Cleaning'!A623:A2092, 'Data Cleaning'!D623:D2092)</f>
        <v>Bachelor</v>
      </c>
      <c r="E623" s="3" t="str">
        <f>_xlfn.XLOOKUP(A623,'Data Cleaning'!A623:A2092, 'Data Cleaning'!E623:E2092)</f>
        <v>Married</v>
      </c>
      <c r="F623" t="str">
        <f>_xlfn.XLOOKUP(A623,'Data Cleaning'!A623:A2092, 'Data Cleaning'!F623:F2092)</f>
        <v>Low</v>
      </c>
      <c r="G623" s="3" t="str">
        <f>_xlfn.XLOOKUP(A623,'Data Cleaning'!A623:A2092, 'Data Cleaning'!J623:J2092)</f>
        <v>Recently promoted</v>
      </c>
    </row>
    <row r="624" spans="1:7" x14ac:dyDescent="0.25">
      <c r="A624" s="3">
        <v>194</v>
      </c>
      <c r="B624" s="3" t="str">
        <f>_xlfn.XLOOKUP(A624,'Data Cleaning'!A624:A2093, 'Data Cleaning'!I624:I2093)</f>
        <v>25-34</v>
      </c>
      <c r="C624">
        <f>_xlfn.XLOOKUP(A624,'Data Cleaning'!A624:A2093,'Data Cleaning'!K624:K2093)</f>
        <v>0</v>
      </c>
      <c r="D624" t="str">
        <f>_xlfn.XLOOKUP(A624,'Data Cleaning'!A624:A2093, 'Data Cleaning'!D624:D2093)</f>
        <v>Bachelor</v>
      </c>
      <c r="E624" s="3" t="str">
        <f>_xlfn.XLOOKUP(A624,'Data Cleaning'!A624:A2093, 'Data Cleaning'!E624:E2093)</f>
        <v>Single</v>
      </c>
      <c r="F624" t="str">
        <f>_xlfn.XLOOKUP(A624,'Data Cleaning'!A624:A2093, 'Data Cleaning'!F624:F2093)</f>
        <v>None</v>
      </c>
      <c r="G624" s="3" t="str">
        <f>_xlfn.XLOOKUP(A624,'Data Cleaning'!A624:A2093, 'Data Cleaning'!J624:J2093)</f>
        <v>Recently promoted</v>
      </c>
    </row>
    <row r="625" spans="1:7" x14ac:dyDescent="0.25">
      <c r="A625" s="3">
        <v>378</v>
      </c>
      <c r="B625" s="3" t="str">
        <f>_xlfn.XLOOKUP(A625,'Data Cleaning'!A625:A2094, 'Data Cleaning'!I625:I2094)</f>
        <v>35-44</v>
      </c>
      <c r="C625">
        <f>_xlfn.XLOOKUP(A625,'Data Cleaning'!A625:A2094,'Data Cleaning'!K625:K2094)</f>
        <v>0</v>
      </c>
      <c r="D625" t="str">
        <f>_xlfn.XLOOKUP(A625,'Data Cleaning'!A625:A2094, 'Data Cleaning'!D625:D2094)</f>
        <v>Master</v>
      </c>
      <c r="E625" s="3" t="str">
        <f>_xlfn.XLOOKUP(A625,'Data Cleaning'!A625:A2094, 'Data Cleaning'!E625:E2094)</f>
        <v>Married</v>
      </c>
      <c r="F625" t="str">
        <f>_xlfn.XLOOKUP(A625,'Data Cleaning'!A625:A2094, 'Data Cleaning'!F625:F2094)</f>
        <v>Low</v>
      </c>
      <c r="G625" s="3" t="str">
        <f>_xlfn.XLOOKUP(A625,'Data Cleaning'!A625:A2094, 'Data Cleaning'!J625:J2094)</f>
        <v>Recently promoted</v>
      </c>
    </row>
    <row r="626" spans="1:7" x14ac:dyDescent="0.25">
      <c r="A626" s="3">
        <v>1259</v>
      </c>
      <c r="B626" s="3" t="str">
        <f>_xlfn.XLOOKUP(A626,'Data Cleaning'!A626:A2095, 'Data Cleaning'!I626:I2095)</f>
        <v>25-34</v>
      </c>
      <c r="C626">
        <f>_xlfn.XLOOKUP(A626,'Data Cleaning'!A626:A2095,'Data Cleaning'!K626:K2095)</f>
        <v>0</v>
      </c>
      <c r="D626" t="str">
        <f>_xlfn.XLOOKUP(A626,'Data Cleaning'!A626:A2095, 'Data Cleaning'!D626:D2095)</f>
        <v>College</v>
      </c>
      <c r="E626" s="3" t="str">
        <f>_xlfn.XLOOKUP(A626,'Data Cleaning'!A626:A2095, 'Data Cleaning'!E626:E2095)</f>
        <v>Divorced</v>
      </c>
      <c r="F626" t="str">
        <f>_xlfn.XLOOKUP(A626,'Data Cleaning'!A626:A2095, 'Data Cleaning'!F626:F2095)</f>
        <v>High</v>
      </c>
      <c r="G626" s="3" t="str">
        <f>_xlfn.XLOOKUP(A626,'Data Cleaning'!A626:A2095, 'Data Cleaning'!J626:J2095)</f>
        <v>Recently promoted</v>
      </c>
    </row>
    <row r="627" spans="1:7" x14ac:dyDescent="0.25">
      <c r="A627" s="3">
        <v>1502</v>
      </c>
      <c r="B627" s="3" t="str">
        <f>_xlfn.XLOOKUP(A627,'Data Cleaning'!A627:A2096, 'Data Cleaning'!I627:I2096)</f>
        <v>25-34</v>
      </c>
      <c r="C627">
        <f>_xlfn.XLOOKUP(A627,'Data Cleaning'!A627:A2096,'Data Cleaning'!K627:K2096)</f>
        <v>0</v>
      </c>
      <c r="D627" t="str">
        <f>_xlfn.XLOOKUP(A627,'Data Cleaning'!A627:A2096, 'Data Cleaning'!D627:D2096)</f>
        <v>Master</v>
      </c>
      <c r="E627" s="3" t="str">
        <f>_xlfn.XLOOKUP(A627,'Data Cleaning'!A627:A2096, 'Data Cleaning'!E627:E2096)</f>
        <v>Married</v>
      </c>
      <c r="F627" t="str">
        <f>_xlfn.XLOOKUP(A627,'Data Cleaning'!A627:A2096, 'Data Cleaning'!F627:F2096)</f>
        <v>None</v>
      </c>
      <c r="G627" s="3" t="str">
        <f>_xlfn.XLOOKUP(A627,'Data Cleaning'!A627:A2096, 'Data Cleaning'!J627:J2096)</f>
        <v>Recently promoted</v>
      </c>
    </row>
    <row r="628" spans="1:7" x14ac:dyDescent="0.25">
      <c r="A628" s="3">
        <v>423</v>
      </c>
      <c r="B628" s="3" t="str">
        <f>_xlfn.XLOOKUP(A628,'Data Cleaning'!A628:A2097, 'Data Cleaning'!I628:I2097)</f>
        <v>25-34</v>
      </c>
      <c r="C628">
        <f>_xlfn.XLOOKUP(A628,'Data Cleaning'!A628:A2097,'Data Cleaning'!K628:K2097)</f>
        <v>0</v>
      </c>
      <c r="D628" t="str">
        <f>_xlfn.XLOOKUP(A628,'Data Cleaning'!A628:A2097, 'Data Cleaning'!D628:D2097)</f>
        <v>Master</v>
      </c>
      <c r="E628" s="3" t="str">
        <f>_xlfn.XLOOKUP(A628,'Data Cleaning'!A628:A2097, 'Data Cleaning'!E628:E2097)</f>
        <v>Married</v>
      </c>
      <c r="F628" t="str">
        <f>_xlfn.XLOOKUP(A628,'Data Cleaning'!A628:A2097, 'Data Cleaning'!F628:F2097)</f>
        <v>Low</v>
      </c>
      <c r="G628" s="3" t="str">
        <f>_xlfn.XLOOKUP(A628,'Data Cleaning'!A628:A2097, 'Data Cleaning'!J628:J2097)</f>
        <v>Recently promoted</v>
      </c>
    </row>
    <row r="629" spans="1:7" x14ac:dyDescent="0.25">
      <c r="A629" s="3">
        <v>909</v>
      </c>
      <c r="B629" s="3" t="str">
        <f>_xlfn.XLOOKUP(A629,'Data Cleaning'!A629:A2098, 'Data Cleaning'!I629:I2098)</f>
        <v>35-44</v>
      </c>
      <c r="C629">
        <f>_xlfn.XLOOKUP(A629,'Data Cleaning'!A629:A2098,'Data Cleaning'!K629:K2098)</f>
        <v>0</v>
      </c>
      <c r="D629" t="str">
        <f>_xlfn.XLOOKUP(A629,'Data Cleaning'!A629:A2098, 'Data Cleaning'!D629:D2098)</f>
        <v>Bachelor</v>
      </c>
      <c r="E629" s="3" t="str">
        <f>_xlfn.XLOOKUP(A629,'Data Cleaning'!A629:A2098, 'Data Cleaning'!E629:E2098)</f>
        <v>Married</v>
      </c>
      <c r="F629" t="str">
        <f>_xlfn.XLOOKUP(A629,'Data Cleaning'!A629:A2098, 'Data Cleaning'!F629:F2098)</f>
        <v>Mid</v>
      </c>
      <c r="G629" s="3" t="str">
        <f>_xlfn.XLOOKUP(A629,'Data Cleaning'!A629:A2098, 'Data Cleaning'!J629:J2098)</f>
        <v>Recently promoted</v>
      </c>
    </row>
    <row r="630" spans="1:7" x14ac:dyDescent="0.25">
      <c r="A630" s="3">
        <v>507</v>
      </c>
      <c r="B630" s="3" t="str">
        <f>_xlfn.XLOOKUP(A630,'Data Cleaning'!A630:A2099, 'Data Cleaning'!I630:I2099)</f>
        <v>18-24</v>
      </c>
      <c r="C630">
        <f>_xlfn.XLOOKUP(A630,'Data Cleaning'!A630:A2099,'Data Cleaning'!K630:K2099)</f>
        <v>0</v>
      </c>
      <c r="D630" t="str">
        <f>_xlfn.XLOOKUP(A630,'Data Cleaning'!A630:A2099, 'Data Cleaning'!D630:D2099)</f>
        <v>Master</v>
      </c>
      <c r="E630" s="3" t="str">
        <f>_xlfn.XLOOKUP(A630,'Data Cleaning'!A630:A2099, 'Data Cleaning'!E630:E2099)</f>
        <v>Divorced</v>
      </c>
      <c r="F630" t="str">
        <f>_xlfn.XLOOKUP(A630,'Data Cleaning'!A630:A2099, 'Data Cleaning'!F630:F2099)</f>
        <v>Low</v>
      </c>
      <c r="G630" s="3" t="str">
        <f>_xlfn.XLOOKUP(A630,'Data Cleaning'!A630:A2099, 'Data Cleaning'!J630:J2099)</f>
        <v>Recently promoted</v>
      </c>
    </row>
    <row r="631" spans="1:7" x14ac:dyDescent="0.25">
      <c r="A631" s="3">
        <v>102</v>
      </c>
      <c r="B631" s="3" t="str">
        <f>_xlfn.XLOOKUP(A631,'Data Cleaning'!A631:A2100, 'Data Cleaning'!I631:I2100)</f>
        <v>35-44</v>
      </c>
      <c r="C631">
        <f>_xlfn.XLOOKUP(A631,'Data Cleaning'!A631:A2100,'Data Cleaning'!K631:K2100)</f>
        <v>0</v>
      </c>
      <c r="D631" t="str">
        <f>_xlfn.XLOOKUP(A631,'Data Cleaning'!A631:A2100, 'Data Cleaning'!D631:D2100)</f>
        <v>Master</v>
      </c>
      <c r="E631" s="3" t="str">
        <f>_xlfn.XLOOKUP(A631,'Data Cleaning'!A631:A2100, 'Data Cleaning'!E631:E2100)</f>
        <v>Single</v>
      </c>
      <c r="F631" t="str">
        <f>_xlfn.XLOOKUP(A631,'Data Cleaning'!A631:A2100, 'Data Cleaning'!F631:F2100)</f>
        <v>None</v>
      </c>
      <c r="G631" s="3" t="str">
        <f>_xlfn.XLOOKUP(A631,'Data Cleaning'!A631:A2100, 'Data Cleaning'!J631:J2100)</f>
        <v>Recently promoted</v>
      </c>
    </row>
    <row r="632" spans="1:7" x14ac:dyDescent="0.25">
      <c r="A632" s="3">
        <v>497</v>
      </c>
      <c r="B632" s="3" t="str">
        <f>_xlfn.XLOOKUP(A632,'Data Cleaning'!A632:A2101, 'Data Cleaning'!I632:I2101)</f>
        <v>25-34</v>
      </c>
      <c r="C632">
        <f>_xlfn.XLOOKUP(A632,'Data Cleaning'!A632:A2101,'Data Cleaning'!K632:K2101)</f>
        <v>0</v>
      </c>
      <c r="D632" t="str">
        <f>_xlfn.XLOOKUP(A632,'Data Cleaning'!A632:A2101, 'Data Cleaning'!D632:D2101)</f>
        <v>College</v>
      </c>
      <c r="E632" s="3" t="str">
        <f>_xlfn.XLOOKUP(A632,'Data Cleaning'!A632:A2101, 'Data Cleaning'!E632:E2101)</f>
        <v>Divorced</v>
      </c>
      <c r="F632" t="str">
        <f>_xlfn.XLOOKUP(A632,'Data Cleaning'!A632:A2101, 'Data Cleaning'!F632:F2101)</f>
        <v>Low</v>
      </c>
      <c r="G632" s="3" t="str">
        <f>_xlfn.XLOOKUP(A632,'Data Cleaning'!A632:A2101, 'Data Cleaning'!J632:J2101)</f>
        <v>Recently promoted</v>
      </c>
    </row>
    <row r="633" spans="1:7" x14ac:dyDescent="0.25">
      <c r="A633" s="3">
        <v>1782</v>
      </c>
      <c r="B633" s="3" t="str">
        <f>_xlfn.XLOOKUP(A633,'Data Cleaning'!A633:A2102, 'Data Cleaning'!I633:I2102)</f>
        <v>35-44</v>
      </c>
      <c r="C633">
        <f>_xlfn.XLOOKUP(A633,'Data Cleaning'!A633:A2102,'Data Cleaning'!K633:K2102)</f>
        <v>0</v>
      </c>
      <c r="D633" t="str">
        <f>_xlfn.XLOOKUP(A633,'Data Cleaning'!A633:A2102, 'Data Cleaning'!D633:D2102)</f>
        <v>College</v>
      </c>
      <c r="E633" s="3" t="str">
        <f>_xlfn.XLOOKUP(A633,'Data Cleaning'!A633:A2102, 'Data Cleaning'!E633:E2102)</f>
        <v>Married</v>
      </c>
      <c r="F633" t="str">
        <f>_xlfn.XLOOKUP(A633,'Data Cleaning'!A633:A2102, 'Data Cleaning'!F633:F2102)</f>
        <v>Low</v>
      </c>
      <c r="G633" s="3" t="str">
        <f>_xlfn.XLOOKUP(A633,'Data Cleaning'!A633:A2102, 'Data Cleaning'!J633:J2102)</f>
        <v>Recently promoted</v>
      </c>
    </row>
    <row r="634" spans="1:7" x14ac:dyDescent="0.25">
      <c r="A634" s="3">
        <v>1447</v>
      </c>
      <c r="B634" s="3" t="str">
        <f>_xlfn.XLOOKUP(A634,'Data Cleaning'!A634:A2103, 'Data Cleaning'!I634:I2103)</f>
        <v>25-34</v>
      </c>
      <c r="C634">
        <f>_xlfn.XLOOKUP(A634,'Data Cleaning'!A634:A2103,'Data Cleaning'!K634:K2103)</f>
        <v>0</v>
      </c>
      <c r="D634" t="str">
        <f>_xlfn.XLOOKUP(A634,'Data Cleaning'!A634:A2103, 'Data Cleaning'!D634:D2103)</f>
        <v>Bachelor</v>
      </c>
      <c r="E634" s="3" t="str">
        <f>_xlfn.XLOOKUP(A634,'Data Cleaning'!A634:A2103, 'Data Cleaning'!E634:E2103)</f>
        <v>Married</v>
      </c>
      <c r="F634" t="str">
        <f>_xlfn.XLOOKUP(A634,'Data Cleaning'!A634:A2103, 'Data Cleaning'!F634:F2103)</f>
        <v>Low</v>
      </c>
      <c r="G634" s="3" t="str">
        <f>_xlfn.XLOOKUP(A634,'Data Cleaning'!A634:A2103, 'Data Cleaning'!J634:J2103)</f>
        <v>Recently promoted</v>
      </c>
    </row>
    <row r="635" spans="1:7" x14ac:dyDescent="0.25">
      <c r="A635" s="3">
        <v>885</v>
      </c>
      <c r="B635" s="3" t="str">
        <f>_xlfn.XLOOKUP(A635,'Data Cleaning'!A635:A2104, 'Data Cleaning'!I635:I2104)</f>
        <v>25-34</v>
      </c>
      <c r="C635">
        <f>_xlfn.XLOOKUP(A635,'Data Cleaning'!A635:A2104,'Data Cleaning'!K635:K2104)</f>
        <v>0</v>
      </c>
      <c r="D635" t="str">
        <f>_xlfn.XLOOKUP(A635,'Data Cleaning'!A635:A2104, 'Data Cleaning'!D635:D2104)</f>
        <v>Below College</v>
      </c>
      <c r="E635" s="3" t="str">
        <f>_xlfn.XLOOKUP(A635,'Data Cleaning'!A635:A2104, 'Data Cleaning'!E635:E2104)</f>
        <v>Married</v>
      </c>
      <c r="F635" t="str">
        <f>_xlfn.XLOOKUP(A635,'Data Cleaning'!A635:A2104, 'Data Cleaning'!F635:F2104)</f>
        <v>None</v>
      </c>
      <c r="G635" s="3" t="str">
        <f>_xlfn.XLOOKUP(A635,'Data Cleaning'!A635:A2104, 'Data Cleaning'!J635:J2104)</f>
        <v>Recently promoted</v>
      </c>
    </row>
    <row r="636" spans="1:7" x14ac:dyDescent="0.25">
      <c r="A636" s="3">
        <v>1757</v>
      </c>
      <c r="B636" s="3" t="str">
        <f>_xlfn.XLOOKUP(A636,'Data Cleaning'!A636:A2105, 'Data Cleaning'!I636:I2105)</f>
        <v>45-54</v>
      </c>
      <c r="C636">
        <f>_xlfn.XLOOKUP(A636,'Data Cleaning'!A636:A2105,'Data Cleaning'!K636:K2105)</f>
        <v>0</v>
      </c>
      <c r="D636" t="str">
        <f>_xlfn.XLOOKUP(A636,'Data Cleaning'!A636:A2105, 'Data Cleaning'!D636:D2105)</f>
        <v>Master</v>
      </c>
      <c r="E636" s="3" t="str">
        <f>_xlfn.XLOOKUP(A636,'Data Cleaning'!A636:A2105, 'Data Cleaning'!E636:E2105)</f>
        <v>Single</v>
      </c>
      <c r="F636" t="str">
        <f>_xlfn.XLOOKUP(A636,'Data Cleaning'!A636:A2105, 'Data Cleaning'!F636:F2105)</f>
        <v>None</v>
      </c>
      <c r="G636" s="3" t="str">
        <f>_xlfn.XLOOKUP(A636,'Data Cleaning'!A636:A2105, 'Data Cleaning'!J636:J2105)</f>
        <v>Recently promoted</v>
      </c>
    </row>
    <row r="637" spans="1:7" x14ac:dyDescent="0.25">
      <c r="A637" s="3">
        <v>620</v>
      </c>
      <c r="B637" s="3" t="str">
        <f>_xlfn.XLOOKUP(A637,'Data Cleaning'!A637:A2106, 'Data Cleaning'!I637:I2106)</f>
        <v>35-44</v>
      </c>
      <c r="C637">
        <f>_xlfn.XLOOKUP(A637,'Data Cleaning'!A637:A2106,'Data Cleaning'!K637:K2106)</f>
        <v>0</v>
      </c>
      <c r="D637" t="str">
        <f>_xlfn.XLOOKUP(A637,'Data Cleaning'!A637:A2106, 'Data Cleaning'!D637:D2106)</f>
        <v>Bachelor</v>
      </c>
      <c r="E637" s="3" t="str">
        <f>_xlfn.XLOOKUP(A637,'Data Cleaning'!A637:A2106, 'Data Cleaning'!E637:E2106)</f>
        <v>Single</v>
      </c>
      <c r="F637" t="str">
        <f>_xlfn.XLOOKUP(A637,'Data Cleaning'!A637:A2106, 'Data Cleaning'!F637:F2106)</f>
        <v>None</v>
      </c>
      <c r="G637" s="3" t="str">
        <f>_xlfn.XLOOKUP(A637,'Data Cleaning'!A637:A2106, 'Data Cleaning'!J637:J2106)</f>
        <v>Recently promoted</v>
      </c>
    </row>
    <row r="638" spans="1:7" x14ac:dyDescent="0.25">
      <c r="A638" s="3">
        <v>574</v>
      </c>
      <c r="B638" s="3" t="str">
        <f>_xlfn.XLOOKUP(A638,'Data Cleaning'!A638:A2107, 'Data Cleaning'!I638:I2107)</f>
        <v>45-54</v>
      </c>
      <c r="C638">
        <f>_xlfn.XLOOKUP(A638,'Data Cleaning'!A638:A2107,'Data Cleaning'!K638:K2107)</f>
        <v>0</v>
      </c>
      <c r="D638" t="str">
        <f>_xlfn.XLOOKUP(A638,'Data Cleaning'!A638:A2107, 'Data Cleaning'!D638:D2107)</f>
        <v>College</v>
      </c>
      <c r="E638" s="3" t="str">
        <f>_xlfn.XLOOKUP(A638,'Data Cleaning'!A638:A2107, 'Data Cleaning'!E638:E2107)</f>
        <v>Divorced</v>
      </c>
      <c r="F638" t="str">
        <f>_xlfn.XLOOKUP(A638,'Data Cleaning'!A638:A2107, 'Data Cleaning'!F638:F2107)</f>
        <v>High</v>
      </c>
      <c r="G638" s="3" t="str">
        <f>_xlfn.XLOOKUP(A638,'Data Cleaning'!A638:A2107, 'Data Cleaning'!J638:J2107)</f>
        <v>Recently promoted</v>
      </c>
    </row>
    <row r="639" spans="1:7" x14ac:dyDescent="0.25">
      <c r="A639" s="3">
        <v>655</v>
      </c>
      <c r="B639" s="3" t="str">
        <f>_xlfn.XLOOKUP(A639,'Data Cleaning'!A639:A2108, 'Data Cleaning'!I639:I2108)</f>
        <v>25-34</v>
      </c>
      <c r="C639">
        <f>_xlfn.XLOOKUP(A639,'Data Cleaning'!A639:A2108,'Data Cleaning'!K639:K2108)</f>
        <v>0</v>
      </c>
      <c r="D639" t="str">
        <f>_xlfn.XLOOKUP(A639,'Data Cleaning'!A639:A2108, 'Data Cleaning'!D639:D2108)</f>
        <v>Master</v>
      </c>
      <c r="E639" s="3" t="str">
        <f>_xlfn.XLOOKUP(A639,'Data Cleaning'!A639:A2108, 'Data Cleaning'!E639:E2108)</f>
        <v>Divorced</v>
      </c>
      <c r="F639" t="str">
        <f>_xlfn.XLOOKUP(A639,'Data Cleaning'!A639:A2108, 'Data Cleaning'!F639:F2108)</f>
        <v>Mid</v>
      </c>
      <c r="G639" s="3" t="str">
        <f>_xlfn.XLOOKUP(A639,'Data Cleaning'!A639:A2108, 'Data Cleaning'!J639:J2108)</f>
        <v>Recently promoted</v>
      </c>
    </row>
    <row r="640" spans="1:7" x14ac:dyDescent="0.25">
      <c r="A640" s="3">
        <v>879</v>
      </c>
      <c r="B640" s="3" t="str">
        <f>_xlfn.XLOOKUP(A640,'Data Cleaning'!A640:A2109, 'Data Cleaning'!I640:I2109)</f>
        <v>25-34</v>
      </c>
      <c r="C640">
        <f>_xlfn.XLOOKUP(A640,'Data Cleaning'!A640:A2109,'Data Cleaning'!K640:K2109)</f>
        <v>0</v>
      </c>
      <c r="D640" t="str">
        <f>_xlfn.XLOOKUP(A640,'Data Cleaning'!A640:A2109, 'Data Cleaning'!D640:D2109)</f>
        <v>Below College</v>
      </c>
      <c r="E640" s="3" t="str">
        <f>_xlfn.XLOOKUP(A640,'Data Cleaning'!A640:A2109, 'Data Cleaning'!E640:E2109)</f>
        <v>Married</v>
      </c>
      <c r="F640" t="str">
        <f>_xlfn.XLOOKUP(A640,'Data Cleaning'!A640:A2109, 'Data Cleaning'!F640:F2109)</f>
        <v>None</v>
      </c>
      <c r="G640" s="3" t="str">
        <f>_xlfn.XLOOKUP(A640,'Data Cleaning'!A640:A2109, 'Data Cleaning'!J640:J2109)</f>
        <v>Recently promoted</v>
      </c>
    </row>
    <row r="641" spans="1:7" x14ac:dyDescent="0.25">
      <c r="A641" s="3">
        <v>1787</v>
      </c>
      <c r="B641" s="3" t="str">
        <f>_xlfn.XLOOKUP(A641,'Data Cleaning'!A641:A2110, 'Data Cleaning'!I641:I2110)</f>
        <v>35-44</v>
      </c>
      <c r="C641">
        <f>_xlfn.XLOOKUP(A641,'Data Cleaning'!A641:A2110,'Data Cleaning'!K641:K2110)</f>
        <v>0</v>
      </c>
      <c r="D641" t="str">
        <f>_xlfn.XLOOKUP(A641,'Data Cleaning'!A641:A2110, 'Data Cleaning'!D641:D2110)</f>
        <v>College</v>
      </c>
      <c r="E641" s="3" t="str">
        <f>_xlfn.XLOOKUP(A641,'Data Cleaning'!A641:A2110, 'Data Cleaning'!E641:E2110)</f>
        <v>Married</v>
      </c>
      <c r="F641" t="str">
        <f>_xlfn.XLOOKUP(A641,'Data Cleaning'!A641:A2110, 'Data Cleaning'!F641:F2110)</f>
        <v>Mid</v>
      </c>
      <c r="G641" s="3" t="str">
        <f>_xlfn.XLOOKUP(A641,'Data Cleaning'!A641:A2110, 'Data Cleaning'!J641:J2110)</f>
        <v>Recently promoted</v>
      </c>
    </row>
    <row r="642" spans="1:7" x14ac:dyDescent="0.25">
      <c r="A642" s="3">
        <v>526</v>
      </c>
      <c r="B642" s="3" t="str">
        <f>_xlfn.XLOOKUP(A642,'Data Cleaning'!A642:A2111, 'Data Cleaning'!I642:I2111)</f>
        <v>35-44</v>
      </c>
      <c r="C642">
        <f>_xlfn.XLOOKUP(A642,'Data Cleaning'!A642:A2111,'Data Cleaning'!K642:K2111)</f>
        <v>0</v>
      </c>
      <c r="D642" t="str">
        <f>_xlfn.XLOOKUP(A642,'Data Cleaning'!A642:A2111, 'Data Cleaning'!D642:D2111)</f>
        <v>Master</v>
      </c>
      <c r="E642" s="3" t="str">
        <f>_xlfn.XLOOKUP(A642,'Data Cleaning'!A642:A2111, 'Data Cleaning'!E642:E2111)</f>
        <v>Divorced</v>
      </c>
      <c r="F642" t="str">
        <f>_xlfn.XLOOKUP(A642,'Data Cleaning'!A642:A2111, 'Data Cleaning'!F642:F2111)</f>
        <v>None</v>
      </c>
      <c r="G642" s="3" t="str">
        <f>_xlfn.XLOOKUP(A642,'Data Cleaning'!A642:A2111, 'Data Cleaning'!J642:J2111)</f>
        <v>Recently promoted</v>
      </c>
    </row>
    <row r="643" spans="1:7" x14ac:dyDescent="0.25">
      <c r="A643" s="3">
        <v>1826</v>
      </c>
      <c r="B643" s="3" t="str">
        <f>_xlfn.XLOOKUP(A643,'Data Cleaning'!A643:A2112, 'Data Cleaning'!I643:I2112)</f>
        <v>35-44</v>
      </c>
      <c r="C643">
        <f>_xlfn.XLOOKUP(A643,'Data Cleaning'!A643:A2112,'Data Cleaning'!K643:K2112)</f>
        <v>0</v>
      </c>
      <c r="D643" t="str">
        <f>_xlfn.XLOOKUP(A643,'Data Cleaning'!A643:A2112, 'Data Cleaning'!D643:D2112)</f>
        <v>Master</v>
      </c>
      <c r="E643" s="3" t="str">
        <f>_xlfn.XLOOKUP(A643,'Data Cleaning'!A643:A2112, 'Data Cleaning'!E643:E2112)</f>
        <v>Married</v>
      </c>
      <c r="F643" t="str">
        <f>_xlfn.XLOOKUP(A643,'Data Cleaning'!A643:A2112, 'Data Cleaning'!F643:F2112)</f>
        <v>Low</v>
      </c>
      <c r="G643" s="3" t="str">
        <f>_xlfn.XLOOKUP(A643,'Data Cleaning'!A643:A2112, 'Data Cleaning'!J643:J2112)</f>
        <v>Recently promoted</v>
      </c>
    </row>
    <row r="644" spans="1:7" x14ac:dyDescent="0.25">
      <c r="A644" s="3">
        <v>1940</v>
      </c>
      <c r="B644" s="3" t="str">
        <f>_xlfn.XLOOKUP(A644,'Data Cleaning'!A644:A2113, 'Data Cleaning'!I644:I2113)</f>
        <v>35-44</v>
      </c>
      <c r="C644">
        <f>_xlfn.XLOOKUP(A644,'Data Cleaning'!A644:A2113,'Data Cleaning'!K644:K2113)</f>
        <v>0</v>
      </c>
      <c r="D644" t="str">
        <f>_xlfn.XLOOKUP(A644,'Data Cleaning'!A644:A2113, 'Data Cleaning'!D644:D2113)</f>
        <v>College</v>
      </c>
      <c r="E644" s="3" t="str">
        <f>_xlfn.XLOOKUP(A644,'Data Cleaning'!A644:A2113, 'Data Cleaning'!E644:E2113)</f>
        <v>Divorced</v>
      </c>
      <c r="F644" t="str">
        <f>_xlfn.XLOOKUP(A644,'Data Cleaning'!A644:A2113, 'Data Cleaning'!F644:F2113)</f>
        <v>Mid</v>
      </c>
      <c r="G644" s="3" t="str">
        <f>_xlfn.XLOOKUP(A644,'Data Cleaning'!A644:A2113, 'Data Cleaning'!J644:J2113)</f>
        <v>Recently promoted</v>
      </c>
    </row>
    <row r="645" spans="1:7" x14ac:dyDescent="0.25">
      <c r="A645" s="3">
        <v>1945</v>
      </c>
      <c r="B645" s="3" t="str">
        <f>_xlfn.XLOOKUP(A645,'Data Cleaning'!A645:A2114, 'Data Cleaning'!I645:I2114)</f>
        <v>35-44</v>
      </c>
      <c r="C645">
        <f>_xlfn.XLOOKUP(A645,'Data Cleaning'!A645:A2114,'Data Cleaning'!K645:K2114)</f>
        <v>0</v>
      </c>
      <c r="D645" t="str">
        <f>_xlfn.XLOOKUP(A645,'Data Cleaning'!A645:A2114, 'Data Cleaning'!D645:D2114)</f>
        <v>Master</v>
      </c>
      <c r="E645" s="3" t="str">
        <f>_xlfn.XLOOKUP(A645,'Data Cleaning'!A645:A2114, 'Data Cleaning'!E645:E2114)</f>
        <v>Married</v>
      </c>
      <c r="F645" t="str">
        <f>_xlfn.XLOOKUP(A645,'Data Cleaning'!A645:A2114, 'Data Cleaning'!F645:F2114)</f>
        <v>Low</v>
      </c>
      <c r="G645" s="3" t="str">
        <f>_xlfn.XLOOKUP(A645,'Data Cleaning'!A645:A2114, 'Data Cleaning'!J645:J2114)</f>
        <v>Recently promoted</v>
      </c>
    </row>
    <row r="646" spans="1:7" x14ac:dyDescent="0.25">
      <c r="A646" s="3">
        <v>2046</v>
      </c>
      <c r="B646" s="3" t="str">
        <f>_xlfn.XLOOKUP(A646,'Data Cleaning'!A646:A2115, 'Data Cleaning'!I646:I2115)</f>
        <v>45-54</v>
      </c>
      <c r="C646">
        <f>_xlfn.XLOOKUP(A646,'Data Cleaning'!A646:A2115,'Data Cleaning'!K646:K2115)</f>
        <v>0</v>
      </c>
      <c r="D646" t="str">
        <f>_xlfn.XLOOKUP(A646,'Data Cleaning'!A646:A2115, 'Data Cleaning'!D646:D2115)</f>
        <v>Bachelor</v>
      </c>
      <c r="E646" s="3" t="str">
        <f>_xlfn.XLOOKUP(A646,'Data Cleaning'!A646:A2115, 'Data Cleaning'!E646:E2115)</f>
        <v>Single</v>
      </c>
      <c r="F646" t="str">
        <f>_xlfn.XLOOKUP(A646,'Data Cleaning'!A646:A2115, 'Data Cleaning'!F646:F2115)</f>
        <v>None</v>
      </c>
      <c r="G646" s="3" t="str">
        <f>_xlfn.XLOOKUP(A646,'Data Cleaning'!A646:A2115, 'Data Cleaning'!J646:J2115)</f>
        <v>Recently promoted</v>
      </c>
    </row>
    <row r="647" spans="1:7" x14ac:dyDescent="0.25">
      <c r="A647" s="3">
        <v>996</v>
      </c>
      <c r="B647" s="3" t="str">
        <f>_xlfn.XLOOKUP(A647,'Data Cleaning'!A647:A2116, 'Data Cleaning'!I647:I2116)</f>
        <v>45-54</v>
      </c>
      <c r="C647">
        <f>_xlfn.XLOOKUP(A647,'Data Cleaning'!A647:A2116,'Data Cleaning'!K647:K2116)</f>
        <v>0</v>
      </c>
      <c r="D647" t="str">
        <f>_xlfn.XLOOKUP(A647,'Data Cleaning'!A647:A2116, 'Data Cleaning'!D647:D2116)</f>
        <v>Master</v>
      </c>
      <c r="E647" s="3" t="str">
        <f>_xlfn.XLOOKUP(A647,'Data Cleaning'!A647:A2116, 'Data Cleaning'!E647:E2116)</f>
        <v>Divorced</v>
      </c>
      <c r="F647" t="str">
        <f>_xlfn.XLOOKUP(A647,'Data Cleaning'!A647:A2116, 'Data Cleaning'!F647:F2116)</f>
        <v>Mid</v>
      </c>
      <c r="G647" s="3" t="str">
        <f>_xlfn.XLOOKUP(A647,'Data Cleaning'!A647:A2116, 'Data Cleaning'!J647:J2116)</f>
        <v>Recently promoted</v>
      </c>
    </row>
    <row r="648" spans="1:7" x14ac:dyDescent="0.25">
      <c r="A648" s="3">
        <v>1822</v>
      </c>
      <c r="B648" s="3" t="str">
        <f>_xlfn.XLOOKUP(A648,'Data Cleaning'!A648:A2117, 'Data Cleaning'!I648:I2117)</f>
        <v>35-44</v>
      </c>
      <c r="C648">
        <f>_xlfn.XLOOKUP(A648,'Data Cleaning'!A648:A2117,'Data Cleaning'!K648:K2117)</f>
        <v>0</v>
      </c>
      <c r="D648" t="str">
        <f>_xlfn.XLOOKUP(A648,'Data Cleaning'!A648:A2117, 'Data Cleaning'!D648:D2117)</f>
        <v>Bachelor</v>
      </c>
      <c r="E648" s="3" t="str">
        <f>_xlfn.XLOOKUP(A648,'Data Cleaning'!A648:A2117, 'Data Cleaning'!E648:E2117)</f>
        <v>Divorced</v>
      </c>
      <c r="F648" t="str">
        <f>_xlfn.XLOOKUP(A648,'Data Cleaning'!A648:A2117, 'Data Cleaning'!F648:F2117)</f>
        <v>Low</v>
      </c>
      <c r="G648" s="3" t="str">
        <f>_xlfn.XLOOKUP(A648,'Data Cleaning'!A648:A2117, 'Data Cleaning'!J648:J2117)</f>
        <v>Recently promoted</v>
      </c>
    </row>
    <row r="649" spans="1:7" x14ac:dyDescent="0.25">
      <c r="A649" s="3">
        <v>2037</v>
      </c>
      <c r="B649" s="3" t="str">
        <f>_xlfn.XLOOKUP(A649,'Data Cleaning'!A649:A2118, 'Data Cleaning'!I649:I2118)</f>
        <v>35-44</v>
      </c>
      <c r="C649">
        <f>_xlfn.XLOOKUP(A649,'Data Cleaning'!A649:A2118,'Data Cleaning'!K649:K2118)</f>
        <v>0</v>
      </c>
      <c r="D649" t="str">
        <f>_xlfn.XLOOKUP(A649,'Data Cleaning'!A649:A2118, 'Data Cleaning'!D649:D2118)</f>
        <v>Bachelor</v>
      </c>
      <c r="E649" s="3" t="str">
        <f>_xlfn.XLOOKUP(A649,'Data Cleaning'!A649:A2118, 'Data Cleaning'!E649:E2118)</f>
        <v>Divorced</v>
      </c>
      <c r="F649" t="str">
        <f>_xlfn.XLOOKUP(A649,'Data Cleaning'!A649:A2118, 'Data Cleaning'!F649:F2118)</f>
        <v>Low</v>
      </c>
      <c r="G649" s="3" t="str">
        <f>_xlfn.XLOOKUP(A649,'Data Cleaning'!A649:A2118, 'Data Cleaning'!J649:J2118)</f>
        <v>Recently promoted</v>
      </c>
    </row>
    <row r="650" spans="1:7" x14ac:dyDescent="0.25">
      <c r="A650" s="3">
        <v>859</v>
      </c>
      <c r="B650" s="3" t="str">
        <f>_xlfn.XLOOKUP(A650,'Data Cleaning'!A650:A2119, 'Data Cleaning'!I650:I2119)</f>
        <v>25-34</v>
      </c>
      <c r="C650">
        <f>_xlfn.XLOOKUP(A650,'Data Cleaning'!A650:A2119,'Data Cleaning'!K650:K2119)</f>
        <v>0</v>
      </c>
      <c r="D650" t="str">
        <f>_xlfn.XLOOKUP(A650,'Data Cleaning'!A650:A2119, 'Data Cleaning'!D650:D2119)</f>
        <v>Master</v>
      </c>
      <c r="E650" s="3" t="str">
        <f>_xlfn.XLOOKUP(A650,'Data Cleaning'!A650:A2119, 'Data Cleaning'!E650:E2119)</f>
        <v>Divorced</v>
      </c>
      <c r="F650" t="str">
        <f>_xlfn.XLOOKUP(A650,'Data Cleaning'!A650:A2119, 'Data Cleaning'!F650:F2119)</f>
        <v>Low</v>
      </c>
      <c r="G650" s="3" t="str">
        <f>_xlfn.XLOOKUP(A650,'Data Cleaning'!A650:A2119, 'Data Cleaning'!J650:J2119)</f>
        <v>Recently promoted</v>
      </c>
    </row>
    <row r="651" spans="1:7" x14ac:dyDescent="0.25">
      <c r="A651" s="3">
        <v>1954</v>
      </c>
      <c r="B651" s="3" t="str">
        <f>_xlfn.XLOOKUP(A651,'Data Cleaning'!A651:A2120, 'Data Cleaning'!I651:I2120)</f>
        <v>25-34</v>
      </c>
      <c r="C651">
        <f>_xlfn.XLOOKUP(A651,'Data Cleaning'!A651:A2120,'Data Cleaning'!K651:K2120)</f>
        <v>0</v>
      </c>
      <c r="D651" t="str">
        <f>_xlfn.XLOOKUP(A651,'Data Cleaning'!A651:A2120, 'Data Cleaning'!D651:D2120)</f>
        <v>Bachelor</v>
      </c>
      <c r="E651" s="3" t="str">
        <f>_xlfn.XLOOKUP(A651,'Data Cleaning'!A651:A2120, 'Data Cleaning'!E651:E2120)</f>
        <v>Married</v>
      </c>
      <c r="F651" t="str">
        <f>_xlfn.XLOOKUP(A651,'Data Cleaning'!A651:A2120, 'Data Cleaning'!F651:F2120)</f>
        <v>Low</v>
      </c>
      <c r="G651" s="3" t="str">
        <f>_xlfn.XLOOKUP(A651,'Data Cleaning'!A651:A2120, 'Data Cleaning'!J651:J2120)</f>
        <v>Recently promoted</v>
      </c>
    </row>
    <row r="652" spans="1:7" x14ac:dyDescent="0.25">
      <c r="A652" s="3">
        <v>869</v>
      </c>
      <c r="B652" s="3" t="str">
        <f>_xlfn.XLOOKUP(A652,'Data Cleaning'!A652:A2121, 'Data Cleaning'!I652:I2121)</f>
        <v>25-34</v>
      </c>
      <c r="C652">
        <f>_xlfn.XLOOKUP(A652,'Data Cleaning'!A652:A2121,'Data Cleaning'!K652:K2121)</f>
        <v>0</v>
      </c>
      <c r="D652" t="str">
        <f>_xlfn.XLOOKUP(A652,'Data Cleaning'!A652:A2121, 'Data Cleaning'!D652:D2121)</f>
        <v>College</v>
      </c>
      <c r="E652" s="3" t="str">
        <f>_xlfn.XLOOKUP(A652,'Data Cleaning'!A652:A2121, 'Data Cleaning'!E652:E2121)</f>
        <v>Divorced</v>
      </c>
      <c r="F652" t="str">
        <f>_xlfn.XLOOKUP(A652,'Data Cleaning'!A652:A2121, 'Data Cleaning'!F652:F2121)</f>
        <v>Low</v>
      </c>
      <c r="G652" s="3" t="str">
        <f>_xlfn.XLOOKUP(A652,'Data Cleaning'!A652:A2121, 'Data Cleaning'!J652:J2121)</f>
        <v>Recently promoted</v>
      </c>
    </row>
    <row r="653" spans="1:7" x14ac:dyDescent="0.25">
      <c r="A653" s="3">
        <v>864</v>
      </c>
      <c r="B653" s="3" t="str">
        <f>_xlfn.XLOOKUP(A653,'Data Cleaning'!A653:A2122, 'Data Cleaning'!I653:I2122)</f>
        <v>45-54</v>
      </c>
      <c r="C653">
        <f>_xlfn.XLOOKUP(A653,'Data Cleaning'!A653:A2122,'Data Cleaning'!K653:K2122)</f>
        <v>0</v>
      </c>
      <c r="D653" t="str">
        <f>_xlfn.XLOOKUP(A653,'Data Cleaning'!A653:A2122, 'Data Cleaning'!D653:D2122)</f>
        <v>Bachelor</v>
      </c>
      <c r="E653" s="3" t="str">
        <f>_xlfn.XLOOKUP(A653,'Data Cleaning'!A653:A2122, 'Data Cleaning'!E653:E2122)</f>
        <v>Divorced</v>
      </c>
      <c r="F653" t="str">
        <f>_xlfn.XLOOKUP(A653,'Data Cleaning'!A653:A2122, 'Data Cleaning'!F653:F2122)</f>
        <v>Low</v>
      </c>
      <c r="G653" s="3" t="str">
        <f>_xlfn.XLOOKUP(A653,'Data Cleaning'!A653:A2122, 'Data Cleaning'!J653:J2122)</f>
        <v>Recently promoted</v>
      </c>
    </row>
    <row r="654" spans="1:7" x14ac:dyDescent="0.25">
      <c r="A654" s="3">
        <v>84</v>
      </c>
      <c r="B654" s="3" t="str">
        <f>_xlfn.XLOOKUP(A654,'Data Cleaning'!A654:A2123, 'Data Cleaning'!I654:I2123)</f>
        <v>55-60</v>
      </c>
      <c r="C654">
        <f>_xlfn.XLOOKUP(A654,'Data Cleaning'!A654:A2123,'Data Cleaning'!K654:K2123)</f>
        <v>0</v>
      </c>
      <c r="D654" t="str">
        <f>_xlfn.XLOOKUP(A654,'Data Cleaning'!A654:A2123, 'Data Cleaning'!D654:D2123)</f>
        <v>Bachelor</v>
      </c>
      <c r="E654" s="3" t="str">
        <f>_xlfn.XLOOKUP(A654,'Data Cleaning'!A654:A2123, 'Data Cleaning'!E654:E2123)</f>
        <v>Divorced</v>
      </c>
      <c r="F654" t="str">
        <f>_xlfn.XLOOKUP(A654,'Data Cleaning'!A654:A2123, 'Data Cleaning'!F654:F2123)</f>
        <v>High</v>
      </c>
      <c r="G654" s="3" t="str">
        <f>_xlfn.XLOOKUP(A654,'Data Cleaning'!A654:A2123, 'Data Cleaning'!J654:J2123)</f>
        <v>Recently promoted</v>
      </c>
    </row>
    <row r="655" spans="1:7" x14ac:dyDescent="0.25">
      <c r="A655" s="3">
        <v>1136</v>
      </c>
      <c r="B655" s="3" t="str">
        <f>_xlfn.XLOOKUP(A655,'Data Cleaning'!A655:A2124, 'Data Cleaning'!I655:I2124)</f>
        <v>25-34</v>
      </c>
      <c r="C655">
        <f>_xlfn.XLOOKUP(A655,'Data Cleaning'!A655:A2124,'Data Cleaning'!K655:K2124)</f>
        <v>0</v>
      </c>
      <c r="D655" t="str">
        <f>_xlfn.XLOOKUP(A655,'Data Cleaning'!A655:A2124, 'Data Cleaning'!D655:D2124)</f>
        <v>Below College</v>
      </c>
      <c r="E655" s="3" t="str">
        <f>_xlfn.XLOOKUP(A655,'Data Cleaning'!A655:A2124, 'Data Cleaning'!E655:E2124)</f>
        <v>Married</v>
      </c>
      <c r="F655" t="str">
        <f>_xlfn.XLOOKUP(A655,'Data Cleaning'!A655:A2124, 'Data Cleaning'!F655:F2124)</f>
        <v>None</v>
      </c>
      <c r="G655" s="3" t="str">
        <f>_xlfn.XLOOKUP(A655,'Data Cleaning'!A655:A2124, 'Data Cleaning'!J655:J2124)</f>
        <v>Recently promoted</v>
      </c>
    </row>
    <row r="656" spans="1:7" x14ac:dyDescent="0.25">
      <c r="A656" s="3">
        <v>14</v>
      </c>
      <c r="B656" s="3" t="str">
        <f>_xlfn.XLOOKUP(A656,'Data Cleaning'!A656:A2125, 'Data Cleaning'!I656:I2125)</f>
        <v>35-44</v>
      </c>
      <c r="C656">
        <f>_xlfn.XLOOKUP(A656,'Data Cleaning'!A656:A2125,'Data Cleaning'!K656:K2125)</f>
        <v>0</v>
      </c>
      <c r="D656" t="str">
        <f>_xlfn.XLOOKUP(A656,'Data Cleaning'!A656:A2125, 'Data Cleaning'!D656:D2125)</f>
        <v>Bachelor</v>
      </c>
      <c r="E656" s="3" t="str">
        <f>_xlfn.XLOOKUP(A656,'Data Cleaning'!A656:A2125, 'Data Cleaning'!E656:E2125)</f>
        <v>Married</v>
      </c>
      <c r="F656" t="str">
        <f>_xlfn.XLOOKUP(A656,'Data Cleaning'!A656:A2125, 'Data Cleaning'!F656:F2125)</f>
        <v>Low</v>
      </c>
      <c r="G656" s="3" t="str">
        <f>_xlfn.XLOOKUP(A656,'Data Cleaning'!A656:A2125, 'Data Cleaning'!J656:J2125)</f>
        <v>Recently promoted</v>
      </c>
    </row>
    <row r="657" spans="1:7" x14ac:dyDescent="0.25">
      <c r="A657" s="3">
        <v>543</v>
      </c>
      <c r="B657" s="3" t="str">
        <f>_xlfn.XLOOKUP(A657,'Data Cleaning'!A657:A2126, 'Data Cleaning'!I657:I2126)</f>
        <v>45-54</v>
      </c>
      <c r="C657">
        <f>_xlfn.XLOOKUP(A657,'Data Cleaning'!A657:A2126,'Data Cleaning'!K657:K2126)</f>
        <v>0</v>
      </c>
      <c r="D657" t="str">
        <f>_xlfn.XLOOKUP(A657,'Data Cleaning'!A657:A2126, 'Data Cleaning'!D657:D2126)</f>
        <v>Bachelor</v>
      </c>
      <c r="E657" s="3" t="str">
        <f>_xlfn.XLOOKUP(A657,'Data Cleaning'!A657:A2126, 'Data Cleaning'!E657:E2126)</f>
        <v>Married</v>
      </c>
      <c r="F657" t="str">
        <f>_xlfn.XLOOKUP(A657,'Data Cleaning'!A657:A2126, 'Data Cleaning'!F657:F2126)</f>
        <v>None</v>
      </c>
      <c r="G657" s="3" t="str">
        <f>_xlfn.XLOOKUP(A657,'Data Cleaning'!A657:A2126, 'Data Cleaning'!J657:J2126)</f>
        <v>Recently promoted</v>
      </c>
    </row>
    <row r="658" spans="1:7" x14ac:dyDescent="0.25">
      <c r="A658" s="3">
        <v>221</v>
      </c>
      <c r="B658" s="3" t="str">
        <f>_xlfn.XLOOKUP(A658,'Data Cleaning'!A658:A2127, 'Data Cleaning'!I658:I2127)</f>
        <v>25-34</v>
      </c>
      <c r="C658">
        <f>_xlfn.XLOOKUP(A658,'Data Cleaning'!A658:A2127,'Data Cleaning'!K658:K2127)</f>
        <v>0</v>
      </c>
      <c r="D658" t="str">
        <f>_xlfn.XLOOKUP(A658,'Data Cleaning'!A658:A2127, 'Data Cleaning'!D658:D2127)</f>
        <v>Bachelor</v>
      </c>
      <c r="E658" s="3" t="str">
        <f>_xlfn.XLOOKUP(A658,'Data Cleaning'!A658:A2127, 'Data Cleaning'!E658:E2127)</f>
        <v>Married</v>
      </c>
      <c r="F658" t="str">
        <f>_xlfn.XLOOKUP(A658,'Data Cleaning'!A658:A2127, 'Data Cleaning'!F658:F2127)</f>
        <v>Low</v>
      </c>
      <c r="G658" s="3" t="str">
        <f>_xlfn.XLOOKUP(A658,'Data Cleaning'!A658:A2127, 'Data Cleaning'!J658:J2127)</f>
        <v>Recently promoted</v>
      </c>
    </row>
    <row r="659" spans="1:7" x14ac:dyDescent="0.25">
      <c r="A659" s="3">
        <v>1445</v>
      </c>
      <c r="B659" s="3" t="str">
        <f>_xlfn.XLOOKUP(A659,'Data Cleaning'!A659:A2128, 'Data Cleaning'!I659:I2128)</f>
        <v>18-24</v>
      </c>
      <c r="C659">
        <f>_xlfn.XLOOKUP(A659,'Data Cleaning'!A659:A2128,'Data Cleaning'!K659:K2128)</f>
        <v>0</v>
      </c>
      <c r="D659" t="str">
        <f>_xlfn.XLOOKUP(A659,'Data Cleaning'!A659:A2128, 'Data Cleaning'!D659:D2128)</f>
        <v>Below College</v>
      </c>
      <c r="E659" s="3" t="str">
        <f>_xlfn.XLOOKUP(A659,'Data Cleaning'!A659:A2128, 'Data Cleaning'!E659:E2128)</f>
        <v>Married</v>
      </c>
      <c r="F659" t="str">
        <f>_xlfn.XLOOKUP(A659,'Data Cleaning'!A659:A2128, 'Data Cleaning'!F659:F2128)</f>
        <v>Mid</v>
      </c>
      <c r="G659" s="3" t="str">
        <f>_xlfn.XLOOKUP(A659,'Data Cleaning'!A659:A2128, 'Data Cleaning'!J659:J2128)</f>
        <v>Recently promoted</v>
      </c>
    </row>
    <row r="660" spans="1:7" x14ac:dyDescent="0.25">
      <c r="A660" s="3">
        <v>1749</v>
      </c>
      <c r="B660" s="3" t="str">
        <f>_xlfn.XLOOKUP(A660,'Data Cleaning'!A660:A2129, 'Data Cleaning'!I660:I2129)</f>
        <v>25-34</v>
      </c>
      <c r="C660">
        <f>_xlfn.XLOOKUP(A660,'Data Cleaning'!A660:A2129,'Data Cleaning'!K660:K2129)</f>
        <v>0</v>
      </c>
      <c r="D660" t="str">
        <f>_xlfn.XLOOKUP(A660,'Data Cleaning'!A660:A2129, 'Data Cleaning'!D660:D2129)</f>
        <v>Bachelor</v>
      </c>
      <c r="E660" s="3" t="str">
        <f>_xlfn.XLOOKUP(A660,'Data Cleaning'!A660:A2129, 'Data Cleaning'!E660:E2129)</f>
        <v>Married</v>
      </c>
      <c r="F660" t="str">
        <f>_xlfn.XLOOKUP(A660,'Data Cleaning'!A660:A2129, 'Data Cleaning'!F660:F2129)</f>
        <v>Low</v>
      </c>
      <c r="G660" s="3" t="str">
        <f>_xlfn.XLOOKUP(A660,'Data Cleaning'!A660:A2129, 'Data Cleaning'!J660:J2129)</f>
        <v>Recently promoted</v>
      </c>
    </row>
    <row r="661" spans="1:7" x14ac:dyDescent="0.25">
      <c r="A661" s="3">
        <v>1425</v>
      </c>
      <c r="B661" s="3" t="str">
        <f>_xlfn.XLOOKUP(A661,'Data Cleaning'!A661:A2130, 'Data Cleaning'!I661:I2130)</f>
        <v>35-44</v>
      </c>
      <c r="C661">
        <f>_xlfn.XLOOKUP(A661,'Data Cleaning'!A661:A2130,'Data Cleaning'!K661:K2130)</f>
        <v>0</v>
      </c>
      <c r="D661" t="str">
        <f>_xlfn.XLOOKUP(A661,'Data Cleaning'!A661:A2130, 'Data Cleaning'!D661:D2130)</f>
        <v>Master</v>
      </c>
      <c r="E661" s="3" t="str">
        <f>_xlfn.XLOOKUP(A661,'Data Cleaning'!A661:A2130, 'Data Cleaning'!E661:E2130)</f>
        <v>Single</v>
      </c>
      <c r="F661" t="str">
        <f>_xlfn.XLOOKUP(A661,'Data Cleaning'!A661:A2130, 'Data Cleaning'!F661:F2130)</f>
        <v>None</v>
      </c>
      <c r="G661" s="3" t="str">
        <f>_xlfn.XLOOKUP(A661,'Data Cleaning'!A661:A2130, 'Data Cleaning'!J661:J2130)</f>
        <v>Recently promoted</v>
      </c>
    </row>
    <row r="662" spans="1:7" x14ac:dyDescent="0.25">
      <c r="A662" s="3">
        <v>437</v>
      </c>
      <c r="B662" s="3" t="str">
        <f>_xlfn.XLOOKUP(A662,'Data Cleaning'!A662:A2131, 'Data Cleaning'!I662:I2131)</f>
        <v>25-34</v>
      </c>
      <c r="C662">
        <f>_xlfn.XLOOKUP(A662,'Data Cleaning'!A662:A2131,'Data Cleaning'!K662:K2131)</f>
        <v>0</v>
      </c>
      <c r="D662" t="str">
        <f>_xlfn.XLOOKUP(A662,'Data Cleaning'!A662:A2131, 'Data Cleaning'!D662:D2131)</f>
        <v>Bachelor</v>
      </c>
      <c r="E662" s="3" t="str">
        <f>_xlfn.XLOOKUP(A662,'Data Cleaning'!A662:A2131, 'Data Cleaning'!E662:E2131)</f>
        <v>Single</v>
      </c>
      <c r="F662" t="str">
        <f>_xlfn.XLOOKUP(A662,'Data Cleaning'!A662:A2131, 'Data Cleaning'!F662:F2131)</f>
        <v>None</v>
      </c>
      <c r="G662" s="3" t="str">
        <f>_xlfn.XLOOKUP(A662,'Data Cleaning'!A662:A2131, 'Data Cleaning'!J662:J2131)</f>
        <v>Recently promoted</v>
      </c>
    </row>
    <row r="663" spans="1:7" x14ac:dyDescent="0.25">
      <c r="A663" s="3">
        <v>1707</v>
      </c>
      <c r="B663" s="3" t="str">
        <f>_xlfn.XLOOKUP(A663,'Data Cleaning'!A663:A2132, 'Data Cleaning'!I663:I2132)</f>
        <v>18-24</v>
      </c>
      <c r="C663">
        <f>_xlfn.XLOOKUP(A663,'Data Cleaning'!A663:A2132,'Data Cleaning'!K663:K2132)</f>
        <v>0</v>
      </c>
      <c r="D663" t="str">
        <f>_xlfn.XLOOKUP(A663,'Data Cleaning'!A663:A2132, 'Data Cleaning'!D663:D2132)</f>
        <v>Bachelor</v>
      </c>
      <c r="E663" s="3" t="str">
        <f>_xlfn.XLOOKUP(A663,'Data Cleaning'!A663:A2132, 'Data Cleaning'!E663:E2132)</f>
        <v>Married</v>
      </c>
      <c r="F663" t="str">
        <f>_xlfn.XLOOKUP(A663,'Data Cleaning'!A663:A2132, 'Data Cleaning'!F663:F2132)</f>
        <v>Low</v>
      </c>
      <c r="G663" s="3" t="str">
        <f>_xlfn.XLOOKUP(A663,'Data Cleaning'!A663:A2132, 'Data Cleaning'!J663:J2132)</f>
        <v>Recently promoted</v>
      </c>
    </row>
    <row r="664" spans="1:7" x14ac:dyDescent="0.25">
      <c r="A664" s="3">
        <v>2054</v>
      </c>
      <c r="B664" s="3" t="str">
        <f>_xlfn.XLOOKUP(A664,'Data Cleaning'!A664:A2133, 'Data Cleaning'!I664:I2133)</f>
        <v>25-34</v>
      </c>
      <c r="C664">
        <f>_xlfn.XLOOKUP(A664,'Data Cleaning'!A664:A2133,'Data Cleaning'!K664:K2133)</f>
        <v>0</v>
      </c>
      <c r="D664" t="str">
        <f>_xlfn.XLOOKUP(A664,'Data Cleaning'!A664:A2133, 'Data Cleaning'!D664:D2133)</f>
        <v>Master</v>
      </c>
      <c r="E664" s="3" t="str">
        <f>_xlfn.XLOOKUP(A664,'Data Cleaning'!A664:A2133, 'Data Cleaning'!E664:E2133)</f>
        <v>Single</v>
      </c>
      <c r="F664" t="str">
        <f>_xlfn.XLOOKUP(A664,'Data Cleaning'!A664:A2133, 'Data Cleaning'!F664:F2133)</f>
        <v>None</v>
      </c>
      <c r="G664" s="3" t="str">
        <f>_xlfn.XLOOKUP(A664,'Data Cleaning'!A664:A2133, 'Data Cleaning'!J664:J2133)</f>
        <v>Recently promoted</v>
      </c>
    </row>
    <row r="665" spans="1:7" x14ac:dyDescent="0.25">
      <c r="A665" s="3">
        <v>758</v>
      </c>
      <c r="B665" s="3" t="str">
        <f>_xlfn.XLOOKUP(A665,'Data Cleaning'!A665:A2134, 'Data Cleaning'!I665:I2134)</f>
        <v>18-24</v>
      </c>
      <c r="C665">
        <f>_xlfn.XLOOKUP(A665,'Data Cleaning'!A665:A2134,'Data Cleaning'!K665:K2134)</f>
        <v>0</v>
      </c>
      <c r="D665" t="str">
        <f>_xlfn.XLOOKUP(A665,'Data Cleaning'!A665:A2134, 'Data Cleaning'!D665:D2134)</f>
        <v>Below College</v>
      </c>
      <c r="E665" s="3" t="str">
        <f>_xlfn.XLOOKUP(A665,'Data Cleaning'!A665:A2134, 'Data Cleaning'!E665:E2134)</f>
        <v>Married</v>
      </c>
      <c r="F665" t="str">
        <f>_xlfn.XLOOKUP(A665,'Data Cleaning'!A665:A2134, 'Data Cleaning'!F665:F2134)</f>
        <v>Low</v>
      </c>
      <c r="G665" s="3" t="str">
        <f>_xlfn.XLOOKUP(A665,'Data Cleaning'!A665:A2134, 'Data Cleaning'!J665:J2134)</f>
        <v>Recently promoted</v>
      </c>
    </row>
    <row r="666" spans="1:7" x14ac:dyDescent="0.25">
      <c r="A666" s="3">
        <v>1448</v>
      </c>
      <c r="B666" s="3" t="str">
        <f>_xlfn.XLOOKUP(A666,'Data Cleaning'!A666:A2135, 'Data Cleaning'!I666:I2135)</f>
        <v>35-44</v>
      </c>
      <c r="C666">
        <f>_xlfn.XLOOKUP(A666,'Data Cleaning'!A666:A2135,'Data Cleaning'!K666:K2135)</f>
        <v>0</v>
      </c>
      <c r="D666" t="str">
        <f>_xlfn.XLOOKUP(A666,'Data Cleaning'!A666:A2135, 'Data Cleaning'!D666:D2135)</f>
        <v>Doctor</v>
      </c>
      <c r="E666" s="3" t="str">
        <f>_xlfn.XLOOKUP(A666,'Data Cleaning'!A666:A2135, 'Data Cleaning'!E666:E2135)</f>
        <v>Married</v>
      </c>
      <c r="F666" t="str">
        <f>_xlfn.XLOOKUP(A666,'Data Cleaning'!A666:A2135, 'Data Cleaning'!F666:F2135)</f>
        <v>None</v>
      </c>
      <c r="G666" s="3" t="str">
        <f>_xlfn.XLOOKUP(A666,'Data Cleaning'!A666:A2135, 'Data Cleaning'!J666:J2135)</f>
        <v>Recently promoted</v>
      </c>
    </row>
    <row r="667" spans="1:7" x14ac:dyDescent="0.25">
      <c r="A667" s="3">
        <v>887</v>
      </c>
      <c r="B667" s="3" t="str">
        <f>_xlfn.XLOOKUP(A667,'Data Cleaning'!A667:A2136, 'Data Cleaning'!I667:I2136)</f>
        <v>45-54</v>
      </c>
      <c r="C667">
        <f>_xlfn.XLOOKUP(A667,'Data Cleaning'!A667:A2136,'Data Cleaning'!K667:K2136)</f>
        <v>0</v>
      </c>
      <c r="D667" t="str">
        <f>_xlfn.XLOOKUP(A667,'Data Cleaning'!A667:A2136, 'Data Cleaning'!D667:D2136)</f>
        <v>Bachelor</v>
      </c>
      <c r="E667" s="3" t="str">
        <f>_xlfn.XLOOKUP(A667,'Data Cleaning'!A667:A2136, 'Data Cleaning'!E667:E2136)</f>
        <v>Married</v>
      </c>
      <c r="F667" t="str">
        <f>_xlfn.XLOOKUP(A667,'Data Cleaning'!A667:A2136, 'Data Cleaning'!F667:F2136)</f>
        <v>Low</v>
      </c>
      <c r="G667" s="3" t="str">
        <f>_xlfn.XLOOKUP(A667,'Data Cleaning'!A667:A2136, 'Data Cleaning'!J667:J2136)</f>
        <v>Recently promoted</v>
      </c>
    </row>
    <row r="668" spans="1:7" x14ac:dyDescent="0.25">
      <c r="A668" s="3">
        <v>1446</v>
      </c>
      <c r="B668" s="3" t="str">
        <f>_xlfn.XLOOKUP(A668,'Data Cleaning'!A668:A2137, 'Data Cleaning'!I668:I2137)</f>
        <v>25-34</v>
      </c>
      <c r="C668">
        <f>_xlfn.XLOOKUP(A668,'Data Cleaning'!A668:A2137,'Data Cleaning'!K668:K2137)</f>
        <v>0</v>
      </c>
      <c r="D668" t="str">
        <f>_xlfn.XLOOKUP(A668,'Data Cleaning'!A668:A2137, 'Data Cleaning'!D668:D2137)</f>
        <v>Doctor</v>
      </c>
      <c r="E668" s="3" t="str">
        <f>_xlfn.XLOOKUP(A668,'Data Cleaning'!A668:A2137, 'Data Cleaning'!E668:E2137)</f>
        <v>Married</v>
      </c>
      <c r="F668" t="str">
        <f>_xlfn.XLOOKUP(A668,'Data Cleaning'!A668:A2137, 'Data Cleaning'!F668:F2137)</f>
        <v>Low</v>
      </c>
      <c r="G668" s="3" t="str">
        <f>_xlfn.XLOOKUP(A668,'Data Cleaning'!A668:A2137, 'Data Cleaning'!J668:J2137)</f>
        <v>Recently promoted</v>
      </c>
    </row>
    <row r="669" spans="1:7" x14ac:dyDescent="0.25">
      <c r="A669" s="3">
        <v>912</v>
      </c>
      <c r="B669" s="3" t="str">
        <f>_xlfn.XLOOKUP(A669,'Data Cleaning'!A669:A2138, 'Data Cleaning'!I669:I2138)</f>
        <v>25-34</v>
      </c>
      <c r="C669">
        <f>_xlfn.XLOOKUP(A669,'Data Cleaning'!A669:A2138,'Data Cleaning'!K669:K2138)</f>
        <v>0</v>
      </c>
      <c r="D669" t="str">
        <f>_xlfn.XLOOKUP(A669,'Data Cleaning'!A669:A2138, 'Data Cleaning'!D669:D2138)</f>
        <v>Below College</v>
      </c>
      <c r="E669" s="3" t="str">
        <f>_xlfn.XLOOKUP(A669,'Data Cleaning'!A669:A2138, 'Data Cleaning'!E669:E2138)</f>
        <v>Divorced</v>
      </c>
      <c r="F669" t="str">
        <f>_xlfn.XLOOKUP(A669,'Data Cleaning'!A669:A2138, 'Data Cleaning'!F669:F2138)</f>
        <v>High</v>
      </c>
      <c r="G669" s="3" t="str">
        <f>_xlfn.XLOOKUP(A669,'Data Cleaning'!A669:A2138, 'Data Cleaning'!J669:J2138)</f>
        <v>Recently promoted</v>
      </c>
    </row>
    <row r="670" spans="1:7" x14ac:dyDescent="0.25">
      <c r="A670" s="3">
        <v>916</v>
      </c>
      <c r="B670" s="3" t="str">
        <f>_xlfn.XLOOKUP(A670,'Data Cleaning'!A670:A2139, 'Data Cleaning'!I670:I2139)</f>
        <v>25-34</v>
      </c>
      <c r="C670">
        <f>_xlfn.XLOOKUP(A670,'Data Cleaning'!A670:A2139,'Data Cleaning'!K670:K2139)</f>
        <v>0</v>
      </c>
      <c r="D670" t="str">
        <f>_xlfn.XLOOKUP(A670,'Data Cleaning'!A670:A2139, 'Data Cleaning'!D670:D2139)</f>
        <v>Master</v>
      </c>
      <c r="E670" s="3" t="str">
        <f>_xlfn.XLOOKUP(A670,'Data Cleaning'!A670:A2139, 'Data Cleaning'!E670:E2139)</f>
        <v>Single</v>
      </c>
      <c r="F670" t="str">
        <f>_xlfn.XLOOKUP(A670,'Data Cleaning'!A670:A2139, 'Data Cleaning'!F670:F2139)</f>
        <v>None</v>
      </c>
      <c r="G670" s="3" t="str">
        <f>_xlfn.XLOOKUP(A670,'Data Cleaning'!A670:A2139, 'Data Cleaning'!J670:J2139)</f>
        <v>Recently promoted</v>
      </c>
    </row>
    <row r="671" spans="1:7" x14ac:dyDescent="0.25">
      <c r="A671" s="3">
        <v>1739</v>
      </c>
      <c r="B671" s="3" t="str">
        <f>_xlfn.XLOOKUP(A671,'Data Cleaning'!A671:A2140, 'Data Cleaning'!I671:I2140)</f>
        <v>25-34</v>
      </c>
      <c r="C671">
        <f>_xlfn.XLOOKUP(A671,'Data Cleaning'!A671:A2140,'Data Cleaning'!K671:K2140)</f>
        <v>0</v>
      </c>
      <c r="D671" t="str">
        <f>_xlfn.XLOOKUP(A671,'Data Cleaning'!A671:A2140, 'Data Cleaning'!D671:D2140)</f>
        <v>Bachelor</v>
      </c>
      <c r="E671" s="3" t="str">
        <f>_xlfn.XLOOKUP(A671,'Data Cleaning'!A671:A2140, 'Data Cleaning'!E671:E2140)</f>
        <v>Married</v>
      </c>
      <c r="F671" t="str">
        <f>_xlfn.XLOOKUP(A671,'Data Cleaning'!A671:A2140, 'Data Cleaning'!F671:F2140)</f>
        <v>Low</v>
      </c>
      <c r="G671" s="3" t="str">
        <f>_xlfn.XLOOKUP(A671,'Data Cleaning'!A671:A2140, 'Data Cleaning'!J671:J2140)</f>
        <v>Recently promoted</v>
      </c>
    </row>
    <row r="672" spans="1:7" x14ac:dyDescent="0.25">
      <c r="A672" s="3">
        <v>465</v>
      </c>
      <c r="B672" s="3" t="str">
        <f>_xlfn.XLOOKUP(A672,'Data Cleaning'!A672:A2141, 'Data Cleaning'!I672:I2141)</f>
        <v>18-24</v>
      </c>
      <c r="C672">
        <f>_xlfn.XLOOKUP(A672,'Data Cleaning'!A672:A2141,'Data Cleaning'!K672:K2141)</f>
        <v>0</v>
      </c>
      <c r="D672" t="str">
        <f>_xlfn.XLOOKUP(A672,'Data Cleaning'!A672:A2141, 'Data Cleaning'!D672:D2141)</f>
        <v>Below College</v>
      </c>
      <c r="E672" s="3" t="str">
        <f>_xlfn.XLOOKUP(A672,'Data Cleaning'!A672:A2141, 'Data Cleaning'!E672:E2141)</f>
        <v>Divorced</v>
      </c>
      <c r="F672" t="str">
        <f>_xlfn.XLOOKUP(A672,'Data Cleaning'!A672:A2141, 'Data Cleaning'!F672:F2141)</f>
        <v>Mid</v>
      </c>
      <c r="G672" s="3" t="str">
        <f>_xlfn.XLOOKUP(A672,'Data Cleaning'!A672:A2141, 'Data Cleaning'!J672:J2141)</f>
        <v>Recently promoted</v>
      </c>
    </row>
    <row r="673" spans="1:7" x14ac:dyDescent="0.25">
      <c r="A673" s="3">
        <v>854</v>
      </c>
      <c r="B673" s="3" t="str">
        <f>_xlfn.XLOOKUP(A673,'Data Cleaning'!A673:A2142, 'Data Cleaning'!I673:I2142)</f>
        <v>25-34</v>
      </c>
      <c r="C673">
        <f>_xlfn.XLOOKUP(A673,'Data Cleaning'!A673:A2142,'Data Cleaning'!K673:K2142)</f>
        <v>0</v>
      </c>
      <c r="D673" t="str">
        <f>_xlfn.XLOOKUP(A673,'Data Cleaning'!A673:A2142, 'Data Cleaning'!D673:D2142)</f>
        <v>Below College</v>
      </c>
      <c r="E673" s="3" t="str">
        <f>_xlfn.XLOOKUP(A673,'Data Cleaning'!A673:A2142, 'Data Cleaning'!E673:E2142)</f>
        <v>Single</v>
      </c>
      <c r="F673" t="str">
        <f>_xlfn.XLOOKUP(A673,'Data Cleaning'!A673:A2142, 'Data Cleaning'!F673:F2142)</f>
        <v>None</v>
      </c>
      <c r="G673" s="3" t="str">
        <f>_xlfn.XLOOKUP(A673,'Data Cleaning'!A673:A2142, 'Data Cleaning'!J673:J2142)</f>
        <v>Recently promoted</v>
      </c>
    </row>
    <row r="674" spans="1:7" x14ac:dyDescent="0.25">
      <c r="A674" s="3">
        <v>815</v>
      </c>
      <c r="B674" s="3" t="str">
        <f>_xlfn.XLOOKUP(A674,'Data Cleaning'!A674:A2143, 'Data Cleaning'!I674:I2143)</f>
        <v>45-54</v>
      </c>
      <c r="C674">
        <f>_xlfn.XLOOKUP(A674,'Data Cleaning'!A674:A2143,'Data Cleaning'!K674:K2143)</f>
        <v>0</v>
      </c>
      <c r="D674" t="str">
        <f>_xlfn.XLOOKUP(A674,'Data Cleaning'!A674:A2143, 'Data Cleaning'!D674:D2143)</f>
        <v>Bachelor</v>
      </c>
      <c r="E674" s="3" t="str">
        <f>_xlfn.XLOOKUP(A674,'Data Cleaning'!A674:A2143, 'Data Cleaning'!E674:E2143)</f>
        <v>Married</v>
      </c>
      <c r="F674" t="str">
        <f>_xlfn.XLOOKUP(A674,'Data Cleaning'!A674:A2143, 'Data Cleaning'!F674:F2143)</f>
        <v>None</v>
      </c>
      <c r="G674" s="3" t="str">
        <f>_xlfn.XLOOKUP(A674,'Data Cleaning'!A674:A2143, 'Data Cleaning'!J674:J2143)</f>
        <v>Recently promoted</v>
      </c>
    </row>
    <row r="675" spans="1:7" x14ac:dyDescent="0.25">
      <c r="A675" s="3">
        <v>2053</v>
      </c>
      <c r="B675" s="3" t="str">
        <f>_xlfn.XLOOKUP(A675,'Data Cleaning'!A675:A2144, 'Data Cleaning'!I675:I2144)</f>
        <v>25-34</v>
      </c>
      <c r="C675">
        <f>_xlfn.XLOOKUP(A675,'Data Cleaning'!A675:A2144,'Data Cleaning'!K675:K2144)</f>
        <v>0</v>
      </c>
      <c r="D675" t="str">
        <f>_xlfn.XLOOKUP(A675,'Data Cleaning'!A675:A2144, 'Data Cleaning'!D675:D2144)</f>
        <v>College</v>
      </c>
      <c r="E675" s="3" t="str">
        <f>_xlfn.XLOOKUP(A675,'Data Cleaning'!A675:A2144, 'Data Cleaning'!E675:E2144)</f>
        <v>Married</v>
      </c>
      <c r="F675" t="str">
        <f>_xlfn.XLOOKUP(A675,'Data Cleaning'!A675:A2144, 'Data Cleaning'!F675:F2144)</f>
        <v>Low</v>
      </c>
      <c r="G675" s="3" t="str">
        <f>_xlfn.XLOOKUP(A675,'Data Cleaning'!A675:A2144, 'Data Cleaning'!J675:J2144)</f>
        <v>Recently promoted</v>
      </c>
    </row>
    <row r="676" spans="1:7" x14ac:dyDescent="0.25">
      <c r="A676" s="3">
        <v>126</v>
      </c>
      <c r="B676" s="3" t="str">
        <f>_xlfn.XLOOKUP(A676,'Data Cleaning'!A676:A2145, 'Data Cleaning'!I676:I2145)</f>
        <v>45-54</v>
      </c>
      <c r="C676">
        <f>_xlfn.XLOOKUP(A676,'Data Cleaning'!A676:A2145,'Data Cleaning'!K676:K2145)</f>
        <v>0</v>
      </c>
      <c r="D676" t="str">
        <f>_xlfn.XLOOKUP(A676,'Data Cleaning'!A676:A2145, 'Data Cleaning'!D676:D2145)</f>
        <v>Master</v>
      </c>
      <c r="E676" s="3" t="str">
        <f>_xlfn.XLOOKUP(A676,'Data Cleaning'!A676:A2145, 'Data Cleaning'!E676:E2145)</f>
        <v>Married</v>
      </c>
      <c r="F676" t="str">
        <f>_xlfn.XLOOKUP(A676,'Data Cleaning'!A676:A2145, 'Data Cleaning'!F676:F2145)</f>
        <v>Low</v>
      </c>
      <c r="G676" s="3" t="str">
        <f>_xlfn.XLOOKUP(A676,'Data Cleaning'!A676:A2145, 'Data Cleaning'!J676:J2145)</f>
        <v>Recently promoted</v>
      </c>
    </row>
    <row r="677" spans="1:7" x14ac:dyDescent="0.25">
      <c r="A677" s="3">
        <v>288</v>
      </c>
      <c r="B677" s="3" t="str">
        <f>_xlfn.XLOOKUP(A677,'Data Cleaning'!A677:A2146, 'Data Cleaning'!I677:I2146)</f>
        <v>45-54</v>
      </c>
      <c r="C677">
        <f>_xlfn.XLOOKUP(A677,'Data Cleaning'!A677:A2146,'Data Cleaning'!K677:K2146)</f>
        <v>0</v>
      </c>
      <c r="D677" t="str">
        <f>_xlfn.XLOOKUP(A677,'Data Cleaning'!A677:A2146, 'Data Cleaning'!D677:D2146)</f>
        <v>Master</v>
      </c>
      <c r="E677" s="3" t="str">
        <f>_xlfn.XLOOKUP(A677,'Data Cleaning'!A677:A2146, 'Data Cleaning'!E677:E2146)</f>
        <v>Divorced</v>
      </c>
      <c r="F677" t="str">
        <f>_xlfn.XLOOKUP(A677,'Data Cleaning'!A677:A2146, 'Data Cleaning'!F677:F2146)</f>
        <v>Low</v>
      </c>
      <c r="G677" s="3" t="str">
        <f>_xlfn.XLOOKUP(A677,'Data Cleaning'!A677:A2146, 'Data Cleaning'!J677:J2146)</f>
        <v>Recently promoted</v>
      </c>
    </row>
    <row r="678" spans="1:7" x14ac:dyDescent="0.25">
      <c r="A678" s="3">
        <v>1211</v>
      </c>
      <c r="B678" s="3" t="str">
        <f>_xlfn.XLOOKUP(A678,'Data Cleaning'!A678:A2147, 'Data Cleaning'!I678:I2147)</f>
        <v>25-34</v>
      </c>
      <c r="C678">
        <f>_xlfn.XLOOKUP(A678,'Data Cleaning'!A678:A2147,'Data Cleaning'!K678:K2147)</f>
        <v>0</v>
      </c>
      <c r="D678" t="str">
        <f>_xlfn.XLOOKUP(A678,'Data Cleaning'!A678:A2147, 'Data Cleaning'!D678:D2147)</f>
        <v>Master</v>
      </c>
      <c r="E678" s="3" t="str">
        <f>_xlfn.XLOOKUP(A678,'Data Cleaning'!A678:A2147, 'Data Cleaning'!E678:E2147)</f>
        <v>Divorced</v>
      </c>
      <c r="F678" t="str">
        <f>_xlfn.XLOOKUP(A678,'Data Cleaning'!A678:A2147, 'Data Cleaning'!F678:F2147)</f>
        <v>High</v>
      </c>
      <c r="G678" s="3" t="str">
        <f>_xlfn.XLOOKUP(A678,'Data Cleaning'!A678:A2147, 'Data Cleaning'!J678:J2147)</f>
        <v>Recently promoted</v>
      </c>
    </row>
    <row r="679" spans="1:7" x14ac:dyDescent="0.25">
      <c r="A679" s="3">
        <v>1217</v>
      </c>
      <c r="B679" s="3" t="str">
        <f>_xlfn.XLOOKUP(A679,'Data Cleaning'!A679:A2148, 'Data Cleaning'!I679:I2148)</f>
        <v>45-54</v>
      </c>
      <c r="C679">
        <f>_xlfn.XLOOKUP(A679,'Data Cleaning'!A679:A2148,'Data Cleaning'!K679:K2148)</f>
        <v>0</v>
      </c>
      <c r="D679" t="str">
        <f>_xlfn.XLOOKUP(A679,'Data Cleaning'!A679:A2148, 'Data Cleaning'!D679:D2148)</f>
        <v>College</v>
      </c>
      <c r="E679" s="3" t="str">
        <f>_xlfn.XLOOKUP(A679,'Data Cleaning'!A679:A2148, 'Data Cleaning'!E679:E2148)</f>
        <v>Married</v>
      </c>
      <c r="F679" t="str">
        <f>_xlfn.XLOOKUP(A679,'Data Cleaning'!A679:A2148, 'Data Cleaning'!F679:F2148)</f>
        <v>Low</v>
      </c>
      <c r="G679" s="3" t="str">
        <f>_xlfn.XLOOKUP(A679,'Data Cleaning'!A679:A2148, 'Data Cleaning'!J679:J2148)</f>
        <v>Recently promoted</v>
      </c>
    </row>
    <row r="680" spans="1:7" x14ac:dyDescent="0.25">
      <c r="A680" s="3">
        <v>910</v>
      </c>
      <c r="B680" s="3" t="str">
        <f>_xlfn.XLOOKUP(A680,'Data Cleaning'!A680:A2149, 'Data Cleaning'!I680:I2149)</f>
        <v>25-34</v>
      </c>
      <c r="C680">
        <f>_xlfn.XLOOKUP(A680,'Data Cleaning'!A680:A2149,'Data Cleaning'!K680:K2149)</f>
        <v>0</v>
      </c>
      <c r="D680" t="str">
        <f>_xlfn.XLOOKUP(A680,'Data Cleaning'!A680:A2149, 'Data Cleaning'!D680:D2149)</f>
        <v>College</v>
      </c>
      <c r="E680" s="3" t="str">
        <f>_xlfn.XLOOKUP(A680,'Data Cleaning'!A680:A2149, 'Data Cleaning'!E680:E2149)</f>
        <v>Divorced</v>
      </c>
      <c r="F680" t="str">
        <f>_xlfn.XLOOKUP(A680,'Data Cleaning'!A680:A2149, 'Data Cleaning'!F680:F2149)</f>
        <v>Low</v>
      </c>
      <c r="G680" s="3" t="str">
        <f>_xlfn.XLOOKUP(A680,'Data Cleaning'!A680:A2149, 'Data Cleaning'!J680:J2149)</f>
        <v>Recently promoted</v>
      </c>
    </row>
    <row r="681" spans="1:7" x14ac:dyDescent="0.25">
      <c r="A681" s="3">
        <v>1915</v>
      </c>
      <c r="B681" s="3" t="str">
        <f>_xlfn.XLOOKUP(A681,'Data Cleaning'!A681:A2150, 'Data Cleaning'!I681:I2150)</f>
        <v>25-34</v>
      </c>
      <c r="C681">
        <f>_xlfn.XLOOKUP(A681,'Data Cleaning'!A681:A2150,'Data Cleaning'!K681:K2150)</f>
        <v>0</v>
      </c>
      <c r="D681" t="str">
        <f>_xlfn.XLOOKUP(A681,'Data Cleaning'!A681:A2150, 'Data Cleaning'!D681:D2150)</f>
        <v>Below College</v>
      </c>
      <c r="E681" s="3" t="str">
        <f>_xlfn.XLOOKUP(A681,'Data Cleaning'!A681:A2150, 'Data Cleaning'!E681:E2150)</f>
        <v>Married</v>
      </c>
      <c r="F681" t="str">
        <f>_xlfn.XLOOKUP(A681,'Data Cleaning'!A681:A2150, 'Data Cleaning'!F681:F2150)</f>
        <v>None</v>
      </c>
      <c r="G681" s="3" t="str">
        <f>_xlfn.XLOOKUP(A681,'Data Cleaning'!A681:A2150, 'Data Cleaning'!J681:J2150)</f>
        <v>Recently promoted</v>
      </c>
    </row>
    <row r="682" spans="1:7" x14ac:dyDescent="0.25">
      <c r="A682" s="3">
        <v>827</v>
      </c>
      <c r="B682" s="3" t="str">
        <f>_xlfn.XLOOKUP(A682,'Data Cleaning'!A682:A2151, 'Data Cleaning'!I682:I2151)</f>
        <v>35-44</v>
      </c>
      <c r="C682">
        <f>_xlfn.XLOOKUP(A682,'Data Cleaning'!A682:A2151,'Data Cleaning'!K682:K2151)</f>
        <v>0</v>
      </c>
      <c r="D682" t="str">
        <f>_xlfn.XLOOKUP(A682,'Data Cleaning'!A682:A2151, 'Data Cleaning'!D682:D2151)</f>
        <v>College</v>
      </c>
      <c r="E682" s="3" t="str">
        <f>_xlfn.XLOOKUP(A682,'Data Cleaning'!A682:A2151, 'Data Cleaning'!E682:E2151)</f>
        <v>Married</v>
      </c>
      <c r="F682" t="str">
        <f>_xlfn.XLOOKUP(A682,'Data Cleaning'!A682:A2151, 'Data Cleaning'!F682:F2151)</f>
        <v>Low</v>
      </c>
      <c r="G682" s="3" t="str">
        <f>_xlfn.XLOOKUP(A682,'Data Cleaning'!A682:A2151, 'Data Cleaning'!J682:J2151)</f>
        <v>Recently promoted</v>
      </c>
    </row>
    <row r="683" spans="1:7" x14ac:dyDescent="0.25">
      <c r="A683" s="3">
        <v>1647</v>
      </c>
      <c r="B683" s="3" t="str">
        <f>_xlfn.XLOOKUP(A683,'Data Cleaning'!A683:A2152, 'Data Cleaning'!I683:I2152)</f>
        <v>25-34</v>
      </c>
      <c r="C683">
        <f>_xlfn.XLOOKUP(A683,'Data Cleaning'!A683:A2152,'Data Cleaning'!K683:K2152)</f>
        <v>0</v>
      </c>
      <c r="D683" t="str">
        <f>_xlfn.XLOOKUP(A683,'Data Cleaning'!A683:A2152, 'Data Cleaning'!D683:D2152)</f>
        <v>Bachelor</v>
      </c>
      <c r="E683" s="3" t="str">
        <f>_xlfn.XLOOKUP(A683,'Data Cleaning'!A683:A2152, 'Data Cleaning'!E683:E2152)</f>
        <v>Married</v>
      </c>
      <c r="F683" t="str">
        <f>_xlfn.XLOOKUP(A683,'Data Cleaning'!A683:A2152, 'Data Cleaning'!F683:F2152)</f>
        <v>None</v>
      </c>
      <c r="G683" s="3" t="str">
        <f>_xlfn.XLOOKUP(A683,'Data Cleaning'!A683:A2152, 'Data Cleaning'!J683:J2152)</f>
        <v>Recently promoted</v>
      </c>
    </row>
    <row r="684" spans="1:7" x14ac:dyDescent="0.25">
      <c r="A684" s="3">
        <v>1682</v>
      </c>
      <c r="B684" s="3" t="str">
        <f>_xlfn.XLOOKUP(A684,'Data Cleaning'!A684:A2153, 'Data Cleaning'!I684:I2153)</f>
        <v>35-44</v>
      </c>
      <c r="C684">
        <f>_xlfn.XLOOKUP(A684,'Data Cleaning'!A684:A2153,'Data Cleaning'!K684:K2153)</f>
        <v>0</v>
      </c>
      <c r="D684" t="str">
        <f>_xlfn.XLOOKUP(A684,'Data Cleaning'!A684:A2153, 'Data Cleaning'!D684:D2153)</f>
        <v>Master</v>
      </c>
      <c r="E684" s="3" t="str">
        <f>_xlfn.XLOOKUP(A684,'Data Cleaning'!A684:A2153, 'Data Cleaning'!E684:E2153)</f>
        <v>Married</v>
      </c>
      <c r="F684" t="str">
        <f>_xlfn.XLOOKUP(A684,'Data Cleaning'!A684:A2153, 'Data Cleaning'!F684:F2153)</f>
        <v>Mid</v>
      </c>
      <c r="G684" s="3" t="str">
        <f>_xlfn.XLOOKUP(A684,'Data Cleaning'!A684:A2153, 'Data Cleaning'!J684:J2153)</f>
        <v>Recently promoted</v>
      </c>
    </row>
    <row r="685" spans="1:7" x14ac:dyDescent="0.25">
      <c r="A685" s="3">
        <v>340</v>
      </c>
      <c r="B685" s="3" t="str">
        <f>_xlfn.XLOOKUP(A685,'Data Cleaning'!A685:A2154, 'Data Cleaning'!I685:I2154)</f>
        <v>35-44</v>
      </c>
      <c r="C685">
        <f>_xlfn.XLOOKUP(A685,'Data Cleaning'!A685:A2154,'Data Cleaning'!K685:K2154)</f>
        <v>0</v>
      </c>
      <c r="D685" t="str">
        <f>_xlfn.XLOOKUP(A685,'Data Cleaning'!A685:A2154, 'Data Cleaning'!D685:D2154)</f>
        <v>College</v>
      </c>
      <c r="E685" s="3" t="str">
        <f>_xlfn.XLOOKUP(A685,'Data Cleaning'!A685:A2154, 'Data Cleaning'!E685:E2154)</f>
        <v>Married</v>
      </c>
      <c r="F685" t="str">
        <f>_xlfn.XLOOKUP(A685,'Data Cleaning'!A685:A2154, 'Data Cleaning'!F685:F2154)</f>
        <v>Low</v>
      </c>
      <c r="G685" s="3" t="str">
        <f>_xlfn.XLOOKUP(A685,'Data Cleaning'!A685:A2154, 'Data Cleaning'!J685:J2154)</f>
        <v>Recently promoted</v>
      </c>
    </row>
    <row r="686" spans="1:7" x14ac:dyDescent="0.25">
      <c r="A686" s="3">
        <v>347</v>
      </c>
      <c r="B686" s="3" t="str">
        <f>_xlfn.XLOOKUP(A686,'Data Cleaning'!A686:A2155, 'Data Cleaning'!I686:I2155)</f>
        <v>35-44</v>
      </c>
      <c r="C686">
        <f>_xlfn.XLOOKUP(A686,'Data Cleaning'!A686:A2155,'Data Cleaning'!K686:K2155)</f>
        <v>0</v>
      </c>
      <c r="D686" t="str">
        <f>_xlfn.XLOOKUP(A686,'Data Cleaning'!A686:A2155, 'Data Cleaning'!D686:D2155)</f>
        <v>College</v>
      </c>
      <c r="E686" s="3" t="str">
        <f>_xlfn.XLOOKUP(A686,'Data Cleaning'!A686:A2155, 'Data Cleaning'!E686:E2155)</f>
        <v>Single</v>
      </c>
      <c r="F686" t="str">
        <f>_xlfn.XLOOKUP(A686,'Data Cleaning'!A686:A2155, 'Data Cleaning'!F686:F2155)</f>
        <v>None</v>
      </c>
      <c r="G686" s="3" t="str">
        <f>_xlfn.XLOOKUP(A686,'Data Cleaning'!A686:A2155, 'Data Cleaning'!J686:J2155)</f>
        <v>Recently promoted</v>
      </c>
    </row>
    <row r="687" spans="1:7" x14ac:dyDescent="0.25">
      <c r="A687" s="3">
        <v>1436</v>
      </c>
      <c r="B687" s="3" t="str">
        <f>_xlfn.XLOOKUP(A687,'Data Cleaning'!A687:A2156, 'Data Cleaning'!I687:I2156)</f>
        <v>35-44</v>
      </c>
      <c r="C687">
        <f>_xlfn.XLOOKUP(A687,'Data Cleaning'!A687:A2156,'Data Cleaning'!K687:K2156)</f>
        <v>0</v>
      </c>
      <c r="D687" t="str">
        <f>_xlfn.XLOOKUP(A687,'Data Cleaning'!A687:A2156, 'Data Cleaning'!D687:D2156)</f>
        <v>Master</v>
      </c>
      <c r="E687" s="3" t="str">
        <f>_xlfn.XLOOKUP(A687,'Data Cleaning'!A687:A2156, 'Data Cleaning'!E687:E2156)</f>
        <v>Married</v>
      </c>
      <c r="F687" t="str">
        <f>_xlfn.XLOOKUP(A687,'Data Cleaning'!A687:A2156, 'Data Cleaning'!F687:F2156)</f>
        <v>Mid</v>
      </c>
      <c r="G687" s="3" t="str">
        <f>_xlfn.XLOOKUP(A687,'Data Cleaning'!A687:A2156, 'Data Cleaning'!J687:J2156)</f>
        <v>Recently promoted</v>
      </c>
    </row>
    <row r="688" spans="1:7" x14ac:dyDescent="0.25">
      <c r="A688" s="3">
        <v>699</v>
      </c>
      <c r="B688" s="3" t="str">
        <f>_xlfn.XLOOKUP(A688,'Data Cleaning'!A688:A2157, 'Data Cleaning'!I688:I2157)</f>
        <v>35-44</v>
      </c>
      <c r="C688">
        <f>_xlfn.XLOOKUP(A688,'Data Cleaning'!A688:A2157,'Data Cleaning'!K688:K2157)</f>
        <v>0</v>
      </c>
      <c r="D688" t="str">
        <f>_xlfn.XLOOKUP(A688,'Data Cleaning'!A688:A2157, 'Data Cleaning'!D688:D2157)</f>
        <v>College</v>
      </c>
      <c r="E688" s="3" t="str">
        <f>_xlfn.XLOOKUP(A688,'Data Cleaning'!A688:A2157, 'Data Cleaning'!E688:E2157)</f>
        <v>Divorced</v>
      </c>
      <c r="F688" t="str">
        <f>_xlfn.XLOOKUP(A688,'Data Cleaning'!A688:A2157, 'Data Cleaning'!F688:F2157)</f>
        <v>Low</v>
      </c>
      <c r="G688" s="3" t="str">
        <f>_xlfn.XLOOKUP(A688,'Data Cleaning'!A688:A2157, 'Data Cleaning'!J688:J2157)</f>
        <v>Recently promoted</v>
      </c>
    </row>
    <row r="689" spans="1:7" x14ac:dyDescent="0.25">
      <c r="A689" s="3">
        <v>664</v>
      </c>
      <c r="B689" s="3" t="str">
        <f>_xlfn.XLOOKUP(A689,'Data Cleaning'!A689:A2158, 'Data Cleaning'!I689:I2158)</f>
        <v>45-54</v>
      </c>
      <c r="C689">
        <f>_xlfn.XLOOKUP(A689,'Data Cleaning'!A689:A2158,'Data Cleaning'!K689:K2158)</f>
        <v>0</v>
      </c>
      <c r="D689" t="str">
        <f>_xlfn.XLOOKUP(A689,'Data Cleaning'!A689:A2158, 'Data Cleaning'!D689:D2158)</f>
        <v>Master</v>
      </c>
      <c r="E689" s="3" t="str">
        <f>_xlfn.XLOOKUP(A689,'Data Cleaning'!A689:A2158, 'Data Cleaning'!E689:E2158)</f>
        <v>Married</v>
      </c>
      <c r="F689" t="str">
        <f>_xlfn.XLOOKUP(A689,'Data Cleaning'!A689:A2158, 'Data Cleaning'!F689:F2158)</f>
        <v>Low</v>
      </c>
      <c r="G689" s="3" t="str">
        <f>_xlfn.XLOOKUP(A689,'Data Cleaning'!A689:A2158, 'Data Cleaning'!J689:J2158)</f>
        <v>Recently promoted</v>
      </c>
    </row>
    <row r="690" spans="1:7" x14ac:dyDescent="0.25">
      <c r="A690" s="3">
        <v>1886</v>
      </c>
      <c r="B690" s="3" t="str">
        <f>_xlfn.XLOOKUP(A690,'Data Cleaning'!A690:A2159, 'Data Cleaning'!I690:I2159)</f>
        <v>35-44</v>
      </c>
      <c r="C690">
        <f>_xlfn.XLOOKUP(A690,'Data Cleaning'!A690:A2159,'Data Cleaning'!K690:K2159)</f>
        <v>0</v>
      </c>
      <c r="D690" t="str">
        <f>_xlfn.XLOOKUP(A690,'Data Cleaning'!A690:A2159, 'Data Cleaning'!D690:D2159)</f>
        <v>College</v>
      </c>
      <c r="E690" s="3" t="str">
        <f>_xlfn.XLOOKUP(A690,'Data Cleaning'!A690:A2159, 'Data Cleaning'!E690:E2159)</f>
        <v>Married</v>
      </c>
      <c r="F690" t="str">
        <f>_xlfn.XLOOKUP(A690,'Data Cleaning'!A690:A2159, 'Data Cleaning'!F690:F2159)</f>
        <v>None</v>
      </c>
      <c r="G690" s="3" t="str">
        <f>_xlfn.XLOOKUP(A690,'Data Cleaning'!A690:A2159, 'Data Cleaning'!J690:J2159)</f>
        <v>Recently promoted</v>
      </c>
    </row>
    <row r="691" spans="1:7" x14ac:dyDescent="0.25">
      <c r="A691" s="3">
        <v>1461</v>
      </c>
      <c r="B691" s="3" t="str">
        <f>_xlfn.XLOOKUP(A691,'Data Cleaning'!A691:A2160, 'Data Cleaning'!I691:I2160)</f>
        <v>25-34</v>
      </c>
      <c r="C691">
        <f>_xlfn.XLOOKUP(A691,'Data Cleaning'!A691:A2160,'Data Cleaning'!K691:K2160)</f>
        <v>0</v>
      </c>
      <c r="D691" t="str">
        <f>_xlfn.XLOOKUP(A691,'Data Cleaning'!A691:A2160, 'Data Cleaning'!D691:D2160)</f>
        <v>College</v>
      </c>
      <c r="E691" s="3" t="str">
        <f>_xlfn.XLOOKUP(A691,'Data Cleaning'!A691:A2160, 'Data Cleaning'!E691:E2160)</f>
        <v>Single</v>
      </c>
      <c r="F691" t="str">
        <f>_xlfn.XLOOKUP(A691,'Data Cleaning'!A691:A2160, 'Data Cleaning'!F691:F2160)</f>
        <v>None</v>
      </c>
      <c r="G691" s="3" t="str">
        <f>_xlfn.XLOOKUP(A691,'Data Cleaning'!A691:A2160, 'Data Cleaning'!J691:J2160)</f>
        <v>Recently promoted</v>
      </c>
    </row>
    <row r="692" spans="1:7" x14ac:dyDescent="0.25">
      <c r="A692" s="3">
        <v>705</v>
      </c>
      <c r="B692" s="3" t="str">
        <f>_xlfn.XLOOKUP(A692,'Data Cleaning'!A692:A2161, 'Data Cleaning'!I692:I2161)</f>
        <v>18-24</v>
      </c>
      <c r="C692">
        <f>_xlfn.XLOOKUP(A692,'Data Cleaning'!A692:A2161,'Data Cleaning'!K692:K2161)</f>
        <v>0</v>
      </c>
      <c r="D692" t="str">
        <f>_xlfn.XLOOKUP(A692,'Data Cleaning'!A692:A2161, 'Data Cleaning'!D692:D2161)</f>
        <v>Bachelor</v>
      </c>
      <c r="E692" s="3" t="str">
        <f>_xlfn.XLOOKUP(A692,'Data Cleaning'!A692:A2161, 'Data Cleaning'!E692:E2161)</f>
        <v>Married</v>
      </c>
      <c r="F692" t="str">
        <f>_xlfn.XLOOKUP(A692,'Data Cleaning'!A692:A2161, 'Data Cleaning'!F692:F2161)</f>
        <v>Low</v>
      </c>
      <c r="G692" s="3" t="str">
        <f>_xlfn.XLOOKUP(A692,'Data Cleaning'!A692:A2161, 'Data Cleaning'!J692:J2161)</f>
        <v>Recently promoted</v>
      </c>
    </row>
    <row r="693" spans="1:7" x14ac:dyDescent="0.25">
      <c r="A693" s="3">
        <v>1411</v>
      </c>
      <c r="B693" s="3" t="str">
        <f>_xlfn.XLOOKUP(A693,'Data Cleaning'!A693:A2162, 'Data Cleaning'!I693:I2162)</f>
        <v>35-44</v>
      </c>
      <c r="C693">
        <f>_xlfn.XLOOKUP(A693,'Data Cleaning'!A693:A2162,'Data Cleaning'!K693:K2162)</f>
        <v>0</v>
      </c>
      <c r="D693" t="str">
        <f>_xlfn.XLOOKUP(A693,'Data Cleaning'!A693:A2162, 'Data Cleaning'!D693:D2162)</f>
        <v>Bachelor</v>
      </c>
      <c r="E693" s="3" t="str">
        <f>_xlfn.XLOOKUP(A693,'Data Cleaning'!A693:A2162, 'Data Cleaning'!E693:E2162)</f>
        <v>Single</v>
      </c>
      <c r="F693" t="str">
        <f>_xlfn.XLOOKUP(A693,'Data Cleaning'!A693:A2162, 'Data Cleaning'!F693:F2162)</f>
        <v>None</v>
      </c>
      <c r="G693" s="3" t="str">
        <f>_xlfn.XLOOKUP(A693,'Data Cleaning'!A693:A2162, 'Data Cleaning'!J693:J2162)</f>
        <v>Recently promoted</v>
      </c>
    </row>
    <row r="694" spans="1:7" x14ac:dyDescent="0.25">
      <c r="A694" s="3">
        <v>1607</v>
      </c>
      <c r="B694" s="3" t="str">
        <f>_xlfn.XLOOKUP(A694,'Data Cleaning'!A694:A2163, 'Data Cleaning'!I694:I2163)</f>
        <v>25-34</v>
      </c>
      <c r="C694">
        <f>_xlfn.XLOOKUP(A694,'Data Cleaning'!A694:A2163,'Data Cleaning'!K694:K2163)</f>
        <v>0</v>
      </c>
      <c r="D694" t="str">
        <f>_xlfn.XLOOKUP(A694,'Data Cleaning'!A694:A2163, 'Data Cleaning'!D694:D2163)</f>
        <v>Master</v>
      </c>
      <c r="E694" s="3" t="str">
        <f>_xlfn.XLOOKUP(A694,'Data Cleaning'!A694:A2163, 'Data Cleaning'!E694:E2163)</f>
        <v>Married</v>
      </c>
      <c r="F694" t="str">
        <f>_xlfn.XLOOKUP(A694,'Data Cleaning'!A694:A2163, 'Data Cleaning'!F694:F2163)</f>
        <v>Mid</v>
      </c>
      <c r="G694" s="3" t="str">
        <f>_xlfn.XLOOKUP(A694,'Data Cleaning'!A694:A2163, 'Data Cleaning'!J694:J2163)</f>
        <v>Recently promoted</v>
      </c>
    </row>
    <row r="695" spans="1:7" x14ac:dyDescent="0.25">
      <c r="A695" s="3">
        <v>575</v>
      </c>
      <c r="B695" s="3" t="str">
        <f>_xlfn.XLOOKUP(A695,'Data Cleaning'!A695:A2164, 'Data Cleaning'!I695:I2164)</f>
        <v>45-54</v>
      </c>
      <c r="C695">
        <f>_xlfn.XLOOKUP(A695,'Data Cleaning'!A695:A2164,'Data Cleaning'!K695:K2164)</f>
        <v>0</v>
      </c>
      <c r="D695" t="str">
        <f>_xlfn.XLOOKUP(A695,'Data Cleaning'!A695:A2164, 'Data Cleaning'!D695:D2164)</f>
        <v>Bachelor</v>
      </c>
      <c r="E695" s="3" t="str">
        <f>_xlfn.XLOOKUP(A695,'Data Cleaning'!A695:A2164, 'Data Cleaning'!E695:E2164)</f>
        <v>Married</v>
      </c>
      <c r="F695" t="str">
        <f>_xlfn.XLOOKUP(A695,'Data Cleaning'!A695:A2164, 'Data Cleaning'!F695:F2164)</f>
        <v>None</v>
      </c>
      <c r="G695" s="3" t="str">
        <f>_xlfn.XLOOKUP(A695,'Data Cleaning'!A695:A2164, 'Data Cleaning'!J695:J2164)</f>
        <v>Recently promoted</v>
      </c>
    </row>
    <row r="696" spans="1:7" x14ac:dyDescent="0.25">
      <c r="A696" s="3">
        <v>995</v>
      </c>
      <c r="B696" s="3" t="str">
        <f>_xlfn.XLOOKUP(A696,'Data Cleaning'!A696:A2165, 'Data Cleaning'!I696:I2165)</f>
        <v>25-34</v>
      </c>
      <c r="C696">
        <f>_xlfn.XLOOKUP(A696,'Data Cleaning'!A696:A2165,'Data Cleaning'!K696:K2165)</f>
        <v>0</v>
      </c>
      <c r="D696" t="str">
        <f>_xlfn.XLOOKUP(A696,'Data Cleaning'!A696:A2165, 'Data Cleaning'!D696:D2165)</f>
        <v>Below College</v>
      </c>
      <c r="E696" s="3" t="str">
        <f>_xlfn.XLOOKUP(A696,'Data Cleaning'!A696:A2165, 'Data Cleaning'!E696:E2165)</f>
        <v>Single</v>
      </c>
      <c r="F696" t="str">
        <f>_xlfn.XLOOKUP(A696,'Data Cleaning'!A696:A2165, 'Data Cleaning'!F696:F2165)</f>
        <v>None</v>
      </c>
      <c r="G696" s="3" t="str">
        <f>_xlfn.XLOOKUP(A696,'Data Cleaning'!A696:A2165, 'Data Cleaning'!J696:J2165)</f>
        <v>Recently promoted</v>
      </c>
    </row>
    <row r="697" spans="1:7" x14ac:dyDescent="0.25">
      <c r="A697" s="3">
        <v>349</v>
      </c>
      <c r="B697" s="3" t="str">
        <f>_xlfn.XLOOKUP(A697,'Data Cleaning'!A697:A2166, 'Data Cleaning'!I697:I2166)</f>
        <v>25-34</v>
      </c>
      <c r="C697">
        <f>_xlfn.XLOOKUP(A697,'Data Cleaning'!A697:A2166,'Data Cleaning'!K697:K2166)</f>
        <v>0</v>
      </c>
      <c r="D697" t="str">
        <f>_xlfn.XLOOKUP(A697,'Data Cleaning'!A697:A2166, 'Data Cleaning'!D697:D2166)</f>
        <v>College</v>
      </c>
      <c r="E697" s="3" t="str">
        <f>_xlfn.XLOOKUP(A697,'Data Cleaning'!A697:A2166, 'Data Cleaning'!E697:E2166)</f>
        <v>Divorced</v>
      </c>
      <c r="F697" t="str">
        <f>_xlfn.XLOOKUP(A697,'Data Cleaning'!A697:A2166, 'Data Cleaning'!F697:F2166)</f>
        <v>Low</v>
      </c>
      <c r="G697" s="3" t="str">
        <f>_xlfn.XLOOKUP(A697,'Data Cleaning'!A697:A2166, 'Data Cleaning'!J697:J2166)</f>
        <v>Recently promoted</v>
      </c>
    </row>
    <row r="698" spans="1:7" x14ac:dyDescent="0.25">
      <c r="A698" s="3">
        <v>939</v>
      </c>
      <c r="B698" s="3" t="str">
        <f>_xlfn.XLOOKUP(A698,'Data Cleaning'!A698:A2167, 'Data Cleaning'!I698:I2167)</f>
        <v>25-34</v>
      </c>
      <c r="C698">
        <f>_xlfn.XLOOKUP(A698,'Data Cleaning'!A698:A2167,'Data Cleaning'!K698:K2167)</f>
        <v>0</v>
      </c>
      <c r="D698" t="str">
        <f>_xlfn.XLOOKUP(A698,'Data Cleaning'!A698:A2167, 'Data Cleaning'!D698:D2167)</f>
        <v>Master</v>
      </c>
      <c r="E698" s="3" t="str">
        <f>_xlfn.XLOOKUP(A698,'Data Cleaning'!A698:A2167, 'Data Cleaning'!E698:E2167)</f>
        <v>Single</v>
      </c>
      <c r="F698" t="str">
        <f>_xlfn.XLOOKUP(A698,'Data Cleaning'!A698:A2167, 'Data Cleaning'!F698:F2167)</f>
        <v>None</v>
      </c>
      <c r="G698" s="3" t="str">
        <f>_xlfn.XLOOKUP(A698,'Data Cleaning'!A698:A2167, 'Data Cleaning'!J698:J2167)</f>
        <v>Recently promoted</v>
      </c>
    </row>
    <row r="699" spans="1:7" x14ac:dyDescent="0.25">
      <c r="A699" s="3">
        <v>1281</v>
      </c>
      <c r="B699" s="3" t="str">
        <f>_xlfn.XLOOKUP(A699,'Data Cleaning'!A699:A2168, 'Data Cleaning'!I699:I2168)</f>
        <v>25-34</v>
      </c>
      <c r="C699">
        <f>_xlfn.XLOOKUP(A699,'Data Cleaning'!A699:A2168,'Data Cleaning'!K699:K2168)</f>
        <v>0</v>
      </c>
      <c r="D699" t="str">
        <f>_xlfn.XLOOKUP(A699,'Data Cleaning'!A699:A2168, 'Data Cleaning'!D699:D2168)</f>
        <v>Bachelor</v>
      </c>
      <c r="E699" s="3" t="str">
        <f>_xlfn.XLOOKUP(A699,'Data Cleaning'!A699:A2168, 'Data Cleaning'!E699:E2168)</f>
        <v>Single</v>
      </c>
      <c r="F699" t="str">
        <f>_xlfn.XLOOKUP(A699,'Data Cleaning'!A699:A2168, 'Data Cleaning'!F699:F2168)</f>
        <v>None</v>
      </c>
      <c r="G699" s="3" t="str">
        <f>_xlfn.XLOOKUP(A699,'Data Cleaning'!A699:A2168, 'Data Cleaning'!J699:J2168)</f>
        <v>Recently promoted</v>
      </c>
    </row>
    <row r="700" spans="1:7" x14ac:dyDescent="0.25">
      <c r="A700" s="3">
        <v>242</v>
      </c>
      <c r="B700" s="3" t="str">
        <f>_xlfn.XLOOKUP(A700,'Data Cleaning'!A700:A2169, 'Data Cleaning'!I700:I2169)</f>
        <v>25-34</v>
      </c>
      <c r="C700">
        <f>_xlfn.XLOOKUP(A700,'Data Cleaning'!A700:A2169,'Data Cleaning'!K700:K2169)</f>
        <v>0</v>
      </c>
      <c r="D700" t="str">
        <f>_xlfn.XLOOKUP(A700,'Data Cleaning'!A700:A2169, 'Data Cleaning'!D700:D2169)</f>
        <v>Bachelor</v>
      </c>
      <c r="E700" s="3" t="str">
        <f>_xlfn.XLOOKUP(A700,'Data Cleaning'!A700:A2169, 'Data Cleaning'!E700:E2169)</f>
        <v>Single</v>
      </c>
      <c r="F700" t="str">
        <f>_xlfn.XLOOKUP(A700,'Data Cleaning'!A700:A2169, 'Data Cleaning'!F700:F2169)</f>
        <v>None</v>
      </c>
      <c r="G700" s="3" t="str">
        <f>_xlfn.XLOOKUP(A700,'Data Cleaning'!A700:A2169, 'Data Cleaning'!J700:J2169)</f>
        <v>Recently promoted</v>
      </c>
    </row>
    <row r="701" spans="1:7" x14ac:dyDescent="0.25">
      <c r="A701" s="3">
        <v>847</v>
      </c>
      <c r="B701" s="3" t="str">
        <f>_xlfn.XLOOKUP(A701,'Data Cleaning'!A701:A2170, 'Data Cleaning'!I701:I2170)</f>
        <v>25-34</v>
      </c>
      <c r="C701">
        <f>_xlfn.XLOOKUP(A701,'Data Cleaning'!A701:A2170,'Data Cleaning'!K701:K2170)</f>
        <v>0</v>
      </c>
      <c r="D701" t="str">
        <f>_xlfn.XLOOKUP(A701,'Data Cleaning'!A701:A2170, 'Data Cleaning'!D701:D2170)</f>
        <v>College</v>
      </c>
      <c r="E701" s="3" t="str">
        <f>_xlfn.XLOOKUP(A701,'Data Cleaning'!A701:A2170, 'Data Cleaning'!E701:E2170)</f>
        <v>Married</v>
      </c>
      <c r="F701" t="str">
        <f>_xlfn.XLOOKUP(A701,'Data Cleaning'!A701:A2170, 'Data Cleaning'!F701:F2170)</f>
        <v>Low</v>
      </c>
      <c r="G701" s="3" t="str">
        <f>_xlfn.XLOOKUP(A701,'Data Cleaning'!A701:A2170, 'Data Cleaning'!J701:J2170)</f>
        <v>Recently promoted</v>
      </c>
    </row>
    <row r="702" spans="1:7" x14ac:dyDescent="0.25">
      <c r="A702" s="3">
        <v>652</v>
      </c>
      <c r="B702" s="3" t="str">
        <f>_xlfn.XLOOKUP(A702,'Data Cleaning'!A702:A2171, 'Data Cleaning'!I702:I2171)</f>
        <v>35-44</v>
      </c>
      <c r="C702">
        <f>_xlfn.XLOOKUP(A702,'Data Cleaning'!A702:A2171,'Data Cleaning'!K702:K2171)</f>
        <v>0</v>
      </c>
      <c r="D702" t="str">
        <f>_xlfn.XLOOKUP(A702,'Data Cleaning'!A702:A2171, 'Data Cleaning'!D702:D2171)</f>
        <v>College</v>
      </c>
      <c r="E702" s="3" t="str">
        <f>_xlfn.XLOOKUP(A702,'Data Cleaning'!A702:A2171, 'Data Cleaning'!E702:E2171)</f>
        <v>Single</v>
      </c>
      <c r="F702" t="str">
        <f>_xlfn.XLOOKUP(A702,'Data Cleaning'!A702:A2171, 'Data Cleaning'!F702:F2171)</f>
        <v>None</v>
      </c>
      <c r="G702" s="3" t="str">
        <f>_xlfn.XLOOKUP(A702,'Data Cleaning'!A702:A2171, 'Data Cleaning'!J702:J2171)</f>
        <v>Recently promoted</v>
      </c>
    </row>
    <row r="703" spans="1:7" x14ac:dyDescent="0.25">
      <c r="A703" s="3">
        <v>1651</v>
      </c>
      <c r="B703" s="3" t="str">
        <f>_xlfn.XLOOKUP(A703,'Data Cleaning'!A703:A2172, 'Data Cleaning'!I703:I2172)</f>
        <v>35-44</v>
      </c>
      <c r="C703">
        <f>_xlfn.XLOOKUP(A703,'Data Cleaning'!A703:A2172,'Data Cleaning'!K703:K2172)</f>
        <v>0</v>
      </c>
      <c r="D703" t="str">
        <f>_xlfn.XLOOKUP(A703,'Data Cleaning'!A703:A2172, 'Data Cleaning'!D703:D2172)</f>
        <v>Master</v>
      </c>
      <c r="E703" s="3" t="str">
        <f>_xlfn.XLOOKUP(A703,'Data Cleaning'!A703:A2172, 'Data Cleaning'!E703:E2172)</f>
        <v>Married</v>
      </c>
      <c r="F703" t="str">
        <f>_xlfn.XLOOKUP(A703,'Data Cleaning'!A703:A2172, 'Data Cleaning'!F703:F2172)</f>
        <v>Mid</v>
      </c>
      <c r="G703" s="3" t="str">
        <f>_xlfn.XLOOKUP(A703,'Data Cleaning'!A703:A2172, 'Data Cleaning'!J703:J2172)</f>
        <v>Recently promoted</v>
      </c>
    </row>
    <row r="704" spans="1:7" x14ac:dyDescent="0.25">
      <c r="A704" s="3">
        <v>1415</v>
      </c>
      <c r="B704" s="3" t="str">
        <f>_xlfn.XLOOKUP(A704,'Data Cleaning'!A704:A2173, 'Data Cleaning'!I704:I2173)</f>
        <v>25-34</v>
      </c>
      <c r="C704">
        <f>_xlfn.XLOOKUP(A704,'Data Cleaning'!A704:A2173,'Data Cleaning'!K704:K2173)</f>
        <v>0</v>
      </c>
      <c r="D704" t="str">
        <f>_xlfn.XLOOKUP(A704,'Data Cleaning'!A704:A2173, 'Data Cleaning'!D704:D2173)</f>
        <v>Bachelor</v>
      </c>
      <c r="E704" s="3" t="str">
        <f>_xlfn.XLOOKUP(A704,'Data Cleaning'!A704:A2173, 'Data Cleaning'!E704:E2173)</f>
        <v>Married</v>
      </c>
      <c r="F704" t="str">
        <f>_xlfn.XLOOKUP(A704,'Data Cleaning'!A704:A2173, 'Data Cleaning'!F704:F2173)</f>
        <v>Low</v>
      </c>
      <c r="G704" s="3" t="str">
        <f>_xlfn.XLOOKUP(A704,'Data Cleaning'!A704:A2173, 'Data Cleaning'!J704:J2173)</f>
        <v>Recently promoted</v>
      </c>
    </row>
    <row r="705" spans="1:7" x14ac:dyDescent="0.25">
      <c r="A705" s="3">
        <v>686</v>
      </c>
      <c r="B705" s="3" t="str">
        <f>_xlfn.XLOOKUP(A705,'Data Cleaning'!A705:A2174, 'Data Cleaning'!I705:I2174)</f>
        <v>25-34</v>
      </c>
      <c r="C705">
        <f>_xlfn.XLOOKUP(A705,'Data Cleaning'!A705:A2174,'Data Cleaning'!K705:K2174)</f>
        <v>0</v>
      </c>
      <c r="D705" t="str">
        <f>_xlfn.XLOOKUP(A705,'Data Cleaning'!A705:A2174, 'Data Cleaning'!D705:D2174)</f>
        <v>Bachelor</v>
      </c>
      <c r="E705" s="3" t="str">
        <f>_xlfn.XLOOKUP(A705,'Data Cleaning'!A705:A2174, 'Data Cleaning'!E705:E2174)</f>
        <v>Married</v>
      </c>
      <c r="F705" t="str">
        <f>_xlfn.XLOOKUP(A705,'Data Cleaning'!A705:A2174, 'Data Cleaning'!F705:F2174)</f>
        <v>Low</v>
      </c>
      <c r="G705" s="3" t="str">
        <f>_xlfn.XLOOKUP(A705,'Data Cleaning'!A705:A2174, 'Data Cleaning'!J705:J2174)</f>
        <v>Recently promoted</v>
      </c>
    </row>
    <row r="706" spans="1:7" x14ac:dyDescent="0.25">
      <c r="A706" s="3">
        <v>338</v>
      </c>
      <c r="B706" s="3" t="str">
        <f>_xlfn.XLOOKUP(A706,'Data Cleaning'!A706:A2175, 'Data Cleaning'!I706:I2175)</f>
        <v>25-34</v>
      </c>
      <c r="C706">
        <f>_xlfn.XLOOKUP(A706,'Data Cleaning'!A706:A2175,'Data Cleaning'!K706:K2175)</f>
        <v>0</v>
      </c>
      <c r="D706" t="str">
        <f>_xlfn.XLOOKUP(A706,'Data Cleaning'!A706:A2175, 'Data Cleaning'!D706:D2175)</f>
        <v>Master</v>
      </c>
      <c r="E706" s="3" t="str">
        <f>_xlfn.XLOOKUP(A706,'Data Cleaning'!A706:A2175, 'Data Cleaning'!E706:E2175)</f>
        <v>Married</v>
      </c>
      <c r="F706" t="str">
        <f>_xlfn.XLOOKUP(A706,'Data Cleaning'!A706:A2175, 'Data Cleaning'!F706:F2175)</f>
        <v>Low</v>
      </c>
      <c r="G706" s="3" t="str">
        <f>_xlfn.XLOOKUP(A706,'Data Cleaning'!A706:A2175, 'Data Cleaning'!J706:J2175)</f>
        <v>Recently promoted</v>
      </c>
    </row>
    <row r="707" spans="1:7" x14ac:dyDescent="0.25">
      <c r="A707" s="3">
        <v>671</v>
      </c>
      <c r="B707" s="3" t="str">
        <f>_xlfn.XLOOKUP(A707,'Data Cleaning'!A707:A2176, 'Data Cleaning'!I707:I2176)</f>
        <v>35-44</v>
      </c>
      <c r="C707">
        <f>_xlfn.XLOOKUP(A707,'Data Cleaning'!A707:A2176,'Data Cleaning'!K707:K2176)</f>
        <v>0</v>
      </c>
      <c r="D707" t="str">
        <f>_xlfn.XLOOKUP(A707,'Data Cleaning'!A707:A2176, 'Data Cleaning'!D707:D2176)</f>
        <v>Master</v>
      </c>
      <c r="E707" s="3" t="str">
        <f>_xlfn.XLOOKUP(A707,'Data Cleaning'!A707:A2176, 'Data Cleaning'!E707:E2176)</f>
        <v>Married</v>
      </c>
      <c r="F707" t="str">
        <f>_xlfn.XLOOKUP(A707,'Data Cleaning'!A707:A2176, 'Data Cleaning'!F707:F2176)</f>
        <v>Low</v>
      </c>
      <c r="G707" s="3" t="str">
        <f>_xlfn.XLOOKUP(A707,'Data Cleaning'!A707:A2176, 'Data Cleaning'!J707:J2176)</f>
        <v>Recently promoted</v>
      </c>
    </row>
    <row r="708" spans="1:7" x14ac:dyDescent="0.25">
      <c r="A708" s="3">
        <v>784</v>
      </c>
      <c r="B708" s="3" t="str">
        <f>_xlfn.XLOOKUP(A708,'Data Cleaning'!A708:A2177, 'Data Cleaning'!I708:I2177)</f>
        <v>18-24</v>
      </c>
      <c r="C708">
        <f>_xlfn.XLOOKUP(A708,'Data Cleaning'!A708:A2177,'Data Cleaning'!K708:K2177)</f>
        <v>0</v>
      </c>
      <c r="D708" t="str">
        <f>_xlfn.XLOOKUP(A708,'Data Cleaning'!A708:A2177, 'Data Cleaning'!D708:D2177)</f>
        <v>Below College</v>
      </c>
      <c r="E708" s="3" t="str">
        <f>_xlfn.XLOOKUP(A708,'Data Cleaning'!A708:A2177, 'Data Cleaning'!E708:E2177)</f>
        <v>Single</v>
      </c>
      <c r="F708" t="str">
        <f>_xlfn.XLOOKUP(A708,'Data Cleaning'!A708:A2177, 'Data Cleaning'!F708:F2177)</f>
        <v>None</v>
      </c>
      <c r="G708" s="3" t="str">
        <f>_xlfn.XLOOKUP(A708,'Data Cleaning'!A708:A2177, 'Data Cleaning'!J708:J2177)</f>
        <v>Recently promoted</v>
      </c>
    </row>
    <row r="709" spans="1:7" x14ac:dyDescent="0.25">
      <c r="A709" s="3">
        <v>665</v>
      </c>
      <c r="B709" s="3" t="str">
        <f>_xlfn.XLOOKUP(A709,'Data Cleaning'!A709:A2178, 'Data Cleaning'!I709:I2178)</f>
        <v>35-44</v>
      </c>
      <c r="C709">
        <f>_xlfn.XLOOKUP(A709,'Data Cleaning'!A709:A2178,'Data Cleaning'!K709:K2178)</f>
        <v>0</v>
      </c>
      <c r="D709" t="str">
        <f>_xlfn.XLOOKUP(A709,'Data Cleaning'!A709:A2178, 'Data Cleaning'!D709:D2178)</f>
        <v>Master</v>
      </c>
      <c r="E709" s="3" t="str">
        <f>_xlfn.XLOOKUP(A709,'Data Cleaning'!A709:A2178, 'Data Cleaning'!E709:E2178)</f>
        <v>Single</v>
      </c>
      <c r="F709" t="str">
        <f>_xlfn.XLOOKUP(A709,'Data Cleaning'!A709:A2178, 'Data Cleaning'!F709:F2178)</f>
        <v>None</v>
      </c>
      <c r="G709" s="3" t="str">
        <f>_xlfn.XLOOKUP(A709,'Data Cleaning'!A709:A2178, 'Data Cleaning'!J709:J2178)</f>
        <v>Recently promoted</v>
      </c>
    </row>
    <row r="710" spans="1:7" x14ac:dyDescent="0.25">
      <c r="A710" s="3">
        <v>143</v>
      </c>
      <c r="B710" s="3" t="str">
        <f>_xlfn.XLOOKUP(A710,'Data Cleaning'!A710:A2179, 'Data Cleaning'!I710:I2179)</f>
        <v>25-34</v>
      </c>
      <c r="C710">
        <f>_xlfn.XLOOKUP(A710,'Data Cleaning'!A710:A2179,'Data Cleaning'!K710:K2179)</f>
        <v>0</v>
      </c>
      <c r="D710" t="str">
        <f>_xlfn.XLOOKUP(A710,'Data Cleaning'!A710:A2179, 'Data Cleaning'!D710:D2179)</f>
        <v>Below College</v>
      </c>
      <c r="E710" s="3" t="str">
        <f>_xlfn.XLOOKUP(A710,'Data Cleaning'!A710:A2179, 'Data Cleaning'!E710:E2179)</f>
        <v>Married</v>
      </c>
      <c r="F710" t="str">
        <f>_xlfn.XLOOKUP(A710,'Data Cleaning'!A710:A2179, 'Data Cleaning'!F710:F2179)</f>
        <v>Mid</v>
      </c>
      <c r="G710" s="3" t="str">
        <f>_xlfn.XLOOKUP(A710,'Data Cleaning'!A710:A2179, 'Data Cleaning'!J710:J2179)</f>
        <v>Recently promoted</v>
      </c>
    </row>
    <row r="711" spans="1:7" x14ac:dyDescent="0.25">
      <c r="A711" s="3">
        <v>1680</v>
      </c>
      <c r="B711" s="3" t="str">
        <f>_xlfn.XLOOKUP(A711,'Data Cleaning'!A711:A2180, 'Data Cleaning'!I711:I2180)</f>
        <v>18-24</v>
      </c>
      <c r="C711">
        <f>_xlfn.XLOOKUP(A711,'Data Cleaning'!A711:A2180,'Data Cleaning'!K711:K2180)</f>
        <v>0</v>
      </c>
      <c r="D711" t="str">
        <f>_xlfn.XLOOKUP(A711,'Data Cleaning'!A711:A2180, 'Data Cleaning'!D711:D2180)</f>
        <v>Below College</v>
      </c>
      <c r="E711" s="3" t="str">
        <f>_xlfn.XLOOKUP(A711,'Data Cleaning'!A711:A2180, 'Data Cleaning'!E711:E2180)</f>
        <v>Single</v>
      </c>
      <c r="F711" t="str">
        <f>_xlfn.XLOOKUP(A711,'Data Cleaning'!A711:A2180, 'Data Cleaning'!F711:F2180)</f>
        <v>None</v>
      </c>
      <c r="G711" s="3" t="str">
        <f>_xlfn.XLOOKUP(A711,'Data Cleaning'!A711:A2180, 'Data Cleaning'!J711:J2180)</f>
        <v>Recently promoted</v>
      </c>
    </row>
    <row r="712" spans="1:7" x14ac:dyDescent="0.25">
      <c r="A712" s="3">
        <v>1269</v>
      </c>
      <c r="B712" s="3" t="str">
        <f>_xlfn.XLOOKUP(A712,'Data Cleaning'!A712:A2181, 'Data Cleaning'!I712:I2181)</f>
        <v>18-24</v>
      </c>
      <c r="C712">
        <f>_xlfn.XLOOKUP(A712,'Data Cleaning'!A712:A2181,'Data Cleaning'!K712:K2181)</f>
        <v>0</v>
      </c>
      <c r="D712" t="str">
        <f>_xlfn.XLOOKUP(A712,'Data Cleaning'!A712:A2181, 'Data Cleaning'!D712:D2181)</f>
        <v>Bachelor</v>
      </c>
      <c r="E712" s="3" t="str">
        <f>_xlfn.XLOOKUP(A712,'Data Cleaning'!A712:A2181, 'Data Cleaning'!E712:E2181)</f>
        <v>Single</v>
      </c>
      <c r="F712" t="str">
        <f>_xlfn.XLOOKUP(A712,'Data Cleaning'!A712:A2181, 'Data Cleaning'!F712:F2181)</f>
        <v>None</v>
      </c>
      <c r="G712" s="3" t="str">
        <f>_xlfn.XLOOKUP(A712,'Data Cleaning'!A712:A2181, 'Data Cleaning'!J712:J2181)</f>
        <v>Recently promoted</v>
      </c>
    </row>
    <row r="713" spans="1:7" x14ac:dyDescent="0.25">
      <c r="A713" s="3">
        <v>1601</v>
      </c>
      <c r="B713" s="3" t="str">
        <f>_xlfn.XLOOKUP(A713,'Data Cleaning'!A713:A2182, 'Data Cleaning'!I713:I2182)</f>
        <v>35-44</v>
      </c>
      <c r="C713">
        <f>_xlfn.XLOOKUP(A713,'Data Cleaning'!A713:A2182,'Data Cleaning'!K713:K2182)</f>
        <v>0</v>
      </c>
      <c r="D713" t="str">
        <f>_xlfn.XLOOKUP(A713,'Data Cleaning'!A713:A2182, 'Data Cleaning'!D713:D2182)</f>
        <v>College</v>
      </c>
      <c r="E713" s="3" t="str">
        <f>_xlfn.XLOOKUP(A713,'Data Cleaning'!A713:A2182, 'Data Cleaning'!E713:E2182)</f>
        <v>Married</v>
      </c>
      <c r="F713" t="str">
        <f>_xlfn.XLOOKUP(A713,'Data Cleaning'!A713:A2182, 'Data Cleaning'!F713:F2182)</f>
        <v>Low</v>
      </c>
      <c r="G713" s="3" t="str">
        <f>_xlfn.XLOOKUP(A713,'Data Cleaning'!A713:A2182, 'Data Cleaning'!J713:J2182)</f>
        <v>Recently promoted</v>
      </c>
    </row>
    <row r="714" spans="1:7" x14ac:dyDescent="0.25">
      <c r="A714" s="3">
        <v>776</v>
      </c>
      <c r="B714" s="3" t="str">
        <f>_xlfn.XLOOKUP(A714,'Data Cleaning'!A714:A2183, 'Data Cleaning'!I714:I2183)</f>
        <v>45-54</v>
      </c>
      <c r="C714">
        <f>_xlfn.XLOOKUP(A714,'Data Cleaning'!A714:A2183,'Data Cleaning'!K714:K2183)</f>
        <v>0</v>
      </c>
      <c r="D714" t="str">
        <f>_xlfn.XLOOKUP(A714,'Data Cleaning'!A714:A2183, 'Data Cleaning'!D714:D2183)</f>
        <v>Master</v>
      </c>
      <c r="E714" s="3" t="str">
        <f>_xlfn.XLOOKUP(A714,'Data Cleaning'!A714:A2183, 'Data Cleaning'!E714:E2183)</f>
        <v>Married</v>
      </c>
      <c r="F714" t="str">
        <f>_xlfn.XLOOKUP(A714,'Data Cleaning'!A714:A2183, 'Data Cleaning'!F714:F2183)</f>
        <v>None</v>
      </c>
      <c r="G714" s="3" t="str">
        <f>_xlfn.XLOOKUP(A714,'Data Cleaning'!A714:A2183, 'Data Cleaning'!J714:J2183)</f>
        <v>Promoted in 1-3 years</v>
      </c>
    </row>
    <row r="715" spans="1:7" x14ac:dyDescent="0.25">
      <c r="A715" s="3">
        <v>1402</v>
      </c>
      <c r="B715" s="3" t="str">
        <f>_xlfn.XLOOKUP(A715,'Data Cleaning'!A715:A2184, 'Data Cleaning'!I715:I2184)</f>
        <v>35-44</v>
      </c>
      <c r="C715">
        <f>_xlfn.XLOOKUP(A715,'Data Cleaning'!A715:A2184,'Data Cleaning'!K715:K2184)</f>
        <v>0</v>
      </c>
      <c r="D715" t="str">
        <f>_xlfn.XLOOKUP(A715,'Data Cleaning'!A715:A2184, 'Data Cleaning'!D715:D2184)</f>
        <v>Bachelor</v>
      </c>
      <c r="E715" s="3" t="str">
        <f>_xlfn.XLOOKUP(A715,'Data Cleaning'!A715:A2184, 'Data Cleaning'!E715:E2184)</f>
        <v>Single</v>
      </c>
      <c r="F715" t="str">
        <f>_xlfn.XLOOKUP(A715,'Data Cleaning'!A715:A2184, 'Data Cleaning'!F715:F2184)</f>
        <v>None</v>
      </c>
      <c r="G715" s="3" t="str">
        <f>_xlfn.XLOOKUP(A715,'Data Cleaning'!A715:A2184, 'Data Cleaning'!J715:J2184)</f>
        <v>Promoted in 1-3 years</v>
      </c>
    </row>
    <row r="716" spans="1:7" x14ac:dyDescent="0.25">
      <c r="A716" s="3">
        <v>729</v>
      </c>
      <c r="B716" s="3" t="str">
        <f>_xlfn.XLOOKUP(A716,'Data Cleaning'!A716:A2185, 'Data Cleaning'!I716:I2185)</f>
        <v>35-44</v>
      </c>
      <c r="C716">
        <f>_xlfn.XLOOKUP(A716,'Data Cleaning'!A716:A2185,'Data Cleaning'!K716:K2185)</f>
        <v>0</v>
      </c>
      <c r="D716" t="str">
        <f>_xlfn.XLOOKUP(A716,'Data Cleaning'!A716:A2185, 'Data Cleaning'!D716:D2185)</f>
        <v>Master</v>
      </c>
      <c r="E716" s="3" t="str">
        <f>_xlfn.XLOOKUP(A716,'Data Cleaning'!A716:A2185, 'Data Cleaning'!E716:E2185)</f>
        <v>Married</v>
      </c>
      <c r="F716" t="str">
        <f>_xlfn.XLOOKUP(A716,'Data Cleaning'!A716:A2185, 'Data Cleaning'!F716:F2185)</f>
        <v>Low</v>
      </c>
      <c r="G716" s="3" t="str">
        <f>_xlfn.XLOOKUP(A716,'Data Cleaning'!A716:A2185, 'Data Cleaning'!J716:J2185)</f>
        <v>Promoted in 1-3 years</v>
      </c>
    </row>
    <row r="717" spans="1:7" x14ac:dyDescent="0.25">
      <c r="A717" s="3">
        <v>327</v>
      </c>
      <c r="B717" s="3" t="str">
        <f>_xlfn.XLOOKUP(A717,'Data Cleaning'!A717:A2186, 'Data Cleaning'!I717:I2186)</f>
        <v>35-44</v>
      </c>
      <c r="C717">
        <f>_xlfn.XLOOKUP(A717,'Data Cleaning'!A717:A2186,'Data Cleaning'!K717:K2186)</f>
        <v>0</v>
      </c>
      <c r="D717" t="str">
        <f>_xlfn.XLOOKUP(A717,'Data Cleaning'!A717:A2186, 'Data Cleaning'!D717:D2186)</f>
        <v>Bachelor</v>
      </c>
      <c r="E717" s="3" t="str">
        <f>_xlfn.XLOOKUP(A717,'Data Cleaning'!A717:A2186, 'Data Cleaning'!E717:E2186)</f>
        <v>Married</v>
      </c>
      <c r="F717" t="str">
        <f>_xlfn.XLOOKUP(A717,'Data Cleaning'!A717:A2186, 'Data Cleaning'!F717:F2186)</f>
        <v>Low</v>
      </c>
      <c r="G717" s="3" t="str">
        <f>_xlfn.XLOOKUP(A717,'Data Cleaning'!A717:A2186, 'Data Cleaning'!J717:J2186)</f>
        <v>Promoted in 1-3 years</v>
      </c>
    </row>
    <row r="718" spans="1:7" x14ac:dyDescent="0.25">
      <c r="A718" s="3">
        <v>1621</v>
      </c>
      <c r="B718" s="3" t="str">
        <f>_xlfn.XLOOKUP(A718,'Data Cleaning'!A718:A2187, 'Data Cleaning'!I718:I2187)</f>
        <v>35-44</v>
      </c>
      <c r="C718">
        <f>_xlfn.XLOOKUP(A718,'Data Cleaning'!A718:A2187,'Data Cleaning'!K718:K2187)</f>
        <v>0</v>
      </c>
      <c r="D718" t="str">
        <f>_xlfn.XLOOKUP(A718,'Data Cleaning'!A718:A2187, 'Data Cleaning'!D718:D2187)</f>
        <v>Doctor</v>
      </c>
      <c r="E718" s="3" t="str">
        <f>_xlfn.XLOOKUP(A718,'Data Cleaning'!A718:A2187, 'Data Cleaning'!E718:E2187)</f>
        <v>Married</v>
      </c>
      <c r="F718" t="str">
        <f>_xlfn.XLOOKUP(A718,'Data Cleaning'!A718:A2187, 'Data Cleaning'!F718:F2187)</f>
        <v>None</v>
      </c>
      <c r="G718" s="3" t="str">
        <f>_xlfn.XLOOKUP(A718,'Data Cleaning'!A718:A2187, 'Data Cleaning'!J718:J2187)</f>
        <v>Promoted in 1-3 years</v>
      </c>
    </row>
    <row r="719" spans="1:7" x14ac:dyDescent="0.25">
      <c r="A719" s="3">
        <v>1080</v>
      </c>
      <c r="B719" s="3" t="str">
        <f>_xlfn.XLOOKUP(A719,'Data Cleaning'!A719:A2188, 'Data Cleaning'!I719:I2188)</f>
        <v>45-54</v>
      </c>
      <c r="C719">
        <f>_xlfn.XLOOKUP(A719,'Data Cleaning'!A719:A2188,'Data Cleaning'!K719:K2188)</f>
        <v>0</v>
      </c>
      <c r="D719" t="str">
        <f>_xlfn.XLOOKUP(A719,'Data Cleaning'!A719:A2188, 'Data Cleaning'!D719:D2188)</f>
        <v>Master</v>
      </c>
      <c r="E719" s="3" t="str">
        <f>_xlfn.XLOOKUP(A719,'Data Cleaning'!A719:A2188, 'Data Cleaning'!E719:E2188)</f>
        <v>Divorced</v>
      </c>
      <c r="F719" t="str">
        <f>_xlfn.XLOOKUP(A719,'Data Cleaning'!A719:A2188, 'Data Cleaning'!F719:F2188)</f>
        <v>High</v>
      </c>
      <c r="G719" s="3" t="str">
        <f>_xlfn.XLOOKUP(A719,'Data Cleaning'!A719:A2188, 'Data Cleaning'!J719:J2188)</f>
        <v>Promoted in 1-3 years</v>
      </c>
    </row>
    <row r="720" spans="1:7" x14ac:dyDescent="0.25">
      <c r="A720" s="3">
        <v>1520</v>
      </c>
      <c r="B720" s="3" t="str">
        <f>_xlfn.XLOOKUP(A720,'Data Cleaning'!A720:A2189, 'Data Cleaning'!I720:I2189)</f>
        <v>45-54</v>
      </c>
      <c r="C720">
        <f>_xlfn.XLOOKUP(A720,'Data Cleaning'!A720:A2189,'Data Cleaning'!K720:K2189)</f>
        <v>0</v>
      </c>
      <c r="D720" t="str">
        <f>_xlfn.XLOOKUP(A720,'Data Cleaning'!A720:A2189, 'Data Cleaning'!D720:D2189)</f>
        <v>Master</v>
      </c>
      <c r="E720" s="3" t="str">
        <f>_xlfn.XLOOKUP(A720,'Data Cleaning'!A720:A2189, 'Data Cleaning'!E720:E2189)</f>
        <v>Divorced</v>
      </c>
      <c r="F720" t="str">
        <f>_xlfn.XLOOKUP(A720,'Data Cleaning'!A720:A2189, 'Data Cleaning'!F720:F2189)</f>
        <v>Low</v>
      </c>
      <c r="G720" s="3" t="str">
        <f>_xlfn.XLOOKUP(A720,'Data Cleaning'!A720:A2189, 'Data Cleaning'!J720:J2189)</f>
        <v>Promoted in 1-3 years</v>
      </c>
    </row>
    <row r="721" spans="1:7" x14ac:dyDescent="0.25">
      <c r="A721" s="3">
        <v>107</v>
      </c>
      <c r="B721" s="3" t="str">
        <f>_xlfn.XLOOKUP(A721,'Data Cleaning'!A721:A2190, 'Data Cleaning'!I721:I2190)</f>
        <v>35-44</v>
      </c>
      <c r="C721">
        <f>_xlfn.XLOOKUP(A721,'Data Cleaning'!A721:A2190,'Data Cleaning'!K721:K2190)</f>
        <v>0</v>
      </c>
      <c r="D721" t="str">
        <f>_xlfn.XLOOKUP(A721,'Data Cleaning'!A721:A2190, 'Data Cleaning'!D721:D2190)</f>
        <v>Bachelor</v>
      </c>
      <c r="E721" s="3" t="str">
        <f>_xlfn.XLOOKUP(A721,'Data Cleaning'!A721:A2190, 'Data Cleaning'!E721:E2190)</f>
        <v>Divorced</v>
      </c>
      <c r="F721" t="str">
        <f>_xlfn.XLOOKUP(A721,'Data Cleaning'!A721:A2190, 'Data Cleaning'!F721:F2190)</f>
        <v>High</v>
      </c>
      <c r="G721" s="3" t="str">
        <f>_xlfn.XLOOKUP(A721,'Data Cleaning'!A721:A2190, 'Data Cleaning'!J721:J2190)</f>
        <v>Promoted in 1-3 years</v>
      </c>
    </row>
    <row r="722" spans="1:7" x14ac:dyDescent="0.25">
      <c r="A722" s="3">
        <v>2026</v>
      </c>
      <c r="B722" s="3" t="str">
        <f>_xlfn.XLOOKUP(A722,'Data Cleaning'!A722:A2191, 'Data Cleaning'!I722:I2191)</f>
        <v>55-60</v>
      </c>
      <c r="C722">
        <f>_xlfn.XLOOKUP(A722,'Data Cleaning'!A722:A2191,'Data Cleaning'!K722:K2191)</f>
        <v>0</v>
      </c>
      <c r="D722" t="str">
        <f>_xlfn.XLOOKUP(A722,'Data Cleaning'!A722:A2191, 'Data Cleaning'!D722:D2191)</f>
        <v>Master</v>
      </c>
      <c r="E722" s="3" t="str">
        <f>_xlfn.XLOOKUP(A722,'Data Cleaning'!A722:A2191, 'Data Cleaning'!E722:E2191)</f>
        <v>Divorced</v>
      </c>
      <c r="F722" t="str">
        <f>_xlfn.XLOOKUP(A722,'Data Cleaning'!A722:A2191, 'Data Cleaning'!F722:F2191)</f>
        <v>Low</v>
      </c>
      <c r="G722" s="3" t="str">
        <f>_xlfn.XLOOKUP(A722,'Data Cleaning'!A722:A2191, 'Data Cleaning'!J722:J2191)</f>
        <v>Promoted in 1-3 years</v>
      </c>
    </row>
    <row r="723" spans="1:7" x14ac:dyDescent="0.25">
      <c r="A723" s="3">
        <v>1233</v>
      </c>
      <c r="B723" s="3" t="str">
        <f>_xlfn.XLOOKUP(A723,'Data Cleaning'!A723:A2192, 'Data Cleaning'!I723:I2192)</f>
        <v>55-60</v>
      </c>
      <c r="C723">
        <f>_xlfn.XLOOKUP(A723,'Data Cleaning'!A723:A2192,'Data Cleaning'!K723:K2192)</f>
        <v>0</v>
      </c>
      <c r="D723" t="str">
        <f>_xlfn.XLOOKUP(A723,'Data Cleaning'!A723:A2192, 'Data Cleaning'!D723:D2192)</f>
        <v>Master</v>
      </c>
      <c r="E723" s="3" t="str">
        <f>_xlfn.XLOOKUP(A723,'Data Cleaning'!A723:A2192, 'Data Cleaning'!E723:E2192)</f>
        <v>Divorced</v>
      </c>
      <c r="F723" t="str">
        <f>_xlfn.XLOOKUP(A723,'Data Cleaning'!A723:A2192, 'Data Cleaning'!F723:F2192)</f>
        <v>Low</v>
      </c>
      <c r="G723" s="3" t="str">
        <f>_xlfn.XLOOKUP(A723,'Data Cleaning'!A723:A2192, 'Data Cleaning'!J723:J2192)</f>
        <v>Promoted in 1-3 years</v>
      </c>
    </row>
    <row r="724" spans="1:7" x14ac:dyDescent="0.25">
      <c r="A724" s="3">
        <v>98</v>
      </c>
      <c r="B724" s="3" t="str">
        <f>_xlfn.XLOOKUP(A724,'Data Cleaning'!A724:A2193, 'Data Cleaning'!I724:I2193)</f>
        <v>25-34</v>
      </c>
      <c r="C724">
        <f>_xlfn.XLOOKUP(A724,'Data Cleaning'!A724:A2193,'Data Cleaning'!K724:K2193)</f>
        <v>0</v>
      </c>
      <c r="D724" t="str">
        <f>_xlfn.XLOOKUP(A724,'Data Cleaning'!A724:A2193, 'Data Cleaning'!D724:D2193)</f>
        <v>Master</v>
      </c>
      <c r="E724" s="3" t="str">
        <f>_xlfn.XLOOKUP(A724,'Data Cleaning'!A724:A2193, 'Data Cleaning'!E724:E2193)</f>
        <v>Single</v>
      </c>
      <c r="F724" t="str">
        <f>_xlfn.XLOOKUP(A724,'Data Cleaning'!A724:A2193, 'Data Cleaning'!F724:F2193)</f>
        <v>None</v>
      </c>
      <c r="G724" s="3" t="str">
        <f>_xlfn.XLOOKUP(A724,'Data Cleaning'!A724:A2193, 'Data Cleaning'!J724:J2193)</f>
        <v>Promoted in 1-3 years</v>
      </c>
    </row>
    <row r="725" spans="1:7" x14ac:dyDescent="0.25">
      <c r="A725" s="3">
        <v>120</v>
      </c>
      <c r="B725" s="3" t="str">
        <f>_xlfn.XLOOKUP(A725,'Data Cleaning'!A725:A2194, 'Data Cleaning'!I725:I2194)</f>
        <v>45-54</v>
      </c>
      <c r="C725">
        <f>_xlfn.XLOOKUP(A725,'Data Cleaning'!A725:A2194,'Data Cleaning'!K725:K2194)</f>
        <v>0</v>
      </c>
      <c r="D725" t="str">
        <f>_xlfn.XLOOKUP(A725,'Data Cleaning'!A725:A2194, 'Data Cleaning'!D725:D2194)</f>
        <v>Master</v>
      </c>
      <c r="E725" s="3" t="str">
        <f>_xlfn.XLOOKUP(A725,'Data Cleaning'!A725:A2194, 'Data Cleaning'!E725:E2194)</f>
        <v>Single</v>
      </c>
      <c r="F725" t="str">
        <f>_xlfn.XLOOKUP(A725,'Data Cleaning'!A725:A2194, 'Data Cleaning'!F725:F2194)</f>
        <v>None</v>
      </c>
      <c r="G725" s="3" t="str">
        <f>_xlfn.XLOOKUP(A725,'Data Cleaning'!A725:A2194, 'Data Cleaning'!J725:J2194)</f>
        <v>Promoted in 1-3 years</v>
      </c>
    </row>
    <row r="726" spans="1:7" x14ac:dyDescent="0.25">
      <c r="A726" s="3">
        <v>1252</v>
      </c>
      <c r="B726" s="3" t="str">
        <f>_xlfn.XLOOKUP(A726,'Data Cleaning'!A726:A2195, 'Data Cleaning'!I726:I2195)</f>
        <v>25-34</v>
      </c>
      <c r="C726">
        <f>_xlfn.XLOOKUP(A726,'Data Cleaning'!A726:A2195,'Data Cleaning'!K726:K2195)</f>
        <v>0</v>
      </c>
      <c r="D726" t="str">
        <f>_xlfn.XLOOKUP(A726,'Data Cleaning'!A726:A2195, 'Data Cleaning'!D726:D2195)</f>
        <v>Bachelor</v>
      </c>
      <c r="E726" s="3" t="str">
        <f>_xlfn.XLOOKUP(A726,'Data Cleaning'!A726:A2195, 'Data Cleaning'!E726:E2195)</f>
        <v>Single</v>
      </c>
      <c r="F726" t="str">
        <f>_xlfn.XLOOKUP(A726,'Data Cleaning'!A726:A2195, 'Data Cleaning'!F726:F2195)</f>
        <v>None</v>
      </c>
      <c r="G726" s="3" t="str">
        <f>_xlfn.XLOOKUP(A726,'Data Cleaning'!A726:A2195, 'Data Cleaning'!J726:J2195)</f>
        <v>Promoted in 1-3 years</v>
      </c>
    </row>
    <row r="727" spans="1:7" x14ac:dyDescent="0.25">
      <c r="A727" s="3">
        <v>2</v>
      </c>
      <c r="B727" s="3" t="str">
        <f>_xlfn.XLOOKUP(A727,'Data Cleaning'!A727:A2196, 'Data Cleaning'!I727:I2196)</f>
        <v>45-54</v>
      </c>
      <c r="C727">
        <f>_xlfn.XLOOKUP(A727,'Data Cleaning'!A727:A2196,'Data Cleaning'!K727:K2196)</f>
        <v>0</v>
      </c>
      <c r="D727" t="str">
        <f>_xlfn.XLOOKUP(A727,'Data Cleaning'!A727:A2196, 'Data Cleaning'!D727:D2196)</f>
        <v>Below College</v>
      </c>
      <c r="E727" s="3" t="str">
        <f>_xlfn.XLOOKUP(A727,'Data Cleaning'!A727:A2196, 'Data Cleaning'!E727:E2196)</f>
        <v>Married</v>
      </c>
      <c r="F727" t="str">
        <f>_xlfn.XLOOKUP(A727,'Data Cleaning'!A727:A2196, 'Data Cleaning'!F727:F2196)</f>
        <v>Low</v>
      </c>
      <c r="G727" s="3" t="str">
        <f>_xlfn.XLOOKUP(A727,'Data Cleaning'!A727:A2196, 'Data Cleaning'!J727:J2196)</f>
        <v>Promoted in 1-3 years</v>
      </c>
    </row>
    <row r="728" spans="1:7" x14ac:dyDescent="0.25">
      <c r="A728" s="3">
        <v>12</v>
      </c>
      <c r="B728" s="3" t="str">
        <f>_xlfn.XLOOKUP(A728,'Data Cleaning'!A728:A2197, 'Data Cleaning'!I728:I2197)</f>
        <v>35-44</v>
      </c>
      <c r="C728">
        <f>_xlfn.XLOOKUP(A728,'Data Cleaning'!A728:A2197,'Data Cleaning'!K728:K2197)</f>
        <v>0</v>
      </c>
      <c r="D728" t="str">
        <f>_xlfn.XLOOKUP(A728,'Data Cleaning'!A728:A2197, 'Data Cleaning'!D728:D2197)</f>
        <v>Bachelor</v>
      </c>
      <c r="E728" s="3" t="str">
        <f>_xlfn.XLOOKUP(A728,'Data Cleaning'!A728:A2197, 'Data Cleaning'!E728:E2197)</f>
        <v>Single</v>
      </c>
      <c r="F728" t="str">
        <f>_xlfn.XLOOKUP(A728,'Data Cleaning'!A728:A2197, 'Data Cleaning'!F728:F2197)</f>
        <v>None</v>
      </c>
      <c r="G728" s="3" t="str">
        <f>_xlfn.XLOOKUP(A728,'Data Cleaning'!A728:A2197, 'Data Cleaning'!J728:J2197)</f>
        <v>Promoted in 1-3 years</v>
      </c>
    </row>
    <row r="729" spans="1:7" x14ac:dyDescent="0.25">
      <c r="A729" s="3">
        <v>1423</v>
      </c>
      <c r="B729" s="3" t="str">
        <f>_xlfn.XLOOKUP(A729,'Data Cleaning'!A729:A2198, 'Data Cleaning'!I729:I2198)</f>
        <v>55-60</v>
      </c>
      <c r="C729">
        <f>_xlfn.XLOOKUP(A729,'Data Cleaning'!A729:A2198,'Data Cleaning'!K729:K2198)</f>
        <v>0</v>
      </c>
      <c r="D729" t="str">
        <f>_xlfn.XLOOKUP(A729,'Data Cleaning'!A729:A2198, 'Data Cleaning'!D729:D2198)</f>
        <v>Bachelor</v>
      </c>
      <c r="E729" s="3" t="str">
        <f>_xlfn.XLOOKUP(A729,'Data Cleaning'!A729:A2198, 'Data Cleaning'!E729:E2198)</f>
        <v>Married</v>
      </c>
      <c r="F729" t="str">
        <f>_xlfn.XLOOKUP(A729,'Data Cleaning'!A729:A2198, 'Data Cleaning'!F729:F2198)</f>
        <v>Low</v>
      </c>
      <c r="G729" s="3" t="str">
        <f>_xlfn.XLOOKUP(A729,'Data Cleaning'!A729:A2198, 'Data Cleaning'!J729:J2198)</f>
        <v>Promoted in 1-3 years</v>
      </c>
    </row>
    <row r="730" spans="1:7" x14ac:dyDescent="0.25">
      <c r="A730" s="3">
        <v>724</v>
      </c>
      <c r="B730" s="3" t="str">
        <f>_xlfn.XLOOKUP(A730,'Data Cleaning'!A730:A2199, 'Data Cleaning'!I730:I2199)</f>
        <v>35-44</v>
      </c>
      <c r="C730">
        <f>_xlfn.XLOOKUP(A730,'Data Cleaning'!A730:A2199,'Data Cleaning'!K730:K2199)</f>
        <v>0</v>
      </c>
      <c r="D730" t="str">
        <f>_xlfn.XLOOKUP(A730,'Data Cleaning'!A730:A2199, 'Data Cleaning'!D730:D2199)</f>
        <v>Master</v>
      </c>
      <c r="E730" s="3" t="str">
        <f>_xlfn.XLOOKUP(A730,'Data Cleaning'!A730:A2199, 'Data Cleaning'!E730:E2199)</f>
        <v>Single</v>
      </c>
      <c r="F730" t="str">
        <f>_xlfn.XLOOKUP(A730,'Data Cleaning'!A730:A2199, 'Data Cleaning'!F730:F2199)</f>
        <v>None</v>
      </c>
      <c r="G730" s="3" t="str">
        <f>_xlfn.XLOOKUP(A730,'Data Cleaning'!A730:A2199, 'Data Cleaning'!J730:J2199)</f>
        <v>Promoted in 1-3 years</v>
      </c>
    </row>
    <row r="731" spans="1:7" x14ac:dyDescent="0.25">
      <c r="A731" s="3">
        <v>733</v>
      </c>
      <c r="B731" s="3" t="str">
        <f>_xlfn.XLOOKUP(A731,'Data Cleaning'!A731:A2200, 'Data Cleaning'!I731:I2200)</f>
        <v>25-34</v>
      </c>
      <c r="C731">
        <f>_xlfn.XLOOKUP(A731,'Data Cleaning'!A731:A2200,'Data Cleaning'!K731:K2200)</f>
        <v>0</v>
      </c>
      <c r="D731" t="str">
        <f>_xlfn.XLOOKUP(A731,'Data Cleaning'!A731:A2200, 'Data Cleaning'!D731:D2200)</f>
        <v>College</v>
      </c>
      <c r="E731" s="3" t="str">
        <f>_xlfn.XLOOKUP(A731,'Data Cleaning'!A731:A2200, 'Data Cleaning'!E731:E2200)</f>
        <v>Divorced</v>
      </c>
      <c r="F731" t="str">
        <f>_xlfn.XLOOKUP(A731,'Data Cleaning'!A731:A2200, 'Data Cleaning'!F731:F2200)</f>
        <v>Mid</v>
      </c>
      <c r="G731" s="3" t="str">
        <f>_xlfn.XLOOKUP(A731,'Data Cleaning'!A731:A2200, 'Data Cleaning'!J731:J2200)</f>
        <v>Promoted in 1-3 years</v>
      </c>
    </row>
    <row r="732" spans="1:7" x14ac:dyDescent="0.25">
      <c r="A732" s="3">
        <v>74</v>
      </c>
      <c r="B732" s="3" t="str">
        <f>_xlfn.XLOOKUP(A732,'Data Cleaning'!A732:A2201, 'Data Cleaning'!I732:I2201)</f>
        <v>35-44</v>
      </c>
      <c r="C732">
        <f>_xlfn.XLOOKUP(A732,'Data Cleaning'!A732:A2201,'Data Cleaning'!K732:K2201)</f>
        <v>0</v>
      </c>
      <c r="D732" t="str">
        <f>_xlfn.XLOOKUP(A732,'Data Cleaning'!A732:A2201, 'Data Cleaning'!D732:D2201)</f>
        <v>Doctor</v>
      </c>
      <c r="E732" s="3" t="str">
        <f>_xlfn.XLOOKUP(A732,'Data Cleaning'!A732:A2201, 'Data Cleaning'!E732:E2201)</f>
        <v>Married</v>
      </c>
      <c r="F732" t="str">
        <f>_xlfn.XLOOKUP(A732,'Data Cleaning'!A732:A2201, 'Data Cleaning'!F732:F2201)</f>
        <v>Low</v>
      </c>
      <c r="G732" s="3" t="str">
        <f>_xlfn.XLOOKUP(A732,'Data Cleaning'!A732:A2201, 'Data Cleaning'!J732:J2201)</f>
        <v>Promoted in 1-3 years</v>
      </c>
    </row>
    <row r="733" spans="1:7" x14ac:dyDescent="0.25">
      <c r="A733" s="3">
        <v>227</v>
      </c>
      <c r="B733" s="3" t="str">
        <f>_xlfn.XLOOKUP(A733,'Data Cleaning'!A733:A2202, 'Data Cleaning'!I733:I2202)</f>
        <v>35-44</v>
      </c>
      <c r="C733">
        <f>_xlfn.XLOOKUP(A733,'Data Cleaning'!A733:A2202,'Data Cleaning'!K733:K2202)</f>
        <v>0</v>
      </c>
      <c r="D733" t="str">
        <f>_xlfn.XLOOKUP(A733,'Data Cleaning'!A733:A2202, 'Data Cleaning'!D733:D2202)</f>
        <v>Bachelor</v>
      </c>
      <c r="E733" s="3" t="str">
        <f>_xlfn.XLOOKUP(A733,'Data Cleaning'!A733:A2202, 'Data Cleaning'!E733:E2202)</f>
        <v>Divorced</v>
      </c>
      <c r="F733" t="str">
        <f>_xlfn.XLOOKUP(A733,'Data Cleaning'!A733:A2202, 'Data Cleaning'!F733:F2202)</f>
        <v>Low</v>
      </c>
      <c r="G733" s="3" t="str">
        <f>_xlfn.XLOOKUP(A733,'Data Cleaning'!A733:A2202, 'Data Cleaning'!J733:J2202)</f>
        <v>Promoted in 1-3 years</v>
      </c>
    </row>
    <row r="734" spans="1:7" x14ac:dyDescent="0.25">
      <c r="A734" s="3">
        <v>1349</v>
      </c>
      <c r="B734" s="3" t="str">
        <f>_xlfn.XLOOKUP(A734,'Data Cleaning'!A734:A2203, 'Data Cleaning'!I734:I2203)</f>
        <v>35-44</v>
      </c>
      <c r="C734">
        <f>_xlfn.XLOOKUP(A734,'Data Cleaning'!A734:A2203,'Data Cleaning'!K734:K2203)</f>
        <v>0</v>
      </c>
      <c r="D734" t="str">
        <f>_xlfn.XLOOKUP(A734,'Data Cleaning'!A734:A2203, 'Data Cleaning'!D734:D2203)</f>
        <v>Bachelor</v>
      </c>
      <c r="E734" s="3" t="str">
        <f>_xlfn.XLOOKUP(A734,'Data Cleaning'!A734:A2203, 'Data Cleaning'!E734:E2203)</f>
        <v>Divorced</v>
      </c>
      <c r="F734" t="str">
        <f>_xlfn.XLOOKUP(A734,'Data Cleaning'!A734:A2203, 'Data Cleaning'!F734:F2203)</f>
        <v>Low</v>
      </c>
      <c r="G734" s="3" t="str">
        <f>_xlfn.XLOOKUP(A734,'Data Cleaning'!A734:A2203, 'Data Cleaning'!J734:J2203)</f>
        <v>Promoted in 1-3 years</v>
      </c>
    </row>
    <row r="735" spans="1:7" x14ac:dyDescent="0.25">
      <c r="A735" s="3">
        <v>252</v>
      </c>
      <c r="B735" s="3" t="str">
        <f>_xlfn.XLOOKUP(A735,'Data Cleaning'!A735:A2204, 'Data Cleaning'!I735:I2204)</f>
        <v>25-34</v>
      </c>
      <c r="C735">
        <f>_xlfn.XLOOKUP(A735,'Data Cleaning'!A735:A2204,'Data Cleaning'!K735:K2204)</f>
        <v>0</v>
      </c>
      <c r="D735" t="str">
        <f>_xlfn.XLOOKUP(A735,'Data Cleaning'!A735:A2204, 'Data Cleaning'!D735:D2204)</f>
        <v>Bachelor</v>
      </c>
      <c r="E735" s="3" t="str">
        <f>_xlfn.XLOOKUP(A735,'Data Cleaning'!A735:A2204, 'Data Cleaning'!E735:E2204)</f>
        <v>Married</v>
      </c>
      <c r="F735" t="str">
        <f>_xlfn.XLOOKUP(A735,'Data Cleaning'!A735:A2204, 'Data Cleaning'!F735:F2204)</f>
        <v>Low</v>
      </c>
      <c r="G735" s="3" t="str">
        <f>_xlfn.XLOOKUP(A735,'Data Cleaning'!A735:A2204, 'Data Cleaning'!J735:J2204)</f>
        <v>Promoted in 1-3 years</v>
      </c>
    </row>
    <row r="736" spans="1:7" x14ac:dyDescent="0.25">
      <c r="A736" s="3">
        <v>2035</v>
      </c>
      <c r="B736" s="3" t="str">
        <f>_xlfn.XLOOKUP(A736,'Data Cleaning'!A736:A2205, 'Data Cleaning'!I736:I2205)</f>
        <v>25-34</v>
      </c>
      <c r="C736">
        <f>_xlfn.XLOOKUP(A736,'Data Cleaning'!A736:A2205,'Data Cleaning'!K736:K2205)</f>
        <v>0</v>
      </c>
      <c r="D736" t="str">
        <f>_xlfn.XLOOKUP(A736,'Data Cleaning'!A736:A2205, 'Data Cleaning'!D736:D2205)</f>
        <v>Bachelor</v>
      </c>
      <c r="E736" s="3" t="str">
        <f>_xlfn.XLOOKUP(A736,'Data Cleaning'!A736:A2205, 'Data Cleaning'!E736:E2205)</f>
        <v>Married</v>
      </c>
      <c r="F736" t="str">
        <f>_xlfn.XLOOKUP(A736,'Data Cleaning'!A736:A2205, 'Data Cleaning'!F736:F2205)</f>
        <v>Mid</v>
      </c>
      <c r="G736" s="3" t="str">
        <f>_xlfn.XLOOKUP(A736,'Data Cleaning'!A736:A2205, 'Data Cleaning'!J736:J2205)</f>
        <v>Promoted in 1-3 years</v>
      </c>
    </row>
    <row r="737" spans="1:7" x14ac:dyDescent="0.25">
      <c r="A737" s="3">
        <v>845</v>
      </c>
      <c r="B737" s="3" t="str">
        <f>_xlfn.XLOOKUP(A737,'Data Cleaning'!A737:A2206, 'Data Cleaning'!I737:I2206)</f>
        <v>35-44</v>
      </c>
      <c r="C737">
        <f>_xlfn.XLOOKUP(A737,'Data Cleaning'!A737:A2206,'Data Cleaning'!K737:K2206)</f>
        <v>0</v>
      </c>
      <c r="D737" t="str">
        <f>_xlfn.XLOOKUP(A737,'Data Cleaning'!A737:A2206, 'Data Cleaning'!D737:D2206)</f>
        <v>Bachelor</v>
      </c>
      <c r="E737" s="3" t="str">
        <f>_xlfn.XLOOKUP(A737,'Data Cleaning'!A737:A2206, 'Data Cleaning'!E737:E2206)</f>
        <v>Single</v>
      </c>
      <c r="F737" t="str">
        <f>_xlfn.XLOOKUP(A737,'Data Cleaning'!A737:A2206, 'Data Cleaning'!F737:F2206)</f>
        <v>None</v>
      </c>
      <c r="G737" s="3" t="str">
        <f>_xlfn.XLOOKUP(A737,'Data Cleaning'!A737:A2206, 'Data Cleaning'!J737:J2206)</f>
        <v>Promoted in 1-3 years</v>
      </c>
    </row>
    <row r="738" spans="1:7" x14ac:dyDescent="0.25">
      <c r="A738" s="3">
        <v>1298</v>
      </c>
      <c r="B738" s="3" t="str">
        <f>_xlfn.XLOOKUP(A738,'Data Cleaning'!A738:A2207, 'Data Cleaning'!I738:I2207)</f>
        <v>25-34</v>
      </c>
      <c r="C738">
        <f>_xlfn.XLOOKUP(A738,'Data Cleaning'!A738:A2207,'Data Cleaning'!K738:K2207)</f>
        <v>0</v>
      </c>
      <c r="D738" t="str">
        <f>_xlfn.XLOOKUP(A738,'Data Cleaning'!A738:A2207, 'Data Cleaning'!D738:D2207)</f>
        <v>College</v>
      </c>
      <c r="E738" s="3" t="str">
        <f>_xlfn.XLOOKUP(A738,'Data Cleaning'!A738:A2207, 'Data Cleaning'!E738:E2207)</f>
        <v>Single</v>
      </c>
      <c r="F738" t="str">
        <f>_xlfn.XLOOKUP(A738,'Data Cleaning'!A738:A2207, 'Data Cleaning'!F738:F2207)</f>
        <v>None</v>
      </c>
      <c r="G738" s="3" t="str">
        <f>_xlfn.XLOOKUP(A738,'Data Cleaning'!A738:A2207, 'Data Cleaning'!J738:J2207)</f>
        <v>Promoted in 1-3 years</v>
      </c>
    </row>
    <row r="739" spans="1:7" x14ac:dyDescent="0.25">
      <c r="A739" s="3">
        <v>76</v>
      </c>
      <c r="B739" s="3" t="str">
        <f>_xlfn.XLOOKUP(A739,'Data Cleaning'!A739:A2208, 'Data Cleaning'!I739:I2208)</f>
        <v>25-34</v>
      </c>
      <c r="C739">
        <f>_xlfn.XLOOKUP(A739,'Data Cleaning'!A739:A2208,'Data Cleaning'!K739:K2208)</f>
        <v>0</v>
      </c>
      <c r="D739" t="str">
        <f>_xlfn.XLOOKUP(A739,'Data Cleaning'!A739:A2208, 'Data Cleaning'!D739:D2208)</f>
        <v>Master</v>
      </c>
      <c r="E739" s="3" t="str">
        <f>_xlfn.XLOOKUP(A739,'Data Cleaning'!A739:A2208, 'Data Cleaning'!E739:E2208)</f>
        <v>Divorced</v>
      </c>
      <c r="F739" t="str">
        <f>_xlfn.XLOOKUP(A739,'Data Cleaning'!A739:A2208, 'Data Cleaning'!F739:F2208)</f>
        <v>Low</v>
      </c>
      <c r="G739" s="3" t="str">
        <f>_xlfn.XLOOKUP(A739,'Data Cleaning'!A739:A2208, 'Data Cleaning'!J739:J2208)</f>
        <v>Promoted in 1-3 years</v>
      </c>
    </row>
    <row r="740" spans="1:7" x14ac:dyDescent="0.25">
      <c r="A740" s="3">
        <v>1120</v>
      </c>
      <c r="B740" s="3" t="str">
        <f>_xlfn.XLOOKUP(A740,'Data Cleaning'!A740:A2209, 'Data Cleaning'!I740:I2209)</f>
        <v>25-34</v>
      </c>
      <c r="C740">
        <f>_xlfn.XLOOKUP(A740,'Data Cleaning'!A740:A2209,'Data Cleaning'!K740:K2209)</f>
        <v>0</v>
      </c>
      <c r="D740" t="str">
        <f>_xlfn.XLOOKUP(A740,'Data Cleaning'!A740:A2209, 'Data Cleaning'!D740:D2209)</f>
        <v>Master</v>
      </c>
      <c r="E740" s="3" t="str">
        <f>_xlfn.XLOOKUP(A740,'Data Cleaning'!A740:A2209, 'Data Cleaning'!E740:E2209)</f>
        <v>Divorced</v>
      </c>
      <c r="F740" t="str">
        <f>_xlfn.XLOOKUP(A740,'Data Cleaning'!A740:A2209, 'Data Cleaning'!F740:F2209)</f>
        <v>Low</v>
      </c>
      <c r="G740" s="3" t="str">
        <f>_xlfn.XLOOKUP(A740,'Data Cleaning'!A740:A2209, 'Data Cleaning'!J740:J2209)</f>
        <v>Promoted in 1-3 years</v>
      </c>
    </row>
    <row r="741" spans="1:7" x14ac:dyDescent="0.25">
      <c r="A741" s="3">
        <v>1355</v>
      </c>
      <c r="B741" s="3" t="str">
        <f>_xlfn.XLOOKUP(A741,'Data Cleaning'!A741:A2210, 'Data Cleaning'!I741:I2210)</f>
        <v>35-44</v>
      </c>
      <c r="C741">
        <f>_xlfn.XLOOKUP(A741,'Data Cleaning'!A741:A2210,'Data Cleaning'!K741:K2210)</f>
        <v>0</v>
      </c>
      <c r="D741" t="str">
        <f>_xlfn.XLOOKUP(A741,'Data Cleaning'!A741:A2210, 'Data Cleaning'!D741:D2210)</f>
        <v>College</v>
      </c>
      <c r="E741" s="3" t="str">
        <f>_xlfn.XLOOKUP(A741,'Data Cleaning'!A741:A2210, 'Data Cleaning'!E741:E2210)</f>
        <v>Divorced</v>
      </c>
      <c r="F741" t="str">
        <f>_xlfn.XLOOKUP(A741,'Data Cleaning'!A741:A2210, 'Data Cleaning'!F741:F2210)</f>
        <v>Low</v>
      </c>
      <c r="G741" s="3" t="str">
        <f>_xlfn.XLOOKUP(A741,'Data Cleaning'!A741:A2210, 'Data Cleaning'!J741:J2210)</f>
        <v>Promoted in 1-3 years</v>
      </c>
    </row>
    <row r="742" spans="1:7" x14ac:dyDescent="0.25">
      <c r="A742" s="3">
        <v>384</v>
      </c>
      <c r="B742" s="3" t="str">
        <f>_xlfn.XLOOKUP(A742,'Data Cleaning'!A742:A2211, 'Data Cleaning'!I742:I2211)</f>
        <v>25-34</v>
      </c>
      <c r="C742">
        <f>_xlfn.XLOOKUP(A742,'Data Cleaning'!A742:A2211,'Data Cleaning'!K742:K2211)</f>
        <v>0</v>
      </c>
      <c r="D742" t="str">
        <f>_xlfn.XLOOKUP(A742,'Data Cleaning'!A742:A2211, 'Data Cleaning'!D742:D2211)</f>
        <v>Bachelor</v>
      </c>
      <c r="E742" s="3" t="str">
        <f>_xlfn.XLOOKUP(A742,'Data Cleaning'!A742:A2211, 'Data Cleaning'!E742:E2211)</f>
        <v>Divorced</v>
      </c>
      <c r="F742" t="str">
        <f>_xlfn.XLOOKUP(A742,'Data Cleaning'!A742:A2211, 'Data Cleaning'!F742:F2211)</f>
        <v>Low</v>
      </c>
      <c r="G742" s="3" t="str">
        <f>_xlfn.XLOOKUP(A742,'Data Cleaning'!A742:A2211, 'Data Cleaning'!J742:J2211)</f>
        <v>Promoted in 1-3 years</v>
      </c>
    </row>
    <row r="743" spans="1:7" x14ac:dyDescent="0.25">
      <c r="A743" s="3">
        <v>1681</v>
      </c>
      <c r="B743" s="3" t="str">
        <f>_xlfn.XLOOKUP(A743,'Data Cleaning'!A743:A2212, 'Data Cleaning'!I743:I2212)</f>
        <v>25-34</v>
      </c>
      <c r="C743">
        <f>_xlfn.XLOOKUP(A743,'Data Cleaning'!A743:A2212,'Data Cleaning'!K743:K2212)</f>
        <v>0</v>
      </c>
      <c r="D743" t="str">
        <f>_xlfn.XLOOKUP(A743,'Data Cleaning'!A743:A2212, 'Data Cleaning'!D743:D2212)</f>
        <v>Bachelor</v>
      </c>
      <c r="E743" s="3" t="str">
        <f>_xlfn.XLOOKUP(A743,'Data Cleaning'!A743:A2212, 'Data Cleaning'!E743:E2212)</f>
        <v>Divorced</v>
      </c>
      <c r="F743" t="str">
        <f>_xlfn.XLOOKUP(A743,'Data Cleaning'!A743:A2212, 'Data Cleaning'!F743:F2212)</f>
        <v>Low</v>
      </c>
      <c r="G743" s="3" t="str">
        <f>_xlfn.XLOOKUP(A743,'Data Cleaning'!A743:A2212, 'Data Cleaning'!J743:J2212)</f>
        <v>Promoted in 1-3 years</v>
      </c>
    </row>
    <row r="744" spans="1:7" x14ac:dyDescent="0.25">
      <c r="A744" s="3">
        <v>786</v>
      </c>
      <c r="B744" s="3" t="str">
        <f>_xlfn.XLOOKUP(A744,'Data Cleaning'!A744:A2213, 'Data Cleaning'!I744:I2213)</f>
        <v>25-34</v>
      </c>
      <c r="C744">
        <f>_xlfn.XLOOKUP(A744,'Data Cleaning'!A744:A2213,'Data Cleaning'!K744:K2213)</f>
        <v>0</v>
      </c>
      <c r="D744" t="str">
        <f>_xlfn.XLOOKUP(A744,'Data Cleaning'!A744:A2213, 'Data Cleaning'!D744:D2213)</f>
        <v>Bachelor</v>
      </c>
      <c r="E744" s="3" t="str">
        <f>_xlfn.XLOOKUP(A744,'Data Cleaning'!A744:A2213, 'Data Cleaning'!E744:E2213)</f>
        <v>Single</v>
      </c>
      <c r="F744" t="str">
        <f>_xlfn.XLOOKUP(A744,'Data Cleaning'!A744:A2213, 'Data Cleaning'!F744:F2213)</f>
        <v>None</v>
      </c>
      <c r="G744" s="3" t="str">
        <f>_xlfn.XLOOKUP(A744,'Data Cleaning'!A744:A2213, 'Data Cleaning'!J744:J2213)</f>
        <v>Promoted in 1-3 years</v>
      </c>
    </row>
    <row r="745" spans="1:7" x14ac:dyDescent="0.25">
      <c r="A745" s="3">
        <v>804</v>
      </c>
      <c r="B745" s="3" t="str">
        <f>_xlfn.XLOOKUP(A745,'Data Cleaning'!A745:A2214, 'Data Cleaning'!I745:I2214)</f>
        <v>25-34</v>
      </c>
      <c r="C745">
        <f>_xlfn.XLOOKUP(A745,'Data Cleaning'!A745:A2214,'Data Cleaning'!K745:K2214)</f>
        <v>0</v>
      </c>
      <c r="D745" t="str">
        <f>_xlfn.XLOOKUP(A745,'Data Cleaning'!A745:A2214, 'Data Cleaning'!D745:D2214)</f>
        <v>Master</v>
      </c>
      <c r="E745" s="3" t="str">
        <f>_xlfn.XLOOKUP(A745,'Data Cleaning'!A745:A2214, 'Data Cleaning'!E745:E2214)</f>
        <v>Single</v>
      </c>
      <c r="F745" t="str">
        <f>_xlfn.XLOOKUP(A745,'Data Cleaning'!A745:A2214, 'Data Cleaning'!F745:F2214)</f>
        <v>None</v>
      </c>
      <c r="G745" s="3" t="str">
        <f>_xlfn.XLOOKUP(A745,'Data Cleaning'!A745:A2214, 'Data Cleaning'!J745:J2214)</f>
        <v>Promoted in 1-3 years</v>
      </c>
    </row>
    <row r="746" spans="1:7" x14ac:dyDescent="0.25">
      <c r="A746" s="3">
        <v>1228</v>
      </c>
      <c r="B746" s="3" t="str">
        <f>_xlfn.XLOOKUP(A746,'Data Cleaning'!A746:A2215, 'Data Cleaning'!I746:I2215)</f>
        <v>45-54</v>
      </c>
      <c r="C746">
        <f>_xlfn.XLOOKUP(A746,'Data Cleaning'!A746:A2215,'Data Cleaning'!K746:K2215)</f>
        <v>0</v>
      </c>
      <c r="D746" t="str">
        <f>_xlfn.XLOOKUP(A746,'Data Cleaning'!A746:A2215, 'Data Cleaning'!D746:D2215)</f>
        <v>Master</v>
      </c>
      <c r="E746" s="3" t="str">
        <f>_xlfn.XLOOKUP(A746,'Data Cleaning'!A746:A2215, 'Data Cleaning'!E746:E2215)</f>
        <v>Divorced</v>
      </c>
      <c r="F746" t="str">
        <f>_xlfn.XLOOKUP(A746,'Data Cleaning'!A746:A2215, 'Data Cleaning'!F746:F2215)</f>
        <v>Low</v>
      </c>
      <c r="G746" s="3" t="str">
        <f>_xlfn.XLOOKUP(A746,'Data Cleaning'!A746:A2215, 'Data Cleaning'!J746:J2215)</f>
        <v>Promoted in 1-3 years</v>
      </c>
    </row>
    <row r="747" spans="1:7" x14ac:dyDescent="0.25">
      <c r="A747" s="3">
        <v>1574</v>
      </c>
      <c r="B747" s="3" t="str">
        <f>_xlfn.XLOOKUP(A747,'Data Cleaning'!A747:A2216, 'Data Cleaning'!I747:I2216)</f>
        <v>25-34</v>
      </c>
      <c r="C747">
        <f>_xlfn.XLOOKUP(A747,'Data Cleaning'!A747:A2216,'Data Cleaning'!K747:K2216)</f>
        <v>0</v>
      </c>
      <c r="D747" t="str">
        <f>_xlfn.XLOOKUP(A747,'Data Cleaning'!A747:A2216, 'Data Cleaning'!D747:D2216)</f>
        <v>Master</v>
      </c>
      <c r="E747" s="3" t="str">
        <f>_xlfn.XLOOKUP(A747,'Data Cleaning'!A747:A2216, 'Data Cleaning'!E747:E2216)</f>
        <v>Married</v>
      </c>
      <c r="F747" t="str">
        <f>_xlfn.XLOOKUP(A747,'Data Cleaning'!A747:A2216, 'Data Cleaning'!F747:F2216)</f>
        <v>Low</v>
      </c>
      <c r="G747" s="3" t="str">
        <f>_xlfn.XLOOKUP(A747,'Data Cleaning'!A747:A2216, 'Data Cleaning'!J747:J2216)</f>
        <v>Promoted in 1-3 years</v>
      </c>
    </row>
    <row r="748" spans="1:7" x14ac:dyDescent="0.25">
      <c r="A748" s="3">
        <v>1394</v>
      </c>
      <c r="B748" s="3" t="str">
        <f>_xlfn.XLOOKUP(A748,'Data Cleaning'!A748:A2217, 'Data Cleaning'!I748:I2217)</f>
        <v>35-44</v>
      </c>
      <c r="C748">
        <f>_xlfn.XLOOKUP(A748,'Data Cleaning'!A748:A2217,'Data Cleaning'!K748:K2217)</f>
        <v>0</v>
      </c>
      <c r="D748" t="str">
        <f>_xlfn.XLOOKUP(A748,'Data Cleaning'!A748:A2217, 'Data Cleaning'!D748:D2217)</f>
        <v>Below College</v>
      </c>
      <c r="E748" s="3" t="str">
        <f>_xlfn.XLOOKUP(A748,'Data Cleaning'!A748:A2217, 'Data Cleaning'!E748:E2217)</f>
        <v>Married</v>
      </c>
      <c r="F748" t="str">
        <f>_xlfn.XLOOKUP(A748,'Data Cleaning'!A748:A2217, 'Data Cleaning'!F748:F2217)</f>
        <v>None</v>
      </c>
      <c r="G748" s="3" t="str">
        <f>_xlfn.XLOOKUP(A748,'Data Cleaning'!A748:A2217, 'Data Cleaning'!J748:J2217)</f>
        <v>Promoted in 1-3 years</v>
      </c>
    </row>
    <row r="749" spans="1:7" x14ac:dyDescent="0.25">
      <c r="A749" s="3">
        <v>781</v>
      </c>
      <c r="B749" s="3" t="str">
        <f>_xlfn.XLOOKUP(A749,'Data Cleaning'!A749:A2218, 'Data Cleaning'!I749:I2218)</f>
        <v>25-34</v>
      </c>
      <c r="C749">
        <f>_xlfn.XLOOKUP(A749,'Data Cleaning'!A749:A2218,'Data Cleaning'!K749:K2218)</f>
        <v>0</v>
      </c>
      <c r="D749" t="str">
        <f>_xlfn.XLOOKUP(A749,'Data Cleaning'!A749:A2218, 'Data Cleaning'!D749:D2218)</f>
        <v>Below College</v>
      </c>
      <c r="E749" s="3" t="str">
        <f>_xlfn.XLOOKUP(A749,'Data Cleaning'!A749:A2218, 'Data Cleaning'!E749:E2218)</f>
        <v>Single</v>
      </c>
      <c r="F749" t="str">
        <f>_xlfn.XLOOKUP(A749,'Data Cleaning'!A749:A2218, 'Data Cleaning'!F749:F2218)</f>
        <v>None</v>
      </c>
      <c r="G749" s="3" t="str">
        <f>_xlfn.XLOOKUP(A749,'Data Cleaning'!A749:A2218, 'Data Cleaning'!J749:J2218)</f>
        <v>Promoted in 1-3 years</v>
      </c>
    </row>
    <row r="750" spans="1:7" x14ac:dyDescent="0.25">
      <c r="A750" s="3">
        <v>1163</v>
      </c>
      <c r="B750" s="3" t="str">
        <f>_xlfn.XLOOKUP(A750,'Data Cleaning'!A750:A2219, 'Data Cleaning'!I750:I2219)</f>
        <v>25-34</v>
      </c>
      <c r="C750">
        <f>_xlfn.XLOOKUP(A750,'Data Cleaning'!A750:A2219,'Data Cleaning'!K750:K2219)</f>
        <v>0</v>
      </c>
      <c r="D750" t="str">
        <f>_xlfn.XLOOKUP(A750,'Data Cleaning'!A750:A2219, 'Data Cleaning'!D750:D2219)</f>
        <v>Below College</v>
      </c>
      <c r="E750" s="3" t="str">
        <f>_xlfn.XLOOKUP(A750,'Data Cleaning'!A750:A2219, 'Data Cleaning'!E750:E2219)</f>
        <v>Married</v>
      </c>
      <c r="F750" t="str">
        <f>_xlfn.XLOOKUP(A750,'Data Cleaning'!A750:A2219, 'Data Cleaning'!F750:F2219)</f>
        <v>None</v>
      </c>
      <c r="G750" s="3" t="str">
        <f>_xlfn.XLOOKUP(A750,'Data Cleaning'!A750:A2219, 'Data Cleaning'!J750:J2219)</f>
        <v>Promoted in 1-3 years</v>
      </c>
    </row>
    <row r="751" spans="1:7" x14ac:dyDescent="0.25">
      <c r="A751" s="3">
        <v>813</v>
      </c>
      <c r="B751" s="3" t="str">
        <f>_xlfn.XLOOKUP(A751,'Data Cleaning'!A751:A2220, 'Data Cleaning'!I751:I2220)</f>
        <v>45-54</v>
      </c>
      <c r="C751">
        <f>_xlfn.XLOOKUP(A751,'Data Cleaning'!A751:A2220,'Data Cleaning'!K751:K2220)</f>
        <v>0</v>
      </c>
      <c r="D751" t="str">
        <f>_xlfn.XLOOKUP(A751,'Data Cleaning'!A751:A2220, 'Data Cleaning'!D751:D2220)</f>
        <v>Master</v>
      </c>
      <c r="E751" s="3" t="str">
        <f>_xlfn.XLOOKUP(A751,'Data Cleaning'!A751:A2220, 'Data Cleaning'!E751:E2220)</f>
        <v>Married</v>
      </c>
      <c r="F751" t="str">
        <f>_xlfn.XLOOKUP(A751,'Data Cleaning'!A751:A2220, 'Data Cleaning'!F751:F2220)</f>
        <v>Low</v>
      </c>
      <c r="G751" s="3" t="str">
        <f>_xlfn.XLOOKUP(A751,'Data Cleaning'!A751:A2220, 'Data Cleaning'!J751:J2220)</f>
        <v>Promoted in 1-3 years</v>
      </c>
    </row>
    <row r="752" spans="1:7" x14ac:dyDescent="0.25">
      <c r="A752" s="3">
        <v>1499</v>
      </c>
      <c r="B752" s="3" t="str">
        <f>_xlfn.XLOOKUP(A752,'Data Cleaning'!A752:A2221, 'Data Cleaning'!I752:I2221)</f>
        <v>25-34</v>
      </c>
      <c r="C752">
        <f>_xlfn.XLOOKUP(A752,'Data Cleaning'!A752:A2221,'Data Cleaning'!K752:K2221)</f>
        <v>0</v>
      </c>
      <c r="D752" t="str">
        <f>_xlfn.XLOOKUP(A752,'Data Cleaning'!A752:A2221, 'Data Cleaning'!D752:D2221)</f>
        <v>Bachelor</v>
      </c>
      <c r="E752" s="3" t="str">
        <f>_xlfn.XLOOKUP(A752,'Data Cleaning'!A752:A2221, 'Data Cleaning'!E752:E2221)</f>
        <v>Divorced</v>
      </c>
      <c r="F752" t="str">
        <f>_xlfn.XLOOKUP(A752,'Data Cleaning'!A752:A2221, 'Data Cleaning'!F752:F2221)</f>
        <v>Low</v>
      </c>
      <c r="G752" s="3" t="str">
        <f>_xlfn.XLOOKUP(A752,'Data Cleaning'!A752:A2221, 'Data Cleaning'!J752:J2221)</f>
        <v>Promoted in 1-3 years</v>
      </c>
    </row>
    <row r="753" spans="1:7" x14ac:dyDescent="0.25">
      <c r="A753" s="3">
        <v>1909</v>
      </c>
      <c r="B753" s="3" t="str">
        <f>_xlfn.XLOOKUP(A753,'Data Cleaning'!A753:A2222, 'Data Cleaning'!I753:I2222)</f>
        <v>35-44</v>
      </c>
      <c r="C753">
        <f>_xlfn.XLOOKUP(A753,'Data Cleaning'!A753:A2222,'Data Cleaning'!K753:K2222)</f>
        <v>0</v>
      </c>
      <c r="D753" t="str">
        <f>_xlfn.XLOOKUP(A753,'Data Cleaning'!A753:A2222, 'Data Cleaning'!D753:D2222)</f>
        <v>Bachelor</v>
      </c>
      <c r="E753" s="3" t="str">
        <f>_xlfn.XLOOKUP(A753,'Data Cleaning'!A753:A2222, 'Data Cleaning'!E753:E2222)</f>
        <v>Married</v>
      </c>
      <c r="F753" t="str">
        <f>_xlfn.XLOOKUP(A753,'Data Cleaning'!A753:A2222, 'Data Cleaning'!F753:F2222)</f>
        <v>Low</v>
      </c>
      <c r="G753" s="3" t="str">
        <f>_xlfn.XLOOKUP(A753,'Data Cleaning'!A753:A2222, 'Data Cleaning'!J753:J2222)</f>
        <v>Promoted in 1-3 years</v>
      </c>
    </row>
    <row r="754" spans="1:7" x14ac:dyDescent="0.25">
      <c r="A754" s="3">
        <v>231</v>
      </c>
      <c r="B754" s="3" t="str">
        <f>_xlfn.XLOOKUP(A754,'Data Cleaning'!A754:A2223, 'Data Cleaning'!I754:I2223)</f>
        <v>25-34</v>
      </c>
      <c r="C754">
        <f>_xlfn.XLOOKUP(A754,'Data Cleaning'!A754:A2223,'Data Cleaning'!K754:K2223)</f>
        <v>0</v>
      </c>
      <c r="D754" t="str">
        <f>_xlfn.XLOOKUP(A754,'Data Cleaning'!A754:A2223, 'Data Cleaning'!D754:D2223)</f>
        <v>Doctor</v>
      </c>
      <c r="E754" s="3" t="str">
        <f>_xlfn.XLOOKUP(A754,'Data Cleaning'!A754:A2223, 'Data Cleaning'!E754:E2223)</f>
        <v>Single</v>
      </c>
      <c r="F754" t="str">
        <f>_xlfn.XLOOKUP(A754,'Data Cleaning'!A754:A2223, 'Data Cleaning'!F754:F2223)</f>
        <v>None</v>
      </c>
      <c r="G754" s="3" t="str">
        <f>_xlfn.XLOOKUP(A754,'Data Cleaning'!A754:A2223, 'Data Cleaning'!J754:J2223)</f>
        <v>Promoted in 1-3 years</v>
      </c>
    </row>
    <row r="755" spans="1:7" x14ac:dyDescent="0.25">
      <c r="A755" s="3">
        <v>150</v>
      </c>
      <c r="B755" s="3" t="str">
        <f>_xlfn.XLOOKUP(A755,'Data Cleaning'!A755:A2224, 'Data Cleaning'!I755:I2224)</f>
        <v>18-24</v>
      </c>
      <c r="C755">
        <f>_xlfn.XLOOKUP(A755,'Data Cleaning'!A755:A2224,'Data Cleaning'!K755:K2224)</f>
        <v>0</v>
      </c>
      <c r="D755" t="str">
        <f>_xlfn.XLOOKUP(A755,'Data Cleaning'!A755:A2224, 'Data Cleaning'!D755:D2224)</f>
        <v>Below College</v>
      </c>
      <c r="E755" s="3" t="str">
        <f>_xlfn.XLOOKUP(A755,'Data Cleaning'!A755:A2224, 'Data Cleaning'!E755:E2224)</f>
        <v>Married</v>
      </c>
      <c r="F755" t="str">
        <f>_xlfn.XLOOKUP(A755,'Data Cleaning'!A755:A2224, 'Data Cleaning'!F755:F2224)</f>
        <v>Low</v>
      </c>
      <c r="G755" s="3" t="str">
        <f>_xlfn.XLOOKUP(A755,'Data Cleaning'!A755:A2224, 'Data Cleaning'!J755:J2224)</f>
        <v>Promoted in 1-3 years</v>
      </c>
    </row>
    <row r="756" spans="1:7" x14ac:dyDescent="0.25">
      <c r="A756" s="3">
        <v>1736</v>
      </c>
      <c r="B756" s="3" t="str">
        <f>_xlfn.XLOOKUP(A756,'Data Cleaning'!A756:A2225, 'Data Cleaning'!I756:I2225)</f>
        <v>25-34</v>
      </c>
      <c r="C756">
        <f>_xlfn.XLOOKUP(A756,'Data Cleaning'!A756:A2225,'Data Cleaning'!K756:K2225)</f>
        <v>0</v>
      </c>
      <c r="D756" t="str">
        <f>_xlfn.XLOOKUP(A756,'Data Cleaning'!A756:A2225, 'Data Cleaning'!D756:D2225)</f>
        <v>Below College</v>
      </c>
      <c r="E756" s="3" t="str">
        <f>_xlfn.XLOOKUP(A756,'Data Cleaning'!A756:A2225, 'Data Cleaning'!E756:E2225)</f>
        <v>Single</v>
      </c>
      <c r="F756" t="str">
        <f>_xlfn.XLOOKUP(A756,'Data Cleaning'!A756:A2225, 'Data Cleaning'!F756:F2225)</f>
        <v>None</v>
      </c>
      <c r="G756" s="3" t="str">
        <f>_xlfn.XLOOKUP(A756,'Data Cleaning'!A756:A2225, 'Data Cleaning'!J756:J2225)</f>
        <v>Promoted in 1-3 years</v>
      </c>
    </row>
    <row r="757" spans="1:7" x14ac:dyDescent="0.25">
      <c r="A757" s="3">
        <v>894</v>
      </c>
      <c r="B757" s="3" t="str">
        <f>_xlfn.XLOOKUP(A757,'Data Cleaning'!A757:A2226, 'Data Cleaning'!I757:I2226)</f>
        <v>35-44</v>
      </c>
      <c r="C757">
        <f>_xlfn.XLOOKUP(A757,'Data Cleaning'!A757:A2226,'Data Cleaning'!K757:K2226)</f>
        <v>0</v>
      </c>
      <c r="D757" t="str">
        <f>_xlfn.XLOOKUP(A757,'Data Cleaning'!A757:A2226, 'Data Cleaning'!D757:D2226)</f>
        <v>Bachelor</v>
      </c>
      <c r="E757" s="3" t="str">
        <f>_xlfn.XLOOKUP(A757,'Data Cleaning'!A757:A2226, 'Data Cleaning'!E757:E2226)</f>
        <v>Married</v>
      </c>
      <c r="F757" t="str">
        <f>_xlfn.XLOOKUP(A757,'Data Cleaning'!A757:A2226, 'Data Cleaning'!F757:F2226)</f>
        <v>Low</v>
      </c>
      <c r="G757" s="3" t="str">
        <f>_xlfn.XLOOKUP(A757,'Data Cleaning'!A757:A2226, 'Data Cleaning'!J757:J2226)</f>
        <v>Promoted in 1-3 years</v>
      </c>
    </row>
    <row r="758" spans="1:7" x14ac:dyDescent="0.25">
      <c r="A758" s="3">
        <v>1999</v>
      </c>
      <c r="B758" s="3" t="str">
        <f>_xlfn.XLOOKUP(A758,'Data Cleaning'!A758:A2227, 'Data Cleaning'!I758:I2227)</f>
        <v>35-44</v>
      </c>
      <c r="C758">
        <f>_xlfn.XLOOKUP(A758,'Data Cleaning'!A758:A2227,'Data Cleaning'!K758:K2227)</f>
        <v>0</v>
      </c>
      <c r="D758" t="str">
        <f>_xlfn.XLOOKUP(A758,'Data Cleaning'!A758:A2227, 'Data Cleaning'!D758:D2227)</f>
        <v>Bachelor</v>
      </c>
      <c r="E758" s="3" t="str">
        <f>_xlfn.XLOOKUP(A758,'Data Cleaning'!A758:A2227, 'Data Cleaning'!E758:E2227)</f>
        <v>Married</v>
      </c>
      <c r="F758" t="str">
        <f>_xlfn.XLOOKUP(A758,'Data Cleaning'!A758:A2227, 'Data Cleaning'!F758:F2227)</f>
        <v>Low</v>
      </c>
      <c r="G758" s="3" t="str">
        <f>_xlfn.XLOOKUP(A758,'Data Cleaning'!A758:A2227, 'Data Cleaning'!J758:J2227)</f>
        <v>Promoted in 1-3 years</v>
      </c>
    </row>
    <row r="759" spans="1:7" x14ac:dyDescent="0.25">
      <c r="A759" s="3">
        <v>1469</v>
      </c>
      <c r="B759" s="3" t="str">
        <f>_xlfn.XLOOKUP(A759,'Data Cleaning'!A759:A2228, 'Data Cleaning'!I759:I2228)</f>
        <v>25-34</v>
      </c>
      <c r="C759">
        <f>_xlfn.XLOOKUP(A759,'Data Cleaning'!A759:A2228,'Data Cleaning'!K759:K2228)</f>
        <v>0</v>
      </c>
      <c r="D759" t="str">
        <f>_xlfn.XLOOKUP(A759,'Data Cleaning'!A759:A2228, 'Data Cleaning'!D759:D2228)</f>
        <v>Bachelor</v>
      </c>
      <c r="E759" s="3" t="str">
        <f>_xlfn.XLOOKUP(A759,'Data Cleaning'!A759:A2228, 'Data Cleaning'!E759:E2228)</f>
        <v>Single</v>
      </c>
      <c r="F759" t="str">
        <f>_xlfn.XLOOKUP(A759,'Data Cleaning'!A759:A2228, 'Data Cleaning'!F759:F2228)</f>
        <v>None</v>
      </c>
      <c r="G759" s="3" t="str">
        <f>_xlfn.XLOOKUP(A759,'Data Cleaning'!A759:A2228, 'Data Cleaning'!J759:J2228)</f>
        <v>Promoted in 1-3 years</v>
      </c>
    </row>
    <row r="760" spans="1:7" x14ac:dyDescent="0.25">
      <c r="A760" s="3">
        <v>1598</v>
      </c>
      <c r="B760" s="3" t="str">
        <f>_xlfn.XLOOKUP(A760,'Data Cleaning'!A760:A2229, 'Data Cleaning'!I760:I2229)</f>
        <v>35-44</v>
      </c>
      <c r="C760">
        <f>_xlfn.XLOOKUP(A760,'Data Cleaning'!A760:A2229,'Data Cleaning'!K760:K2229)</f>
        <v>0</v>
      </c>
      <c r="D760" t="str">
        <f>_xlfn.XLOOKUP(A760,'Data Cleaning'!A760:A2229, 'Data Cleaning'!D760:D2229)</f>
        <v>College</v>
      </c>
      <c r="E760" s="3" t="str">
        <f>_xlfn.XLOOKUP(A760,'Data Cleaning'!A760:A2229, 'Data Cleaning'!E760:E2229)</f>
        <v>Married</v>
      </c>
      <c r="F760" t="str">
        <f>_xlfn.XLOOKUP(A760,'Data Cleaning'!A760:A2229, 'Data Cleaning'!F760:F2229)</f>
        <v>Low</v>
      </c>
      <c r="G760" s="3" t="str">
        <f>_xlfn.XLOOKUP(A760,'Data Cleaning'!A760:A2229, 'Data Cleaning'!J760:J2229)</f>
        <v>Promoted in 1-3 years</v>
      </c>
    </row>
    <row r="761" spans="1:7" x14ac:dyDescent="0.25">
      <c r="A761" s="3">
        <v>641</v>
      </c>
      <c r="B761" s="3" t="str">
        <f>_xlfn.XLOOKUP(A761,'Data Cleaning'!A761:A2230, 'Data Cleaning'!I761:I2230)</f>
        <v>25-34</v>
      </c>
      <c r="C761">
        <f>_xlfn.XLOOKUP(A761,'Data Cleaning'!A761:A2230,'Data Cleaning'!K761:K2230)</f>
        <v>0</v>
      </c>
      <c r="D761" t="str">
        <f>_xlfn.XLOOKUP(A761,'Data Cleaning'!A761:A2230, 'Data Cleaning'!D761:D2230)</f>
        <v>College</v>
      </c>
      <c r="E761" s="3" t="str">
        <f>_xlfn.XLOOKUP(A761,'Data Cleaning'!A761:A2230, 'Data Cleaning'!E761:E2230)</f>
        <v>Married</v>
      </c>
      <c r="F761" t="str">
        <f>_xlfn.XLOOKUP(A761,'Data Cleaning'!A761:A2230, 'Data Cleaning'!F761:F2230)</f>
        <v>Mid</v>
      </c>
      <c r="G761" s="3" t="str">
        <f>_xlfn.XLOOKUP(A761,'Data Cleaning'!A761:A2230, 'Data Cleaning'!J761:J2230)</f>
        <v>Promoted in 1-3 years</v>
      </c>
    </row>
    <row r="762" spans="1:7" x14ac:dyDescent="0.25">
      <c r="A762" s="3">
        <v>997</v>
      </c>
      <c r="B762" s="3" t="str">
        <f>_xlfn.XLOOKUP(A762,'Data Cleaning'!A762:A2231, 'Data Cleaning'!I762:I2231)</f>
        <v>45-54</v>
      </c>
      <c r="C762">
        <f>_xlfn.XLOOKUP(A762,'Data Cleaning'!A762:A2231,'Data Cleaning'!K762:K2231)</f>
        <v>0</v>
      </c>
      <c r="D762" t="str">
        <f>_xlfn.XLOOKUP(A762,'Data Cleaning'!A762:A2231, 'Data Cleaning'!D762:D2231)</f>
        <v>College</v>
      </c>
      <c r="E762" s="3" t="str">
        <f>_xlfn.XLOOKUP(A762,'Data Cleaning'!A762:A2231, 'Data Cleaning'!E762:E2231)</f>
        <v>Divorced</v>
      </c>
      <c r="F762" t="str">
        <f>_xlfn.XLOOKUP(A762,'Data Cleaning'!A762:A2231, 'Data Cleaning'!F762:F2231)</f>
        <v>Low</v>
      </c>
      <c r="G762" s="3" t="str">
        <f>_xlfn.XLOOKUP(A762,'Data Cleaning'!A762:A2231, 'Data Cleaning'!J762:J2231)</f>
        <v>Promoted in 1-3 years</v>
      </c>
    </row>
    <row r="763" spans="1:7" x14ac:dyDescent="0.25">
      <c r="A763" s="3">
        <v>200</v>
      </c>
      <c r="B763" s="3" t="str">
        <f>_xlfn.XLOOKUP(A763,'Data Cleaning'!A763:A2232, 'Data Cleaning'!I763:I2232)</f>
        <v>35-44</v>
      </c>
      <c r="C763">
        <f>_xlfn.XLOOKUP(A763,'Data Cleaning'!A763:A2232,'Data Cleaning'!K763:K2232)</f>
        <v>0</v>
      </c>
      <c r="D763" t="str">
        <f>_xlfn.XLOOKUP(A763,'Data Cleaning'!A763:A2232, 'Data Cleaning'!D763:D2232)</f>
        <v>Master</v>
      </c>
      <c r="E763" s="3" t="str">
        <f>_xlfn.XLOOKUP(A763,'Data Cleaning'!A763:A2232, 'Data Cleaning'!E763:E2232)</f>
        <v>Married</v>
      </c>
      <c r="F763" t="str">
        <f>_xlfn.XLOOKUP(A763,'Data Cleaning'!A763:A2232, 'Data Cleaning'!F763:F2232)</f>
        <v>Low</v>
      </c>
      <c r="G763" s="3" t="str">
        <f>_xlfn.XLOOKUP(A763,'Data Cleaning'!A763:A2232, 'Data Cleaning'!J763:J2232)</f>
        <v>Promoted in 1-3 years</v>
      </c>
    </row>
    <row r="764" spans="1:7" x14ac:dyDescent="0.25">
      <c r="A764" s="3">
        <v>1654</v>
      </c>
      <c r="B764" s="3" t="str">
        <f>_xlfn.XLOOKUP(A764,'Data Cleaning'!A764:A2233, 'Data Cleaning'!I764:I2233)</f>
        <v>35-44</v>
      </c>
      <c r="C764">
        <f>_xlfn.XLOOKUP(A764,'Data Cleaning'!A764:A2233,'Data Cleaning'!K764:K2233)</f>
        <v>0</v>
      </c>
      <c r="D764" t="str">
        <f>_xlfn.XLOOKUP(A764,'Data Cleaning'!A764:A2233, 'Data Cleaning'!D764:D2233)</f>
        <v>Bachelor</v>
      </c>
      <c r="E764" s="3" t="str">
        <f>_xlfn.XLOOKUP(A764,'Data Cleaning'!A764:A2233, 'Data Cleaning'!E764:E2233)</f>
        <v>Married</v>
      </c>
      <c r="F764" t="str">
        <f>_xlfn.XLOOKUP(A764,'Data Cleaning'!A764:A2233, 'Data Cleaning'!F764:F2233)</f>
        <v>None</v>
      </c>
      <c r="G764" s="3" t="str">
        <f>_xlfn.XLOOKUP(A764,'Data Cleaning'!A764:A2233, 'Data Cleaning'!J764:J2233)</f>
        <v>Promoted in 1-3 years</v>
      </c>
    </row>
    <row r="765" spans="1:7" x14ac:dyDescent="0.25">
      <c r="A765" s="3">
        <v>843</v>
      </c>
      <c r="B765" s="3" t="str">
        <f>_xlfn.XLOOKUP(A765,'Data Cleaning'!A765:A2234, 'Data Cleaning'!I765:I2234)</f>
        <v>35-44</v>
      </c>
      <c r="C765">
        <f>_xlfn.XLOOKUP(A765,'Data Cleaning'!A765:A2234,'Data Cleaning'!K765:K2234)</f>
        <v>0</v>
      </c>
      <c r="D765" t="str">
        <f>_xlfn.XLOOKUP(A765,'Data Cleaning'!A765:A2234, 'Data Cleaning'!D765:D2234)</f>
        <v>College</v>
      </c>
      <c r="E765" s="3" t="str">
        <f>_xlfn.XLOOKUP(A765,'Data Cleaning'!A765:A2234, 'Data Cleaning'!E765:E2234)</f>
        <v>Married</v>
      </c>
      <c r="F765" t="str">
        <f>_xlfn.XLOOKUP(A765,'Data Cleaning'!A765:A2234, 'Data Cleaning'!F765:F2234)</f>
        <v>Low</v>
      </c>
      <c r="G765" s="3" t="str">
        <f>_xlfn.XLOOKUP(A765,'Data Cleaning'!A765:A2234, 'Data Cleaning'!J765:J2234)</f>
        <v>Promoted in 1-3 years</v>
      </c>
    </row>
    <row r="766" spans="1:7" x14ac:dyDescent="0.25">
      <c r="A766" s="3">
        <v>68</v>
      </c>
      <c r="B766" s="3" t="str">
        <f>_xlfn.XLOOKUP(A766,'Data Cleaning'!A766:A2235, 'Data Cleaning'!I766:I2235)</f>
        <v>35-44</v>
      </c>
      <c r="C766">
        <f>_xlfn.XLOOKUP(A766,'Data Cleaning'!A766:A2235,'Data Cleaning'!K766:K2235)</f>
        <v>0</v>
      </c>
      <c r="D766" t="str">
        <f>_xlfn.XLOOKUP(A766,'Data Cleaning'!A766:A2235, 'Data Cleaning'!D766:D2235)</f>
        <v>Doctor</v>
      </c>
      <c r="E766" s="3" t="str">
        <f>_xlfn.XLOOKUP(A766,'Data Cleaning'!A766:A2235, 'Data Cleaning'!E766:E2235)</f>
        <v>Divorced</v>
      </c>
      <c r="F766" t="str">
        <f>_xlfn.XLOOKUP(A766,'Data Cleaning'!A766:A2235, 'Data Cleaning'!F766:F2235)</f>
        <v>Low</v>
      </c>
      <c r="G766" s="3" t="str">
        <f>_xlfn.XLOOKUP(A766,'Data Cleaning'!A766:A2235, 'Data Cleaning'!J766:J2235)</f>
        <v>Promoted in 1-3 years</v>
      </c>
    </row>
    <row r="767" spans="1:7" x14ac:dyDescent="0.25">
      <c r="A767" s="3">
        <v>800</v>
      </c>
      <c r="B767" s="3" t="str">
        <f>_xlfn.XLOOKUP(A767,'Data Cleaning'!A767:A2236, 'Data Cleaning'!I767:I2236)</f>
        <v>25-34</v>
      </c>
      <c r="C767">
        <f>_xlfn.XLOOKUP(A767,'Data Cleaning'!A767:A2236,'Data Cleaning'!K767:K2236)</f>
        <v>0</v>
      </c>
      <c r="D767" t="str">
        <f>_xlfn.XLOOKUP(A767,'Data Cleaning'!A767:A2236, 'Data Cleaning'!D767:D2236)</f>
        <v>Below College</v>
      </c>
      <c r="E767" s="3" t="str">
        <f>_xlfn.XLOOKUP(A767,'Data Cleaning'!A767:A2236, 'Data Cleaning'!E767:E2236)</f>
        <v>Married</v>
      </c>
      <c r="F767" t="str">
        <f>_xlfn.XLOOKUP(A767,'Data Cleaning'!A767:A2236, 'Data Cleaning'!F767:F2236)</f>
        <v>Low</v>
      </c>
      <c r="G767" s="3" t="str">
        <f>_xlfn.XLOOKUP(A767,'Data Cleaning'!A767:A2236, 'Data Cleaning'!J767:J2236)</f>
        <v>Promoted in 1-3 years</v>
      </c>
    </row>
    <row r="768" spans="1:7" x14ac:dyDescent="0.25">
      <c r="A768" s="3">
        <v>1659</v>
      </c>
      <c r="B768" s="3" t="str">
        <f>_xlfn.XLOOKUP(A768,'Data Cleaning'!A768:A2237, 'Data Cleaning'!I768:I2237)</f>
        <v>35-44</v>
      </c>
      <c r="C768">
        <f>_xlfn.XLOOKUP(A768,'Data Cleaning'!A768:A2237,'Data Cleaning'!K768:K2237)</f>
        <v>0</v>
      </c>
      <c r="D768" t="str">
        <f>_xlfn.XLOOKUP(A768,'Data Cleaning'!A768:A2237, 'Data Cleaning'!D768:D2237)</f>
        <v>Bachelor</v>
      </c>
      <c r="E768" s="3" t="str">
        <f>_xlfn.XLOOKUP(A768,'Data Cleaning'!A768:A2237, 'Data Cleaning'!E768:E2237)</f>
        <v>Single</v>
      </c>
      <c r="F768" t="str">
        <f>_xlfn.XLOOKUP(A768,'Data Cleaning'!A768:A2237, 'Data Cleaning'!F768:F2237)</f>
        <v>None</v>
      </c>
      <c r="G768" s="3" t="str">
        <f>_xlfn.XLOOKUP(A768,'Data Cleaning'!A768:A2237, 'Data Cleaning'!J768:J2237)</f>
        <v>Promoted in 1-3 years</v>
      </c>
    </row>
    <row r="769" spans="1:7" x14ac:dyDescent="0.25">
      <c r="A769" s="3">
        <v>1173</v>
      </c>
      <c r="B769" s="3" t="str">
        <f>_xlfn.XLOOKUP(A769,'Data Cleaning'!A769:A2238, 'Data Cleaning'!I769:I2238)</f>
        <v>18-24</v>
      </c>
      <c r="C769">
        <f>_xlfn.XLOOKUP(A769,'Data Cleaning'!A769:A2238,'Data Cleaning'!K769:K2238)</f>
        <v>0</v>
      </c>
      <c r="D769" t="str">
        <f>_xlfn.XLOOKUP(A769,'Data Cleaning'!A769:A2238, 'Data Cleaning'!D769:D2238)</f>
        <v>Bachelor</v>
      </c>
      <c r="E769" s="3" t="str">
        <f>_xlfn.XLOOKUP(A769,'Data Cleaning'!A769:A2238, 'Data Cleaning'!E769:E2238)</f>
        <v>Single</v>
      </c>
      <c r="F769" t="str">
        <f>_xlfn.XLOOKUP(A769,'Data Cleaning'!A769:A2238, 'Data Cleaning'!F769:F2238)</f>
        <v>None</v>
      </c>
      <c r="G769" s="3" t="str">
        <f>_xlfn.XLOOKUP(A769,'Data Cleaning'!A769:A2238, 'Data Cleaning'!J769:J2238)</f>
        <v>Promoted in 1-3 years</v>
      </c>
    </row>
    <row r="770" spans="1:7" x14ac:dyDescent="0.25">
      <c r="A770" s="3">
        <v>1814</v>
      </c>
      <c r="B770" s="3" t="str">
        <f>_xlfn.XLOOKUP(A770,'Data Cleaning'!A770:A2239, 'Data Cleaning'!I770:I2239)</f>
        <v>35-44</v>
      </c>
      <c r="C770">
        <f>_xlfn.XLOOKUP(A770,'Data Cleaning'!A770:A2239,'Data Cleaning'!K770:K2239)</f>
        <v>0</v>
      </c>
      <c r="D770" t="str">
        <f>_xlfn.XLOOKUP(A770,'Data Cleaning'!A770:A2239, 'Data Cleaning'!D770:D2239)</f>
        <v>Bachelor</v>
      </c>
      <c r="E770" s="3" t="str">
        <f>_xlfn.XLOOKUP(A770,'Data Cleaning'!A770:A2239, 'Data Cleaning'!E770:E2239)</f>
        <v>Single</v>
      </c>
      <c r="F770" t="str">
        <f>_xlfn.XLOOKUP(A770,'Data Cleaning'!A770:A2239, 'Data Cleaning'!F770:F2239)</f>
        <v>None</v>
      </c>
      <c r="G770" s="3" t="str">
        <f>_xlfn.XLOOKUP(A770,'Data Cleaning'!A770:A2239, 'Data Cleaning'!J770:J2239)</f>
        <v>Promoted in 1-3 years</v>
      </c>
    </row>
    <row r="771" spans="1:7" x14ac:dyDescent="0.25">
      <c r="A771" s="3">
        <v>1509</v>
      </c>
      <c r="B771" s="3" t="str">
        <f>_xlfn.XLOOKUP(A771,'Data Cleaning'!A771:A2240, 'Data Cleaning'!I771:I2240)</f>
        <v>45-54</v>
      </c>
      <c r="C771">
        <f>_xlfn.XLOOKUP(A771,'Data Cleaning'!A771:A2240,'Data Cleaning'!K771:K2240)</f>
        <v>0</v>
      </c>
      <c r="D771" t="str">
        <f>_xlfn.XLOOKUP(A771,'Data Cleaning'!A771:A2240, 'Data Cleaning'!D771:D2240)</f>
        <v>College</v>
      </c>
      <c r="E771" s="3" t="str">
        <f>_xlfn.XLOOKUP(A771,'Data Cleaning'!A771:A2240, 'Data Cleaning'!E771:E2240)</f>
        <v>Married</v>
      </c>
      <c r="F771" t="str">
        <f>_xlfn.XLOOKUP(A771,'Data Cleaning'!A771:A2240, 'Data Cleaning'!F771:F2240)</f>
        <v>Low</v>
      </c>
      <c r="G771" s="3" t="str">
        <f>_xlfn.XLOOKUP(A771,'Data Cleaning'!A771:A2240, 'Data Cleaning'!J771:J2240)</f>
        <v>Promoted in 1-3 years</v>
      </c>
    </row>
    <row r="772" spans="1:7" x14ac:dyDescent="0.25">
      <c r="A772" s="3">
        <v>305</v>
      </c>
      <c r="B772" s="3" t="str">
        <f>_xlfn.XLOOKUP(A772,'Data Cleaning'!A772:A2241, 'Data Cleaning'!I772:I2241)</f>
        <v>25-34</v>
      </c>
      <c r="C772">
        <f>_xlfn.XLOOKUP(A772,'Data Cleaning'!A772:A2241,'Data Cleaning'!K772:K2241)</f>
        <v>0</v>
      </c>
      <c r="D772" t="str">
        <f>_xlfn.XLOOKUP(A772,'Data Cleaning'!A772:A2241, 'Data Cleaning'!D772:D2241)</f>
        <v>Master</v>
      </c>
      <c r="E772" s="3" t="str">
        <f>_xlfn.XLOOKUP(A772,'Data Cleaning'!A772:A2241, 'Data Cleaning'!E772:E2241)</f>
        <v>Married</v>
      </c>
      <c r="F772" t="str">
        <f>_xlfn.XLOOKUP(A772,'Data Cleaning'!A772:A2241, 'Data Cleaning'!F772:F2241)</f>
        <v>None</v>
      </c>
      <c r="G772" s="3" t="str">
        <f>_xlfn.XLOOKUP(A772,'Data Cleaning'!A772:A2241, 'Data Cleaning'!J772:J2241)</f>
        <v>Promoted in 1-3 years</v>
      </c>
    </row>
    <row r="773" spans="1:7" x14ac:dyDescent="0.25">
      <c r="A773" s="3">
        <v>707</v>
      </c>
      <c r="B773" s="3" t="str">
        <f>_xlfn.XLOOKUP(A773,'Data Cleaning'!A773:A2242, 'Data Cleaning'!I773:I2242)</f>
        <v>25-34</v>
      </c>
      <c r="C773">
        <f>_xlfn.XLOOKUP(A773,'Data Cleaning'!A773:A2242,'Data Cleaning'!K773:K2242)</f>
        <v>0</v>
      </c>
      <c r="D773" t="str">
        <f>_xlfn.XLOOKUP(A773,'Data Cleaning'!A773:A2242, 'Data Cleaning'!D773:D2242)</f>
        <v>Bachelor</v>
      </c>
      <c r="E773" s="3" t="str">
        <f>_xlfn.XLOOKUP(A773,'Data Cleaning'!A773:A2242, 'Data Cleaning'!E773:E2242)</f>
        <v>Married</v>
      </c>
      <c r="F773" t="str">
        <f>_xlfn.XLOOKUP(A773,'Data Cleaning'!A773:A2242, 'Data Cleaning'!F773:F2242)</f>
        <v>Low</v>
      </c>
      <c r="G773" s="3" t="str">
        <f>_xlfn.XLOOKUP(A773,'Data Cleaning'!A773:A2242, 'Data Cleaning'!J773:J2242)</f>
        <v>Promoted in 1-3 years</v>
      </c>
    </row>
    <row r="774" spans="1:7" x14ac:dyDescent="0.25">
      <c r="A774" s="3">
        <v>1473</v>
      </c>
      <c r="B774" s="3" t="str">
        <f>_xlfn.XLOOKUP(A774,'Data Cleaning'!A774:A2243, 'Data Cleaning'!I774:I2243)</f>
        <v>45-54</v>
      </c>
      <c r="C774">
        <f>_xlfn.XLOOKUP(A774,'Data Cleaning'!A774:A2243,'Data Cleaning'!K774:K2243)</f>
        <v>0</v>
      </c>
      <c r="D774" t="str">
        <f>_xlfn.XLOOKUP(A774,'Data Cleaning'!A774:A2243, 'Data Cleaning'!D774:D2243)</f>
        <v>Master</v>
      </c>
      <c r="E774" s="3" t="str">
        <f>_xlfn.XLOOKUP(A774,'Data Cleaning'!A774:A2243, 'Data Cleaning'!E774:E2243)</f>
        <v>Married</v>
      </c>
      <c r="F774" t="str">
        <f>_xlfn.XLOOKUP(A774,'Data Cleaning'!A774:A2243, 'Data Cleaning'!F774:F2243)</f>
        <v>Low</v>
      </c>
      <c r="G774" s="3" t="str">
        <f>_xlfn.XLOOKUP(A774,'Data Cleaning'!A774:A2243, 'Data Cleaning'!J774:J2243)</f>
        <v>Promoted in 1-3 years</v>
      </c>
    </row>
    <row r="775" spans="1:7" x14ac:dyDescent="0.25">
      <c r="A775" s="3">
        <v>1556</v>
      </c>
      <c r="B775" s="3" t="str">
        <f>_xlfn.XLOOKUP(A775,'Data Cleaning'!A775:A2244, 'Data Cleaning'!I775:I2244)</f>
        <v>35-44</v>
      </c>
      <c r="C775">
        <f>_xlfn.XLOOKUP(A775,'Data Cleaning'!A775:A2244,'Data Cleaning'!K775:K2244)</f>
        <v>0</v>
      </c>
      <c r="D775" t="str">
        <f>_xlfn.XLOOKUP(A775,'Data Cleaning'!A775:A2244, 'Data Cleaning'!D775:D2244)</f>
        <v>Master</v>
      </c>
      <c r="E775" s="3" t="str">
        <f>_xlfn.XLOOKUP(A775,'Data Cleaning'!A775:A2244, 'Data Cleaning'!E775:E2244)</f>
        <v>Single</v>
      </c>
      <c r="F775" t="str">
        <f>_xlfn.XLOOKUP(A775,'Data Cleaning'!A775:A2244, 'Data Cleaning'!F775:F2244)</f>
        <v>None</v>
      </c>
      <c r="G775" s="3" t="str">
        <f>_xlfn.XLOOKUP(A775,'Data Cleaning'!A775:A2244, 'Data Cleaning'!J775:J2244)</f>
        <v>Promoted in 1-3 years</v>
      </c>
    </row>
    <row r="776" spans="1:7" x14ac:dyDescent="0.25">
      <c r="A776" s="3">
        <v>1883</v>
      </c>
      <c r="B776" s="3" t="str">
        <f>_xlfn.XLOOKUP(A776,'Data Cleaning'!A776:A2245, 'Data Cleaning'!I776:I2245)</f>
        <v>25-34</v>
      </c>
      <c r="C776">
        <f>_xlfn.XLOOKUP(A776,'Data Cleaning'!A776:A2245,'Data Cleaning'!K776:K2245)</f>
        <v>0</v>
      </c>
      <c r="D776" t="str">
        <f>_xlfn.XLOOKUP(A776,'Data Cleaning'!A776:A2245, 'Data Cleaning'!D776:D2245)</f>
        <v>Bachelor</v>
      </c>
      <c r="E776" s="3" t="str">
        <f>_xlfn.XLOOKUP(A776,'Data Cleaning'!A776:A2245, 'Data Cleaning'!E776:E2245)</f>
        <v>Single</v>
      </c>
      <c r="F776" t="str">
        <f>_xlfn.XLOOKUP(A776,'Data Cleaning'!A776:A2245, 'Data Cleaning'!F776:F2245)</f>
        <v>None</v>
      </c>
      <c r="G776" s="3" t="str">
        <f>_xlfn.XLOOKUP(A776,'Data Cleaning'!A776:A2245, 'Data Cleaning'!J776:J2245)</f>
        <v>Promoted in 1-3 years</v>
      </c>
    </row>
    <row r="777" spans="1:7" x14ac:dyDescent="0.25">
      <c r="A777" s="3">
        <v>525</v>
      </c>
      <c r="B777" s="3" t="str">
        <f>_xlfn.XLOOKUP(A777,'Data Cleaning'!A777:A2246, 'Data Cleaning'!I777:I2246)</f>
        <v>35-44</v>
      </c>
      <c r="C777">
        <f>_xlfn.XLOOKUP(A777,'Data Cleaning'!A777:A2246,'Data Cleaning'!K777:K2246)</f>
        <v>0</v>
      </c>
      <c r="D777" t="str">
        <f>_xlfn.XLOOKUP(A777,'Data Cleaning'!A777:A2246, 'Data Cleaning'!D777:D2246)</f>
        <v>Bachelor</v>
      </c>
      <c r="E777" s="3" t="str">
        <f>_xlfn.XLOOKUP(A777,'Data Cleaning'!A777:A2246, 'Data Cleaning'!E777:E2246)</f>
        <v>Married</v>
      </c>
      <c r="F777" t="str">
        <f>_xlfn.XLOOKUP(A777,'Data Cleaning'!A777:A2246, 'Data Cleaning'!F777:F2246)</f>
        <v>Low</v>
      </c>
      <c r="G777" s="3" t="str">
        <f>_xlfn.XLOOKUP(A777,'Data Cleaning'!A777:A2246, 'Data Cleaning'!J777:J2246)</f>
        <v>Promoted in 1-3 years</v>
      </c>
    </row>
    <row r="778" spans="1:7" x14ac:dyDescent="0.25">
      <c r="A778" s="3">
        <v>1441</v>
      </c>
      <c r="B778" s="3" t="str">
        <f>_xlfn.XLOOKUP(A778,'Data Cleaning'!A778:A2247, 'Data Cleaning'!I778:I2247)</f>
        <v>55-60</v>
      </c>
      <c r="C778">
        <f>_xlfn.XLOOKUP(A778,'Data Cleaning'!A778:A2247,'Data Cleaning'!K778:K2247)</f>
        <v>0</v>
      </c>
      <c r="D778" t="str">
        <f>_xlfn.XLOOKUP(A778,'Data Cleaning'!A778:A2247, 'Data Cleaning'!D778:D2247)</f>
        <v>College</v>
      </c>
      <c r="E778" s="3" t="str">
        <f>_xlfn.XLOOKUP(A778,'Data Cleaning'!A778:A2247, 'Data Cleaning'!E778:E2247)</f>
        <v>Married</v>
      </c>
      <c r="F778" t="str">
        <f>_xlfn.XLOOKUP(A778,'Data Cleaning'!A778:A2247, 'Data Cleaning'!F778:F2247)</f>
        <v>Low</v>
      </c>
      <c r="G778" s="3" t="str">
        <f>_xlfn.XLOOKUP(A778,'Data Cleaning'!A778:A2247, 'Data Cleaning'!J778:J2247)</f>
        <v>Promoted in 1-3 years</v>
      </c>
    </row>
    <row r="779" spans="1:7" x14ac:dyDescent="0.25">
      <c r="A779" s="3">
        <v>1834</v>
      </c>
      <c r="B779" s="3" t="str">
        <f>_xlfn.XLOOKUP(A779,'Data Cleaning'!A779:A2248, 'Data Cleaning'!I779:I2248)</f>
        <v>25-34</v>
      </c>
      <c r="C779">
        <f>_xlfn.XLOOKUP(A779,'Data Cleaning'!A779:A2248,'Data Cleaning'!K779:K2248)</f>
        <v>0</v>
      </c>
      <c r="D779" t="str">
        <f>_xlfn.XLOOKUP(A779,'Data Cleaning'!A779:A2248, 'Data Cleaning'!D779:D2248)</f>
        <v>Bachelor</v>
      </c>
      <c r="E779" s="3" t="str">
        <f>_xlfn.XLOOKUP(A779,'Data Cleaning'!A779:A2248, 'Data Cleaning'!E779:E2248)</f>
        <v>Married</v>
      </c>
      <c r="F779" t="str">
        <f>_xlfn.XLOOKUP(A779,'Data Cleaning'!A779:A2248, 'Data Cleaning'!F779:F2248)</f>
        <v>Low</v>
      </c>
      <c r="G779" s="3" t="str">
        <f>_xlfn.XLOOKUP(A779,'Data Cleaning'!A779:A2248, 'Data Cleaning'!J779:J2248)</f>
        <v>Promoted in 1-3 years</v>
      </c>
    </row>
    <row r="780" spans="1:7" x14ac:dyDescent="0.25">
      <c r="A780" s="3">
        <v>1028</v>
      </c>
      <c r="B780" s="3" t="str">
        <f>_xlfn.XLOOKUP(A780,'Data Cleaning'!A780:A2249, 'Data Cleaning'!I780:I2249)</f>
        <v>35-44</v>
      </c>
      <c r="C780">
        <f>_xlfn.XLOOKUP(A780,'Data Cleaning'!A780:A2249,'Data Cleaning'!K780:K2249)</f>
        <v>0</v>
      </c>
      <c r="D780" t="str">
        <f>_xlfn.XLOOKUP(A780,'Data Cleaning'!A780:A2249, 'Data Cleaning'!D780:D2249)</f>
        <v>Bachelor</v>
      </c>
      <c r="E780" s="3" t="str">
        <f>_xlfn.XLOOKUP(A780,'Data Cleaning'!A780:A2249, 'Data Cleaning'!E780:E2249)</f>
        <v>Divorced</v>
      </c>
      <c r="F780" t="str">
        <f>_xlfn.XLOOKUP(A780,'Data Cleaning'!A780:A2249, 'Data Cleaning'!F780:F2249)</f>
        <v>Low</v>
      </c>
      <c r="G780" s="3" t="str">
        <f>_xlfn.XLOOKUP(A780,'Data Cleaning'!A780:A2249, 'Data Cleaning'!J780:J2249)</f>
        <v>Promoted in 1-3 years</v>
      </c>
    </row>
    <row r="781" spans="1:7" x14ac:dyDescent="0.25">
      <c r="A781" s="3">
        <v>897</v>
      </c>
      <c r="B781" s="3" t="str">
        <f>_xlfn.XLOOKUP(A781,'Data Cleaning'!A781:A2250, 'Data Cleaning'!I781:I2250)</f>
        <v>45-54</v>
      </c>
      <c r="C781">
        <f>_xlfn.XLOOKUP(A781,'Data Cleaning'!A781:A2250,'Data Cleaning'!K781:K2250)</f>
        <v>0</v>
      </c>
      <c r="D781" t="str">
        <f>_xlfn.XLOOKUP(A781,'Data Cleaning'!A781:A2250, 'Data Cleaning'!D781:D2250)</f>
        <v>Bachelor</v>
      </c>
      <c r="E781" s="3" t="str">
        <f>_xlfn.XLOOKUP(A781,'Data Cleaning'!A781:A2250, 'Data Cleaning'!E781:E2250)</f>
        <v>Married</v>
      </c>
      <c r="F781" t="str">
        <f>_xlfn.XLOOKUP(A781,'Data Cleaning'!A781:A2250, 'Data Cleaning'!F781:F2250)</f>
        <v>Low</v>
      </c>
      <c r="G781" s="3" t="str">
        <f>_xlfn.XLOOKUP(A781,'Data Cleaning'!A781:A2250, 'Data Cleaning'!J781:J2250)</f>
        <v>Promoted in 1-3 years</v>
      </c>
    </row>
    <row r="782" spans="1:7" x14ac:dyDescent="0.25">
      <c r="A782" s="3">
        <v>1644</v>
      </c>
      <c r="B782" s="3" t="str">
        <f>_xlfn.XLOOKUP(A782,'Data Cleaning'!A782:A2251, 'Data Cleaning'!I782:I2251)</f>
        <v>45-54</v>
      </c>
      <c r="C782">
        <f>_xlfn.XLOOKUP(A782,'Data Cleaning'!A782:A2251,'Data Cleaning'!K782:K2251)</f>
        <v>0</v>
      </c>
      <c r="D782" t="str">
        <f>_xlfn.XLOOKUP(A782,'Data Cleaning'!A782:A2251, 'Data Cleaning'!D782:D2251)</f>
        <v>Doctor</v>
      </c>
      <c r="E782" s="3" t="str">
        <f>_xlfn.XLOOKUP(A782,'Data Cleaning'!A782:A2251, 'Data Cleaning'!E782:E2251)</f>
        <v>Married</v>
      </c>
      <c r="F782" t="str">
        <f>_xlfn.XLOOKUP(A782,'Data Cleaning'!A782:A2251, 'Data Cleaning'!F782:F2251)</f>
        <v>Low</v>
      </c>
      <c r="G782" s="3" t="str">
        <f>_xlfn.XLOOKUP(A782,'Data Cleaning'!A782:A2251, 'Data Cleaning'!J782:J2251)</f>
        <v>Promoted in 1-3 years</v>
      </c>
    </row>
    <row r="783" spans="1:7" x14ac:dyDescent="0.25">
      <c r="A783" s="3">
        <v>531</v>
      </c>
      <c r="B783" s="3" t="str">
        <f>_xlfn.XLOOKUP(A783,'Data Cleaning'!A783:A2252, 'Data Cleaning'!I783:I2252)</f>
        <v>35-44</v>
      </c>
      <c r="C783">
        <f>_xlfn.XLOOKUP(A783,'Data Cleaning'!A783:A2252,'Data Cleaning'!K783:K2252)</f>
        <v>0</v>
      </c>
      <c r="D783" t="str">
        <f>_xlfn.XLOOKUP(A783,'Data Cleaning'!A783:A2252, 'Data Cleaning'!D783:D2252)</f>
        <v>Below College</v>
      </c>
      <c r="E783" s="3" t="str">
        <f>_xlfn.XLOOKUP(A783,'Data Cleaning'!A783:A2252, 'Data Cleaning'!E783:E2252)</f>
        <v>Divorced</v>
      </c>
      <c r="F783" t="str">
        <f>_xlfn.XLOOKUP(A783,'Data Cleaning'!A783:A2252, 'Data Cleaning'!F783:F2252)</f>
        <v>Low</v>
      </c>
      <c r="G783" s="3" t="str">
        <f>_xlfn.XLOOKUP(A783,'Data Cleaning'!A783:A2252, 'Data Cleaning'!J783:J2252)</f>
        <v>Promoted in 1-3 years</v>
      </c>
    </row>
    <row r="784" spans="1:7" x14ac:dyDescent="0.25">
      <c r="A784" s="3">
        <v>599</v>
      </c>
      <c r="B784" s="3" t="str">
        <f>_xlfn.XLOOKUP(A784,'Data Cleaning'!A784:A2253, 'Data Cleaning'!I784:I2253)</f>
        <v>35-44</v>
      </c>
      <c r="C784">
        <f>_xlfn.XLOOKUP(A784,'Data Cleaning'!A784:A2253,'Data Cleaning'!K784:K2253)</f>
        <v>0</v>
      </c>
      <c r="D784" t="str">
        <f>_xlfn.XLOOKUP(A784,'Data Cleaning'!A784:A2253, 'Data Cleaning'!D784:D2253)</f>
        <v>College</v>
      </c>
      <c r="E784" s="3" t="str">
        <f>_xlfn.XLOOKUP(A784,'Data Cleaning'!A784:A2253, 'Data Cleaning'!E784:E2253)</f>
        <v>Single</v>
      </c>
      <c r="F784" t="str">
        <f>_xlfn.XLOOKUP(A784,'Data Cleaning'!A784:A2253, 'Data Cleaning'!F784:F2253)</f>
        <v>None</v>
      </c>
      <c r="G784" s="3" t="str">
        <f>_xlfn.XLOOKUP(A784,'Data Cleaning'!A784:A2253, 'Data Cleaning'!J784:J2253)</f>
        <v>Promoted in 1-3 years</v>
      </c>
    </row>
    <row r="785" spans="1:7" x14ac:dyDescent="0.25">
      <c r="A785" s="3">
        <v>481</v>
      </c>
      <c r="B785" s="3" t="str">
        <f>_xlfn.XLOOKUP(A785,'Data Cleaning'!A785:A2254, 'Data Cleaning'!I785:I2254)</f>
        <v>35-44</v>
      </c>
      <c r="C785">
        <f>_xlfn.XLOOKUP(A785,'Data Cleaning'!A785:A2254,'Data Cleaning'!K785:K2254)</f>
        <v>0</v>
      </c>
      <c r="D785" t="str">
        <f>_xlfn.XLOOKUP(A785,'Data Cleaning'!A785:A2254, 'Data Cleaning'!D785:D2254)</f>
        <v>Master</v>
      </c>
      <c r="E785" s="3" t="str">
        <f>_xlfn.XLOOKUP(A785,'Data Cleaning'!A785:A2254, 'Data Cleaning'!E785:E2254)</f>
        <v>Married</v>
      </c>
      <c r="F785" t="str">
        <f>_xlfn.XLOOKUP(A785,'Data Cleaning'!A785:A2254, 'Data Cleaning'!F785:F2254)</f>
        <v>Low</v>
      </c>
      <c r="G785" s="3" t="str">
        <f>_xlfn.XLOOKUP(A785,'Data Cleaning'!A785:A2254, 'Data Cleaning'!J785:J2254)</f>
        <v>Promoted in 1-3 years</v>
      </c>
    </row>
    <row r="786" spans="1:7" x14ac:dyDescent="0.25">
      <c r="A786" s="3">
        <v>1756</v>
      </c>
      <c r="B786" s="3" t="str">
        <f>_xlfn.XLOOKUP(A786,'Data Cleaning'!A786:A2255, 'Data Cleaning'!I786:I2255)</f>
        <v>25-34</v>
      </c>
      <c r="C786">
        <f>_xlfn.XLOOKUP(A786,'Data Cleaning'!A786:A2255,'Data Cleaning'!K786:K2255)</f>
        <v>0</v>
      </c>
      <c r="D786" t="str">
        <f>_xlfn.XLOOKUP(A786,'Data Cleaning'!A786:A2255, 'Data Cleaning'!D786:D2255)</f>
        <v>Bachelor</v>
      </c>
      <c r="E786" s="3" t="str">
        <f>_xlfn.XLOOKUP(A786,'Data Cleaning'!A786:A2255, 'Data Cleaning'!E786:E2255)</f>
        <v>Single</v>
      </c>
      <c r="F786" t="str">
        <f>_xlfn.XLOOKUP(A786,'Data Cleaning'!A786:A2255, 'Data Cleaning'!F786:F2255)</f>
        <v>None</v>
      </c>
      <c r="G786" s="3" t="str">
        <f>_xlfn.XLOOKUP(A786,'Data Cleaning'!A786:A2255, 'Data Cleaning'!J786:J2255)</f>
        <v>Promoted in 1-3 years</v>
      </c>
    </row>
    <row r="787" spans="1:7" x14ac:dyDescent="0.25">
      <c r="A787" s="3">
        <v>1289</v>
      </c>
      <c r="B787" s="3" t="str">
        <f>_xlfn.XLOOKUP(A787,'Data Cleaning'!A787:A2256, 'Data Cleaning'!I787:I2256)</f>
        <v>25-34</v>
      </c>
      <c r="C787">
        <f>_xlfn.XLOOKUP(A787,'Data Cleaning'!A787:A2256,'Data Cleaning'!K787:K2256)</f>
        <v>0</v>
      </c>
      <c r="D787" t="str">
        <f>_xlfn.XLOOKUP(A787,'Data Cleaning'!A787:A2256, 'Data Cleaning'!D787:D2256)</f>
        <v>Bachelor</v>
      </c>
      <c r="E787" s="3" t="str">
        <f>_xlfn.XLOOKUP(A787,'Data Cleaning'!A787:A2256, 'Data Cleaning'!E787:E2256)</f>
        <v>Married</v>
      </c>
      <c r="F787" t="str">
        <f>_xlfn.XLOOKUP(A787,'Data Cleaning'!A787:A2256, 'Data Cleaning'!F787:F2256)</f>
        <v>Mid</v>
      </c>
      <c r="G787" s="3" t="str">
        <f>_xlfn.XLOOKUP(A787,'Data Cleaning'!A787:A2256, 'Data Cleaning'!J787:J2256)</f>
        <v>Promoted in 1-3 years</v>
      </c>
    </row>
    <row r="788" spans="1:7" x14ac:dyDescent="0.25">
      <c r="A788" s="3">
        <v>256</v>
      </c>
      <c r="B788" s="3" t="str">
        <f>_xlfn.XLOOKUP(A788,'Data Cleaning'!A788:A2257, 'Data Cleaning'!I788:I2257)</f>
        <v>25-34</v>
      </c>
      <c r="C788">
        <f>_xlfn.XLOOKUP(A788,'Data Cleaning'!A788:A2257,'Data Cleaning'!K788:K2257)</f>
        <v>0</v>
      </c>
      <c r="D788" t="str">
        <f>_xlfn.XLOOKUP(A788,'Data Cleaning'!A788:A2257, 'Data Cleaning'!D788:D2257)</f>
        <v>Below College</v>
      </c>
      <c r="E788" s="3" t="str">
        <f>_xlfn.XLOOKUP(A788,'Data Cleaning'!A788:A2257, 'Data Cleaning'!E788:E2257)</f>
        <v>Married</v>
      </c>
      <c r="F788" t="str">
        <f>_xlfn.XLOOKUP(A788,'Data Cleaning'!A788:A2257, 'Data Cleaning'!F788:F2257)</f>
        <v>None</v>
      </c>
      <c r="G788" s="3" t="str">
        <f>_xlfn.XLOOKUP(A788,'Data Cleaning'!A788:A2257, 'Data Cleaning'!J788:J2257)</f>
        <v>Promoted in 1-3 years</v>
      </c>
    </row>
    <row r="789" spans="1:7" x14ac:dyDescent="0.25">
      <c r="A789" s="3">
        <v>1350</v>
      </c>
      <c r="B789" s="3" t="str">
        <f>_xlfn.XLOOKUP(A789,'Data Cleaning'!A789:A2258, 'Data Cleaning'!I789:I2258)</f>
        <v>35-44</v>
      </c>
      <c r="C789">
        <f>_xlfn.XLOOKUP(A789,'Data Cleaning'!A789:A2258,'Data Cleaning'!K789:K2258)</f>
        <v>0</v>
      </c>
      <c r="D789" t="str">
        <f>_xlfn.XLOOKUP(A789,'Data Cleaning'!A789:A2258, 'Data Cleaning'!D789:D2258)</f>
        <v>Master</v>
      </c>
      <c r="E789" s="3" t="str">
        <f>_xlfn.XLOOKUP(A789,'Data Cleaning'!A789:A2258, 'Data Cleaning'!E789:E2258)</f>
        <v>Single</v>
      </c>
      <c r="F789" t="str">
        <f>_xlfn.XLOOKUP(A789,'Data Cleaning'!A789:A2258, 'Data Cleaning'!F789:F2258)</f>
        <v>None</v>
      </c>
      <c r="G789" s="3" t="str">
        <f>_xlfn.XLOOKUP(A789,'Data Cleaning'!A789:A2258, 'Data Cleaning'!J789:J2258)</f>
        <v>Promoted in 1-3 years</v>
      </c>
    </row>
    <row r="790" spans="1:7" x14ac:dyDescent="0.25">
      <c r="A790" s="3">
        <v>2057</v>
      </c>
      <c r="B790" s="3" t="str">
        <f>_xlfn.XLOOKUP(A790,'Data Cleaning'!A790:A2259, 'Data Cleaning'!I790:I2259)</f>
        <v>25-34</v>
      </c>
      <c r="C790">
        <f>_xlfn.XLOOKUP(A790,'Data Cleaning'!A790:A2259,'Data Cleaning'!K790:K2259)</f>
        <v>0</v>
      </c>
      <c r="D790" t="str">
        <f>_xlfn.XLOOKUP(A790,'Data Cleaning'!A790:A2259, 'Data Cleaning'!D790:D2259)</f>
        <v>Bachelor</v>
      </c>
      <c r="E790" s="3" t="str">
        <f>_xlfn.XLOOKUP(A790,'Data Cleaning'!A790:A2259, 'Data Cleaning'!E790:E2259)</f>
        <v>Single</v>
      </c>
      <c r="F790" t="str">
        <f>_xlfn.XLOOKUP(A790,'Data Cleaning'!A790:A2259, 'Data Cleaning'!F790:F2259)</f>
        <v>None</v>
      </c>
      <c r="G790" s="3" t="str">
        <f>_xlfn.XLOOKUP(A790,'Data Cleaning'!A790:A2259, 'Data Cleaning'!J790:J2259)</f>
        <v>Promoted in 1-3 years</v>
      </c>
    </row>
    <row r="791" spans="1:7" x14ac:dyDescent="0.25">
      <c r="A791" s="3">
        <v>1771</v>
      </c>
      <c r="B791" s="3" t="str">
        <f>_xlfn.XLOOKUP(A791,'Data Cleaning'!A791:A2260, 'Data Cleaning'!I791:I2260)</f>
        <v>25-34</v>
      </c>
      <c r="C791">
        <f>_xlfn.XLOOKUP(A791,'Data Cleaning'!A791:A2260,'Data Cleaning'!K791:K2260)</f>
        <v>0</v>
      </c>
      <c r="D791" t="str">
        <f>_xlfn.XLOOKUP(A791,'Data Cleaning'!A791:A2260, 'Data Cleaning'!D791:D2260)</f>
        <v>Bachelor</v>
      </c>
      <c r="E791" s="3" t="str">
        <f>_xlfn.XLOOKUP(A791,'Data Cleaning'!A791:A2260, 'Data Cleaning'!E791:E2260)</f>
        <v>Divorced</v>
      </c>
      <c r="F791" t="str">
        <f>_xlfn.XLOOKUP(A791,'Data Cleaning'!A791:A2260, 'Data Cleaning'!F791:F2260)</f>
        <v>Mid</v>
      </c>
      <c r="G791" s="3" t="str">
        <f>_xlfn.XLOOKUP(A791,'Data Cleaning'!A791:A2260, 'Data Cleaning'!J791:J2260)</f>
        <v>Promoted in 1-3 years</v>
      </c>
    </row>
    <row r="792" spans="1:7" x14ac:dyDescent="0.25">
      <c r="A792" s="3">
        <v>56</v>
      </c>
      <c r="B792" s="3" t="str">
        <f>_xlfn.XLOOKUP(A792,'Data Cleaning'!A792:A2261, 'Data Cleaning'!I792:I2261)</f>
        <v>25-34</v>
      </c>
      <c r="C792">
        <f>_xlfn.XLOOKUP(A792,'Data Cleaning'!A792:A2261,'Data Cleaning'!K792:K2261)</f>
        <v>0</v>
      </c>
      <c r="D792" t="str">
        <f>_xlfn.XLOOKUP(A792,'Data Cleaning'!A792:A2261, 'Data Cleaning'!D792:D2261)</f>
        <v>Bachelor</v>
      </c>
      <c r="E792" s="3" t="str">
        <f>_xlfn.XLOOKUP(A792,'Data Cleaning'!A792:A2261, 'Data Cleaning'!E792:E2261)</f>
        <v>Single</v>
      </c>
      <c r="F792" t="str">
        <f>_xlfn.XLOOKUP(A792,'Data Cleaning'!A792:A2261, 'Data Cleaning'!F792:F2261)</f>
        <v>None</v>
      </c>
      <c r="G792" s="3" t="str">
        <f>_xlfn.XLOOKUP(A792,'Data Cleaning'!A792:A2261, 'Data Cleaning'!J792:J2261)</f>
        <v>Promoted in 1-3 years</v>
      </c>
    </row>
    <row r="793" spans="1:7" x14ac:dyDescent="0.25">
      <c r="A793" s="3">
        <v>430</v>
      </c>
      <c r="B793" s="3" t="str">
        <f>_xlfn.XLOOKUP(A793,'Data Cleaning'!A793:A2262, 'Data Cleaning'!I793:I2262)</f>
        <v>35-44</v>
      </c>
      <c r="C793">
        <f>_xlfn.XLOOKUP(A793,'Data Cleaning'!A793:A2262,'Data Cleaning'!K793:K2262)</f>
        <v>0</v>
      </c>
      <c r="D793" t="str">
        <f>_xlfn.XLOOKUP(A793,'Data Cleaning'!A793:A2262, 'Data Cleaning'!D793:D2262)</f>
        <v>Master</v>
      </c>
      <c r="E793" s="3" t="str">
        <f>_xlfn.XLOOKUP(A793,'Data Cleaning'!A793:A2262, 'Data Cleaning'!E793:E2262)</f>
        <v>Single</v>
      </c>
      <c r="F793" t="str">
        <f>_xlfn.XLOOKUP(A793,'Data Cleaning'!A793:A2262, 'Data Cleaning'!F793:F2262)</f>
        <v>None</v>
      </c>
      <c r="G793" s="3" t="str">
        <f>_xlfn.XLOOKUP(A793,'Data Cleaning'!A793:A2262, 'Data Cleaning'!J793:J2262)</f>
        <v>Promoted in 1-3 years</v>
      </c>
    </row>
    <row r="794" spans="1:7" x14ac:dyDescent="0.25">
      <c r="A794" s="3">
        <v>1934</v>
      </c>
      <c r="B794" s="3" t="str">
        <f>_xlfn.XLOOKUP(A794,'Data Cleaning'!A794:A2263, 'Data Cleaning'!I794:I2263)</f>
        <v>45-54</v>
      </c>
      <c r="C794">
        <f>_xlfn.XLOOKUP(A794,'Data Cleaning'!A794:A2263,'Data Cleaning'!K794:K2263)</f>
        <v>0</v>
      </c>
      <c r="D794" t="str">
        <f>_xlfn.XLOOKUP(A794,'Data Cleaning'!A794:A2263, 'Data Cleaning'!D794:D2263)</f>
        <v>Master</v>
      </c>
      <c r="E794" s="3" t="str">
        <f>_xlfn.XLOOKUP(A794,'Data Cleaning'!A794:A2263, 'Data Cleaning'!E794:E2263)</f>
        <v>Married</v>
      </c>
      <c r="F794" t="str">
        <f>_xlfn.XLOOKUP(A794,'Data Cleaning'!A794:A2263, 'Data Cleaning'!F794:F2263)</f>
        <v>Low</v>
      </c>
      <c r="G794" s="3" t="str">
        <f>_xlfn.XLOOKUP(A794,'Data Cleaning'!A794:A2263, 'Data Cleaning'!J794:J2263)</f>
        <v>Promoted in 1-3 years</v>
      </c>
    </row>
    <row r="795" spans="1:7" x14ac:dyDescent="0.25">
      <c r="A795" s="3">
        <v>286</v>
      </c>
      <c r="B795" s="3" t="str">
        <f>_xlfn.XLOOKUP(A795,'Data Cleaning'!A795:A2264, 'Data Cleaning'!I795:I2264)</f>
        <v>35-44</v>
      </c>
      <c r="C795">
        <f>_xlfn.XLOOKUP(A795,'Data Cleaning'!A795:A2264,'Data Cleaning'!K795:K2264)</f>
        <v>0</v>
      </c>
      <c r="D795" t="str">
        <f>_xlfn.XLOOKUP(A795,'Data Cleaning'!A795:A2264, 'Data Cleaning'!D795:D2264)</f>
        <v>Below College</v>
      </c>
      <c r="E795" s="3" t="str">
        <f>_xlfn.XLOOKUP(A795,'Data Cleaning'!A795:A2264, 'Data Cleaning'!E795:E2264)</f>
        <v>Single</v>
      </c>
      <c r="F795" t="str">
        <f>_xlfn.XLOOKUP(A795,'Data Cleaning'!A795:A2264, 'Data Cleaning'!F795:F2264)</f>
        <v>None</v>
      </c>
      <c r="G795" s="3" t="str">
        <f>_xlfn.XLOOKUP(A795,'Data Cleaning'!A795:A2264, 'Data Cleaning'!J795:J2264)</f>
        <v>Promoted in 1-3 years</v>
      </c>
    </row>
    <row r="796" spans="1:7" x14ac:dyDescent="0.25">
      <c r="A796" s="3">
        <v>1804</v>
      </c>
      <c r="B796" s="3" t="str">
        <f>_xlfn.XLOOKUP(A796,'Data Cleaning'!A796:A2265, 'Data Cleaning'!I796:I2265)</f>
        <v>35-44</v>
      </c>
      <c r="C796">
        <f>_xlfn.XLOOKUP(A796,'Data Cleaning'!A796:A2265,'Data Cleaning'!K796:K2265)</f>
        <v>0</v>
      </c>
      <c r="D796" t="str">
        <f>_xlfn.XLOOKUP(A796,'Data Cleaning'!A796:A2265, 'Data Cleaning'!D796:D2265)</f>
        <v>College</v>
      </c>
      <c r="E796" s="3" t="str">
        <f>_xlfn.XLOOKUP(A796,'Data Cleaning'!A796:A2265, 'Data Cleaning'!E796:E2265)</f>
        <v>Divorced</v>
      </c>
      <c r="F796" t="str">
        <f>_xlfn.XLOOKUP(A796,'Data Cleaning'!A796:A2265, 'Data Cleaning'!F796:F2265)</f>
        <v>Low</v>
      </c>
      <c r="G796" s="3" t="str">
        <f>_xlfn.XLOOKUP(A796,'Data Cleaning'!A796:A2265, 'Data Cleaning'!J796:J2265)</f>
        <v>Promoted in 1-3 years</v>
      </c>
    </row>
    <row r="797" spans="1:7" x14ac:dyDescent="0.25">
      <c r="A797" s="3">
        <v>1143</v>
      </c>
      <c r="B797" s="3" t="str">
        <f>_xlfn.XLOOKUP(A797,'Data Cleaning'!A797:A2266, 'Data Cleaning'!I797:I2266)</f>
        <v>25-34</v>
      </c>
      <c r="C797">
        <f>_xlfn.XLOOKUP(A797,'Data Cleaning'!A797:A2266,'Data Cleaning'!K797:K2266)</f>
        <v>0</v>
      </c>
      <c r="D797" t="str">
        <f>_xlfn.XLOOKUP(A797,'Data Cleaning'!A797:A2266, 'Data Cleaning'!D797:D2266)</f>
        <v>Bachelor</v>
      </c>
      <c r="E797" s="3" t="str">
        <f>_xlfn.XLOOKUP(A797,'Data Cleaning'!A797:A2266, 'Data Cleaning'!E797:E2266)</f>
        <v>Divorced</v>
      </c>
      <c r="F797" t="str">
        <f>_xlfn.XLOOKUP(A797,'Data Cleaning'!A797:A2266, 'Data Cleaning'!F797:F2266)</f>
        <v>Mid</v>
      </c>
      <c r="G797" s="3" t="str">
        <f>_xlfn.XLOOKUP(A797,'Data Cleaning'!A797:A2266, 'Data Cleaning'!J797:J2266)</f>
        <v>Promoted in 1-3 years</v>
      </c>
    </row>
    <row r="798" spans="1:7" x14ac:dyDescent="0.25">
      <c r="A798" s="3">
        <v>275</v>
      </c>
      <c r="B798" s="3" t="str">
        <f>_xlfn.XLOOKUP(A798,'Data Cleaning'!A798:A2267, 'Data Cleaning'!I798:I2267)</f>
        <v>45-54</v>
      </c>
      <c r="C798">
        <f>_xlfn.XLOOKUP(A798,'Data Cleaning'!A798:A2267,'Data Cleaning'!K798:K2267)</f>
        <v>0</v>
      </c>
      <c r="D798" t="str">
        <f>_xlfn.XLOOKUP(A798,'Data Cleaning'!A798:A2267, 'Data Cleaning'!D798:D2267)</f>
        <v>Master</v>
      </c>
      <c r="E798" s="3" t="str">
        <f>_xlfn.XLOOKUP(A798,'Data Cleaning'!A798:A2267, 'Data Cleaning'!E798:E2267)</f>
        <v>Divorced</v>
      </c>
      <c r="F798" t="str">
        <f>_xlfn.XLOOKUP(A798,'Data Cleaning'!A798:A2267, 'Data Cleaning'!F798:F2267)</f>
        <v>Mid</v>
      </c>
      <c r="G798" s="3" t="str">
        <f>_xlfn.XLOOKUP(A798,'Data Cleaning'!A798:A2267, 'Data Cleaning'!J798:J2267)</f>
        <v>Promoted in 1-3 years</v>
      </c>
    </row>
    <row r="799" spans="1:7" x14ac:dyDescent="0.25">
      <c r="A799" s="3">
        <v>1440</v>
      </c>
      <c r="B799" s="3" t="str">
        <f>_xlfn.XLOOKUP(A799,'Data Cleaning'!A799:A2268, 'Data Cleaning'!I799:I2268)</f>
        <v>35-44</v>
      </c>
      <c r="C799">
        <f>_xlfn.XLOOKUP(A799,'Data Cleaning'!A799:A2268,'Data Cleaning'!K799:K2268)</f>
        <v>0</v>
      </c>
      <c r="D799" t="str">
        <f>_xlfn.XLOOKUP(A799,'Data Cleaning'!A799:A2268, 'Data Cleaning'!D799:D2268)</f>
        <v>College</v>
      </c>
      <c r="E799" s="3" t="str">
        <f>_xlfn.XLOOKUP(A799,'Data Cleaning'!A799:A2268, 'Data Cleaning'!E799:E2268)</f>
        <v>Single</v>
      </c>
      <c r="F799" t="str">
        <f>_xlfn.XLOOKUP(A799,'Data Cleaning'!A799:A2268, 'Data Cleaning'!F799:F2268)</f>
        <v>None</v>
      </c>
      <c r="G799" s="3" t="str">
        <f>_xlfn.XLOOKUP(A799,'Data Cleaning'!A799:A2268, 'Data Cleaning'!J799:J2268)</f>
        <v>Promoted in 1-3 years</v>
      </c>
    </row>
    <row r="800" spans="1:7" x14ac:dyDescent="0.25">
      <c r="A800" s="3">
        <v>269</v>
      </c>
      <c r="B800" s="3" t="str">
        <f>_xlfn.XLOOKUP(A800,'Data Cleaning'!A800:A2269, 'Data Cleaning'!I800:I2269)</f>
        <v>35-44</v>
      </c>
      <c r="C800">
        <f>_xlfn.XLOOKUP(A800,'Data Cleaning'!A800:A2269,'Data Cleaning'!K800:K2269)</f>
        <v>0</v>
      </c>
      <c r="D800" t="str">
        <f>_xlfn.XLOOKUP(A800,'Data Cleaning'!A800:A2269, 'Data Cleaning'!D800:D2269)</f>
        <v>Bachelor</v>
      </c>
      <c r="E800" s="3" t="str">
        <f>_xlfn.XLOOKUP(A800,'Data Cleaning'!A800:A2269, 'Data Cleaning'!E800:E2269)</f>
        <v>Single</v>
      </c>
      <c r="F800" t="str">
        <f>_xlfn.XLOOKUP(A800,'Data Cleaning'!A800:A2269, 'Data Cleaning'!F800:F2269)</f>
        <v>None</v>
      </c>
      <c r="G800" s="3" t="str">
        <f>_xlfn.XLOOKUP(A800,'Data Cleaning'!A800:A2269, 'Data Cleaning'!J800:J2269)</f>
        <v>Promoted in 1-3 years</v>
      </c>
    </row>
    <row r="801" spans="1:7" x14ac:dyDescent="0.25">
      <c r="A801" s="3">
        <v>998</v>
      </c>
      <c r="B801" s="3" t="str">
        <f>_xlfn.XLOOKUP(A801,'Data Cleaning'!A801:A2270, 'Data Cleaning'!I801:I2270)</f>
        <v>25-34</v>
      </c>
      <c r="C801">
        <f>_xlfn.XLOOKUP(A801,'Data Cleaning'!A801:A2270,'Data Cleaning'!K801:K2270)</f>
        <v>0</v>
      </c>
      <c r="D801" t="str">
        <f>_xlfn.XLOOKUP(A801,'Data Cleaning'!A801:A2270, 'Data Cleaning'!D801:D2270)</f>
        <v>Master</v>
      </c>
      <c r="E801" s="3" t="str">
        <f>_xlfn.XLOOKUP(A801,'Data Cleaning'!A801:A2270, 'Data Cleaning'!E801:E2270)</f>
        <v>Married</v>
      </c>
      <c r="F801" t="str">
        <f>_xlfn.XLOOKUP(A801,'Data Cleaning'!A801:A2270, 'Data Cleaning'!F801:F2270)</f>
        <v>Low</v>
      </c>
      <c r="G801" s="3" t="str">
        <f>_xlfn.XLOOKUP(A801,'Data Cleaning'!A801:A2270, 'Data Cleaning'!J801:J2270)</f>
        <v>Promoted in 1-3 years</v>
      </c>
    </row>
    <row r="802" spans="1:7" x14ac:dyDescent="0.25">
      <c r="A802" s="3">
        <v>2022</v>
      </c>
      <c r="B802" s="3" t="str">
        <f>_xlfn.XLOOKUP(A802,'Data Cleaning'!A802:A2271, 'Data Cleaning'!I802:I2271)</f>
        <v>35-44</v>
      </c>
      <c r="C802">
        <f>_xlfn.XLOOKUP(A802,'Data Cleaning'!A802:A2271,'Data Cleaning'!K802:K2271)</f>
        <v>0</v>
      </c>
      <c r="D802" t="str">
        <f>_xlfn.XLOOKUP(A802,'Data Cleaning'!A802:A2271, 'Data Cleaning'!D802:D2271)</f>
        <v>Bachelor</v>
      </c>
      <c r="E802" s="3" t="str">
        <f>_xlfn.XLOOKUP(A802,'Data Cleaning'!A802:A2271, 'Data Cleaning'!E802:E2271)</f>
        <v>Single</v>
      </c>
      <c r="F802" t="str">
        <f>_xlfn.XLOOKUP(A802,'Data Cleaning'!A802:A2271, 'Data Cleaning'!F802:F2271)</f>
        <v>None</v>
      </c>
      <c r="G802" s="3" t="str">
        <f>_xlfn.XLOOKUP(A802,'Data Cleaning'!A802:A2271, 'Data Cleaning'!J802:J2271)</f>
        <v>Promoted in 1-3 years</v>
      </c>
    </row>
    <row r="803" spans="1:7" x14ac:dyDescent="0.25">
      <c r="A803" s="3">
        <v>1700</v>
      </c>
      <c r="B803" s="3" t="str">
        <f>_xlfn.XLOOKUP(A803,'Data Cleaning'!A803:A2272, 'Data Cleaning'!I803:I2272)</f>
        <v>35-44</v>
      </c>
      <c r="C803">
        <f>_xlfn.XLOOKUP(A803,'Data Cleaning'!A803:A2272,'Data Cleaning'!K803:K2272)</f>
        <v>0</v>
      </c>
      <c r="D803" t="str">
        <f>_xlfn.XLOOKUP(A803,'Data Cleaning'!A803:A2272, 'Data Cleaning'!D803:D2272)</f>
        <v>Master</v>
      </c>
      <c r="E803" s="3" t="str">
        <f>_xlfn.XLOOKUP(A803,'Data Cleaning'!A803:A2272, 'Data Cleaning'!E803:E2272)</f>
        <v>Divorced</v>
      </c>
      <c r="F803" t="str">
        <f>_xlfn.XLOOKUP(A803,'Data Cleaning'!A803:A2272, 'Data Cleaning'!F803:F2272)</f>
        <v>Mid</v>
      </c>
      <c r="G803" s="3" t="str">
        <f>_xlfn.XLOOKUP(A803,'Data Cleaning'!A803:A2272, 'Data Cleaning'!J803:J2272)</f>
        <v>Promoted in 1-3 years</v>
      </c>
    </row>
    <row r="804" spans="1:7" x14ac:dyDescent="0.25">
      <c r="A804" s="3">
        <v>1563</v>
      </c>
      <c r="B804" s="3" t="str">
        <f>_xlfn.XLOOKUP(A804,'Data Cleaning'!A804:A2273, 'Data Cleaning'!I804:I2273)</f>
        <v>35-44</v>
      </c>
      <c r="C804">
        <f>_xlfn.XLOOKUP(A804,'Data Cleaning'!A804:A2273,'Data Cleaning'!K804:K2273)</f>
        <v>0</v>
      </c>
      <c r="D804" t="str">
        <f>_xlfn.XLOOKUP(A804,'Data Cleaning'!A804:A2273, 'Data Cleaning'!D804:D2273)</f>
        <v>Master</v>
      </c>
      <c r="E804" s="3" t="str">
        <f>_xlfn.XLOOKUP(A804,'Data Cleaning'!A804:A2273, 'Data Cleaning'!E804:E2273)</f>
        <v>Married</v>
      </c>
      <c r="F804" t="str">
        <f>_xlfn.XLOOKUP(A804,'Data Cleaning'!A804:A2273, 'Data Cleaning'!F804:F2273)</f>
        <v>None</v>
      </c>
      <c r="G804" s="3" t="str">
        <f>_xlfn.XLOOKUP(A804,'Data Cleaning'!A804:A2273, 'Data Cleaning'!J804:J2273)</f>
        <v>Promoted in 1-3 years</v>
      </c>
    </row>
    <row r="805" spans="1:7" x14ac:dyDescent="0.25">
      <c r="A805" s="3">
        <v>1590</v>
      </c>
      <c r="B805" s="3" t="str">
        <f>_xlfn.XLOOKUP(A805,'Data Cleaning'!A805:A2274, 'Data Cleaning'!I805:I2274)</f>
        <v>25-34</v>
      </c>
      <c r="C805">
        <f>_xlfn.XLOOKUP(A805,'Data Cleaning'!A805:A2274,'Data Cleaning'!K805:K2274)</f>
        <v>0</v>
      </c>
      <c r="D805" t="str">
        <f>_xlfn.XLOOKUP(A805,'Data Cleaning'!A805:A2274, 'Data Cleaning'!D805:D2274)</f>
        <v>Below College</v>
      </c>
      <c r="E805" s="3" t="str">
        <f>_xlfn.XLOOKUP(A805,'Data Cleaning'!A805:A2274, 'Data Cleaning'!E805:E2274)</f>
        <v>Divorced</v>
      </c>
      <c r="F805" t="str">
        <f>_xlfn.XLOOKUP(A805,'Data Cleaning'!A805:A2274, 'Data Cleaning'!F805:F2274)</f>
        <v>Low</v>
      </c>
      <c r="G805" s="3" t="str">
        <f>_xlfn.XLOOKUP(A805,'Data Cleaning'!A805:A2274, 'Data Cleaning'!J805:J2274)</f>
        <v>Promoted in 1-3 years</v>
      </c>
    </row>
    <row r="806" spans="1:7" x14ac:dyDescent="0.25">
      <c r="A806" s="3">
        <v>1972</v>
      </c>
      <c r="B806" s="3" t="str">
        <f>_xlfn.XLOOKUP(A806,'Data Cleaning'!A806:A2275, 'Data Cleaning'!I806:I2275)</f>
        <v>35-44</v>
      </c>
      <c r="C806">
        <f>_xlfn.XLOOKUP(A806,'Data Cleaning'!A806:A2275,'Data Cleaning'!K806:K2275)</f>
        <v>0</v>
      </c>
      <c r="D806" t="str">
        <f>_xlfn.XLOOKUP(A806,'Data Cleaning'!A806:A2275, 'Data Cleaning'!D806:D2275)</f>
        <v>Master</v>
      </c>
      <c r="E806" s="3" t="str">
        <f>_xlfn.XLOOKUP(A806,'Data Cleaning'!A806:A2275, 'Data Cleaning'!E806:E2275)</f>
        <v>Married</v>
      </c>
      <c r="F806" t="str">
        <f>_xlfn.XLOOKUP(A806,'Data Cleaning'!A806:A2275, 'Data Cleaning'!F806:F2275)</f>
        <v>Low</v>
      </c>
      <c r="G806" s="3" t="str">
        <f>_xlfn.XLOOKUP(A806,'Data Cleaning'!A806:A2275, 'Data Cleaning'!J806:J2275)</f>
        <v>Promoted in 1-3 years</v>
      </c>
    </row>
    <row r="807" spans="1:7" x14ac:dyDescent="0.25">
      <c r="A807" s="3">
        <v>1646</v>
      </c>
      <c r="B807" s="3" t="str">
        <f>_xlfn.XLOOKUP(A807,'Data Cleaning'!A807:A2276, 'Data Cleaning'!I807:I2276)</f>
        <v>18-24</v>
      </c>
      <c r="C807">
        <f>_xlfn.XLOOKUP(A807,'Data Cleaning'!A807:A2276,'Data Cleaning'!K807:K2276)</f>
        <v>0</v>
      </c>
      <c r="D807" t="str">
        <f>_xlfn.XLOOKUP(A807,'Data Cleaning'!A807:A2276, 'Data Cleaning'!D807:D2276)</f>
        <v>Below College</v>
      </c>
      <c r="E807" s="3" t="str">
        <f>_xlfn.XLOOKUP(A807,'Data Cleaning'!A807:A2276, 'Data Cleaning'!E807:E2276)</f>
        <v>Single</v>
      </c>
      <c r="F807" t="str">
        <f>_xlfn.XLOOKUP(A807,'Data Cleaning'!A807:A2276, 'Data Cleaning'!F807:F2276)</f>
        <v>None</v>
      </c>
      <c r="G807" s="3" t="str">
        <f>_xlfn.XLOOKUP(A807,'Data Cleaning'!A807:A2276, 'Data Cleaning'!J807:J2276)</f>
        <v>Promoted in 1-3 years</v>
      </c>
    </row>
    <row r="808" spans="1:7" x14ac:dyDescent="0.25">
      <c r="A808" s="3">
        <v>369</v>
      </c>
      <c r="B808" s="3" t="str">
        <f>_xlfn.XLOOKUP(A808,'Data Cleaning'!A808:A2277, 'Data Cleaning'!I808:I2277)</f>
        <v>25-34</v>
      </c>
      <c r="C808">
        <f>_xlfn.XLOOKUP(A808,'Data Cleaning'!A808:A2277,'Data Cleaning'!K808:K2277)</f>
        <v>0</v>
      </c>
      <c r="D808" t="str">
        <f>_xlfn.XLOOKUP(A808,'Data Cleaning'!A808:A2277, 'Data Cleaning'!D808:D2277)</f>
        <v>College</v>
      </c>
      <c r="E808" s="3" t="str">
        <f>_xlfn.XLOOKUP(A808,'Data Cleaning'!A808:A2277, 'Data Cleaning'!E808:E2277)</f>
        <v>Divorced</v>
      </c>
      <c r="F808" t="str">
        <f>_xlfn.XLOOKUP(A808,'Data Cleaning'!A808:A2277, 'Data Cleaning'!F808:F2277)</f>
        <v>Mid</v>
      </c>
      <c r="G808" s="3" t="str">
        <f>_xlfn.XLOOKUP(A808,'Data Cleaning'!A808:A2277, 'Data Cleaning'!J808:J2277)</f>
        <v>Promoted in 1-3 years</v>
      </c>
    </row>
    <row r="809" spans="1:7" x14ac:dyDescent="0.25">
      <c r="A809" s="3">
        <v>1395</v>
      </c>
      <c r="B809" s="3" t="str">
        <f>_xlfn.XLOOKUP(A809,'Data Cleaning'!A809:A2278, 'Data Cleaning'!I809:I2278)</f>
        <v>25-34</v>
      </c>
      <c r="C809">
        <f>_xlfn.XLOOKUP(A809,'Data Cleaning'!A809:A2278,'Data Cleaning'!K809:K2278)</f>
        <v>0</v>
      </c>
      <c r="D809" t="str">
        <f>_xlfn.XLOOKUP(A809,'Data Cleaning'!A809:A2278, 'Data Cleaning'!D809:D2278)</f>
        <v>Below College</v>
      </c>
      <c r="E809" s="3" t="str">
        <f>_xlfn.XLOOKUP(A809,'Data Cleaning'!A809:A2278, 'Data Cleaning'!E809:E2278)</f>
        <v>Married</v>
      </c>
      <c r="F809" t="str">
        <f>_xlfn.XLOOKUP(A809,'Data Cleaning'!A809:A2278, 'Data Cleaning'!F809:F2278)</f>
        <v>None</v>
      </c>
      <c r="G809" s="3" t="str">
        <f>_xlfn.XLOOKUP(A809,'Data Cleaning'!A809:A2278, 'Data Cleaning'!J809:J2278)</f>
        <v>Promoted in 1-3 years</v>
      </c>
    </row>
    <row r="810" spans="1:7" x14ac:dyDescent="0.25">
      <c r="A810" s="3">
        <v>983</v>
      </c>
      <c r="B810" s="3" t="str">
        <f>_xlfn.XLOOKUP(A810,'Data Cleaning'!A810:A2279, 'Data Cleaning'!I810:I2279)</f>
        <v>35-44</v>
      </c>
      <c r="C810">
        <f>_xlfn.XLOOKUP(A810,'Data Cleaning'!A810:A2279,'Data Cleaning'!K810:K2279)</f>
        <v>0</v>
      </c>
      <c r="D810" t="str">
        <f>_xlfn.XLOOKUP(A810,'Data Cleaning'!A810:A2279, 'Data Cleaning'!D810:D2279)</f>
        <v>Bachelor</v>
      </c>
      <c r="E810" s="3" t="str">
        <f>_xlfn.XLOOKUP(A810,'Data Cleaning'!A810:A2279, 'Data Cleaning'!E810:E2279)</f>
        <v>Single</v>
      </c>
      <c r="F810" t="str">
        <f>_xlfn.XLOOKUP(A810,'Data Cleaning'!A810:A2279, 'Data Cleaning'!F810:F2279)</f>
        <v>None</v>
      </c>
      <c r="G810" s="3" t="str">
        <f>_xlfn.XLOOKUP(A810,'Data Cleaning'!A810:A2279, 'Data Cleaning'!J810:J2279)</f>
        <v>Promoted in 1-3 years</v>
      </c>
    </row>
    <row r="811" spans="1:7" x14ac:dyDescent="0.25">
      <c r="A811" s="3">
        <v>52</v>
      </c>
      <c r="B811" s="3" t="str">
        <f>_xlfn.XLOOKUP(A811,'Data Cleaning'!A811:A2280, 'Data Cleaning'!I811:I2280)</f>
        <v>25-34</v>
      </c>
      <c r="C811">
        <f>_xlfn.XLOOKUP(A811,'Data Cleaning'!A811:A2280,'Data Cleaning'!K811:K2280)</f>
        <v>0</v>
      </c>
      <c r="D811" t="str">
        <f>_xlfn.XLOOKUP(A811,'Data Cleaning'!A811:A2280, 'Data Cleaning'!D811:D2280)</f>
        <v>Bachelor</v>
      </c>
      <c r="E811" s="3" t="str">
        <f>_xlfn.XLOOKUP(A811,'Data Cleaning'!A811:A2280, 'Data Cleaning'!E811:E2280)</f>
        <v>Married</v>
      </c>
      <c r="F811" t="str">
        <f>_xlfn.XLOOKUP(A811,'Data Cleaning'!A811:A2280, 'Data Cleaning'!F811:F2280)</f>
        <v>Mid</v>
      </c>
      <c r="G811" s="3" t="str">
        <f>_xlfn.XLOOKUP(A811,'Data Cleaning'!A811:A2280, 'Data Cleaning'!J811:J2280)</f>
        <v>Promoted in 1-3 years</v>
      </c>
    </row>
    <row r="812" spans="1:7" x14ac:dyDescent="0.25">
      <c r="A812" s="3">
        <v>1068</v>
      </c>
      <c r="B812" s="3" t="str">
        <f>_xlfn.XLOOKUP(A812,'Data Cleaning'!A812:A2281, 'Data Cleaning'!I812:I2281)</f>
        <v>25-34</v>
      </c>
      <c r="C812">
        <f>_xlfn.XLOOKUP(A812,'Data Cleaning'!A812:A2281,'Data Cleaning'!K812:K2281)</f>
        <v>0</v>
      </c>
      <c r="D812" t="str">
        <f>_xlfn.XLOOKUP(A812,'Data Cleaning'!A812:A2281, 'Data Cleaning'!D812:D2281)</f>
        <v>Below College</v>
      </c>
      <c r="E812" s="3" t="str">
        <f>_xlfn.XLOOKUP(A812,'Data Cleaning'!A812:A2281, 'Data Cleaning'!E812:E2281)</f>
        <v>Divorced</v>
      </c>
      <c r="F812" t="str">
        <f>_xlfn.XLOOKUP(A812,'Data Cleaning'!A812:A2281, 'Data Cleaning'!F812:F2281)</f>
        <v>Mid</v>
      </c>
      <c r="G812" s="3" t="str">
        <f>_xlfn.XLOOKUP(A812,'Data Cleaning'!A812:A2281, 'Data Cleaning'!J812:J2281)</f>
        <v>Promoted in 1-3 years</v>
      </c>
    </row>
    <row r="813" spans="1:7" x14ac:dyDescent="0.25">
      <c r="A813" s="3">
        <v>449</v>
      </c>
      <c r="B813" s="3" t="str">
        <f>_xlfn.XLOOKUP(A813,'Data Cleaning'!A813:A2282, 'Data Cleaning'!I813:I2282)</f>
        <v>25-34</v>
      </c>
      <c r="C813">
        <f>_xlfn.XLOOKUP(A813,'Data Cleaning'!A813:A2282,'Data Cleaning'!K813:K2282)</f>
        <v>0</v>
      </c>
      <c r="D813" t="str">
        <f>_xlfn.XLOOKUP(A813,'Data Cleaning'!A813:A2282, 'Data Cleaning'!D813:D2282)</f>
        <v>Below College</v>
      </c>
      <c r="E813" s="3" t="str">
        <f>_xlfn.XLOOKUP(A813,'Data Cleaning'!A813:A2282, 'Data Cleaning'!E813:E2282)</f>
        <v>Married</v>
      </c>
      <c r="F813" t="str">
        <f>_xlfn.XLOOKUP(A813,'Data Cleaning'!A813:A2282, 'Data Cleaning'!F813:F2282)</f>
        <v>Low</v>
      </c>
      <c r="G813" s="3" t="str">
        <f>_xlfn.XLOOKUP(A813,'Data Cleaning'!A813:A2282, 'Data Cleaning'!J813:J2282)</f>
        <v>Promoted in 1-3 years</v>
      </c>
    </row>
    <row r="814" spans="1:7" x14ac:dyDescent="0.25">
      <c r="A814" s="3">
        <v>308</v>
      </c>
      <c r="B814" s="3" t="str">
        <f>_xlfn.XLOOKUP(A814,'Data Cleaning'!A814:A2283, 'Data Cleaning'!I814:I2283)</f>
        <v>25-34</v>
      </c>
      <c r="C814">
        <f>_xlfn.XLOOKUP(A814,'Data Cleaning'!A814:A2283,'Data Cleaning'!K814:K2283)</f>
        <v>0</v>
      </c>
      <c r="D814" t="str">
        <f>_xlfn.XLOOKUP(A814,'Data Cleaning'!A814:A2283, 'Data Cleaning'!D814:D2283)</f>
        <v>Master</v>
      </c>
      <c r="E814" s="3" t="str">
        <f>_xlfn.XLOOKUP(A814,'Data Cleaning'!A814:A2283, 'Data Cleaning'!E814:E2283)</f>
        <v>Married</v>
      </c>
      <c r="F814" t="str">
        <f>_xlfn.XLOOKUP(A814,'Data Cleaning'!A814:A2283, 'Data Cleaning'!F814:F2283)</f>
        <v>Low</v>
      </c>
      <c r="G814" s="3" t="str">
        <f>_xlfn.XLOOKUP(A814,'Data Cleaning'!A814:A2283, 'Data Cleaning'!J814:J2283)</f>
        <v>Promoted in 1-3 years</v>
      </c>
    </row>
    <row r="815" spans="1:7" x14ac:dyDescent="0.25">
      <c r="A815" s="3">
        <v>562</v>
      </c>
      <c r="B815" s="3" t="str">
        <f>_xlfn.XLOOKUP(A815,'Data Cleaning'!A815:A2284, 'Data Cleaning'!I815:I2284)</f>
        <v>25-34</v>
      </c>
      <c r="C815">
        <f>_xlfn.XLOOKUP(A815,'Data Cleaning'!A815:A2284,'Data Cleaning'!K815:K2284)</f>
        <v>0</v>
      </c>
      <c r="D815" t="str">
        <f>_xlfn.XLOOKUP(A815,'Data Cleaning'!A815:A2284, 'Data Cleaning'!D815:D2284)</f>
        <v>Bachelor</v>
      </c>
      <c r="E815" s="3" t="str">
        <f>_xlfn.XLOOKUP(A815,'Data Cleaning'!A815:A2284, 'Data Cleaning'!E815:E2284)</f>
        <v>Married</v>
      </c>
      <c r="F815" t="str">
        <f>_xlfn.XLOOKUP(A815,'Data Cleaning'!A815:A2284, 'Data Cleaning'!F815:F2284)</f>
        <v>Low</v>
      </c>
      <c r="G815" s="3" t="str">
        <f>_xlfn.XLOOKUP(A815,'Data Cleaning'!A815:A2284, 'Data Cleaning'!J815:J2284)</f>
        <v>Promoted in 1-3 years</v>
      </c>
    </row>
    <row r="816" spans="1:7" x14ac:dyDescent="0.25">
      <c r="A816" s="3">
        <v>1947</v>
      </c>
      <c r="B816" s="3" t="str">
        <f>_xlfn.XLOOKUP(A816,'Data Cleaning'!A816:A2285, 'Data Cleaning'!I816:I2285)</f>
        <v>25-34</v>
      </c>
      <c r="C816">
        <f>_xlfn.XLOOKUP(A816,'Data Cleaning'!A816:A2285,'Data Cleaning'!K816:K2285)</f>
        <v>0</v>
      </c>
      <c r="D816" t="str">
        <f>_xlfn.XLOOKUP(A816,'Data Cleaning'!A816:A2285, 'Data Cleaning'!D816:D2285)</f>
        <v>Bachelor</v>
      </c>
      <c r="E816" s="3" t="str">
        <f>_xlfn.XLOOKUP(A816,'Data Cleaning'!A816:A2285, 'Data Cleaning'!E816:E2285)</f>
        <v>Single</v>
      </c>
      <c r="F816" t="str">
        <f>_xlfn.XLOOKUP(A816,'Data Cleaning'!A816:A2285, 'Data Cleaning'!F816:F2285)</f>
        <v>None</v>
      </c>
      <c r="G816" s="3" t="str">
        <f>_xlfn.XLOOKUP(A816,'Data Cleaning'!A816:A2285, 'Data Cleaning'!J816:J2285)</f>
        <v>Promoted in 1-3 years</v>
      </c>
    </row>
    <row r="817" spans="1:7" x14ac:dyDescent="0.25">
      <c r="A817" s="3">
        <v>1955</v>
      </c>
      <c r="B817" s="3" t="str">
        <f>_xlfn.XLOOKUP(A817,'Data Cleaning'!A817:A2286, 'Data Cleaning'!I817:I2286)</f>
        <v>25-34</v>
      </c>
      <c r="C817">
        <f>_xlfn.XLOOKUP(A817,'Data Cleaning'!A817:A2286,'Data Cleaning'!K817:K2286)</f>
        <v>0</v>
      </c>
      <c r="D817" t="str">
        <f>_xlfn.XLOOKUP(A817,'Data Cleaning'!A817:A2286, 'Data Cleaning'!D817:D2286)</f>
        <v>Master</v>
      </c>
      <c r="E817" s="3" t="str">
        <f>_xlfn.XLOOKUP(A817,'Data Cleaning'!A817:A2286, 'Data Cleaning'!E817:E2286)</f>
        <v>Divorced</v>
      </c>
      <c r="F817" t="str">
        <f>_xlfn.XLOOKUP(A817,'Data Cleaning'!A817:A2286, 'Data Cleaning'!F817:F2286)</f>
        <v>Low</v>
      </c>
      <c r="G817" s="3" t="str">
        <f>_xlfn.XLOOKUP(A817,'Data Cleaning'!A817:A2286, 'Data Cleaning'!J817:J2286)</f>
        <v>Promoted in 1-3 years</v>
      </c>
    </row>
    <row r="818" spans="1:7" x14ac:dyDescent="0.25">
      <c r="A818" s="3">
        <v>838</v>
      </c>
      <c r="B818" s="3" t="str">
        <f>_xlfn.XLOOKUP(A818,'Data Cleaning'!A818:A2287, 'Data Cleaning'!I818:I2287)</f>
        <v>25-34</v>
      </c>
      <c r="C818">
        <f>_xlfn.XLOOKUP(A818,'Data Cleaning'!A818:A2287,'Data Cleaning'!K818:K2287)</f>
        <v>0</v>
      </c>
      <c r="D818" t="str">
        <f>_xlfn.XLOOKUP(A818,'Data Cleaning'!A818:A2287, 'Data Cleaning'!D818:D2287)</f>
        <v>Master</v>
      </c>
      <c r="E818" s="3" t="str">
        <f>_xlfn.XLOOKUP(A818,'Data Cleaning'!A818:A2287, 'Data Cleaning'!E818:E2287)</f>
        <v>Single</v>
      </c>
      <c r="F818" t="str">
        <f>_xlfn.XLOOKUP(A818,'Data Cleaning'!A818:A2287, 'Data Cleaning'!F818:F2287)</f>
        <v>None</v>
      </c>
      <c r="G818" s="3" t="str">
        <f>_xlfn.XLOOKUP(A818,'Data Cleaning'!A818:A2287, 'Data Cleaning'!J818:J2287)</f>
        <v>Promoted in 1-3 years</v>
      </c>
    </row>
    <row r="819" spans="1:7" x14ac:dyDescent="0.25">
      <c r="A819" s="3">
        <v>422</v>
      </c>
      <c r="B819" s="3" t="str">
        <f>_xlfn.XLOOKUP(A819,'Data Cleaning'!A819:A2288, 'Data Cleaning'!I819:I2288)</f>
        <v>55-60</v>
      </c>
      <c r="C819">
        <f>_xlfn.XLOOKUP(A819,'Data Cleaning'!A819:A2288,'Data Cleaning'!K819:K2288)</f>
        <v>0</v>
      </c>
      <c r="D819" t="str">
        <f>_xlfn.XLOOKUP(A819,'Data Cleaning'!A819:A2288, 'Data Cleaning'!D819:D2288)</f>
        <v>Master</v>
      </c>
      <c r="E819" s="3" t="str">
        <f>_xlfn.XLOOKUP(A819,'Data Cleaning'!A819:A2288, 'Data Cleaning'!E819:E2288)</f>
        <v>Divorced</v>
      </c>
      <c r="F819" t="str">
        <f>_xlfn.XLOOKUP(A819,'Data Cleaning'!A819:A2288, 'Data Cleaning'!F819:F2288)</f>
        <v>Low</v>
      </c>
      <c r="G819" s="3" t="str">
        <f>_xlfn.XLOOKUP(A819,'Data Cleaning'!A819:A2288, 'Data Cleaning'!J819:J2288)</f>
        <v>Promoted in 1-3 years</v>
      </c>
    </row>
    <row r="820" spans="1:7" x14ac:dyDescent="0.25">
      <c r="A820" s="3">
        <v>1245</v>
      </c>
      <c r="B820" s="3" t="str">
        <f>_xlfn.XLOOKUP(A820,'Data Cleaning'!A820:A2289, 'Data Cleaning'!I820:I2289)</f>
        <v>45-54</v>
      </c>
      <c r="C820">
        <f>_xlfn.XLOOKUP(A820,'Data Cleaning'!A820:A2289,'Data Cleaning'!K820:K2289)</f>
        <v>0</v>
      </c>
      <c r="D820" t="str">
        <f>_xlfn.XLOOKUP(A820,'Data Cleaning'!A820:A2289, 'Data Cleaning'!D820:D2289)</f>
        <v>Master</v>
      </c>
      <c r="E820" s="3" t="str">
        <f>_xlfn.XLOOKUP(A820,'Data Cleaning'!A820:A2289, 'Data Cleaning'!E820:E2289)</f>
        <v>Divorced</v>
      </c>
      <c r="F820" t="str">
        <f>_xlfn.XLOOKUP(A820,'Data Cleaning'!A820:A2289, 'Data Cleaning'!F820:F2289)</f>
        <v>Low</v>
      </c>
      <c r="G820" s="3" t="str">
        <f>_xlfn.XLOOKUP(A820,'Data Cleaning'!A820:A2289, 'Data Cleaning'!J820:J2289)</f>
        <v>Promoted in 1-3 years</v>
      </c>
    </row>
    <row r="821" spans="1:7" x14ac:dyDescent="0.25">
      <c r="A821" s="3">
        <v>744</v>
      </c>
      <c r="B821" s="3" t="str">
        <f>_xlfn.XLOOKUP(A821,'Data Cleaning'!A821:A2290, 'Data Cleaning'!I821:I2290)</f>
        <v>35-44</v>
      </c>
      <c r="C821">
        <f>_xlfn.XLOOKUP(A821,'Data Cleaning'!A821:A2290,'Data Cleaning'!K821:K2290)</f>
        <v>0</v>
      </c>
      <c r="D821" t="str">
        <f>_xlfn.XLOOKUP(A821,'Data Cleaning'!A821:A2290, 'Data Cleaning'!D821:D2290)</f>
        <v>Bachelor</v>
      </c>
      <c r="E821" s="3" t="str">
        <f>_xlfn.XLOOKUP(A821,'Data Cleaning'!A821:A2290, 'Data Cleaning'!E821:E2290)</f>
        <v>Single</v>
      </c>
      <c r="F821" t="str">
        <f>_xlfn.XLOOKUP(A821,'Data Cleaning'!A821:A2290, 'Data Cleaning'!F821:F2290)</f>
        <v>None</v>
      </c>
      <c r="G821" s="3" t="str">
        <f>_xlfn.XLOOKUP(A821,'Data Cleaning'!A821:A2290, 'Data Cleaning'!J821:J2290)</f>
        <v>Promoted in 1-3 years</v>
      </c>
    </row>
    <row r="822" spans="1:7" x14ac:dyDescent="0.25">
      <c r="A822" s="3">
        <v>1720</v>
      </c>
      <c r="B822" s="3" t="str">
        <f>_xlfn.XLOOKUP(A822,'Data Cleaning'!A822:A2291, 'Data Cleaning'!I822:I2291)</f>
        <v>25-34</v>
      </c>
      <c r="C822">
        <f>_xlfn.XLOOKUP(A822,'Data Cleaning'!A822:A2291,'Data Cleaning'!K822:K2291)</f>
        <v>0</v>
      </c>
      <c r="D822" t="str">
        <f>_xlfn.XLOOKUP(A822,'Data Cleaning'!A822:A2291, 'Data Cleaning'!D822:D2291)</f>
        <v>Bachelor</v>
      </c>
      <c r="E822" s="3" t="str">
        <f>_xlfn.XLOOKUP(A822,'Data Cleaning'!A822:A2291, 'Data Cleaning'!E822:E2291)</f>
        <v>Married</v>
      </c>
      <c r="F822" t="str">
        <f>_xlfn.XLOOKUP(A822,'Data Cleaning'!A822:A2291, 'Data Cleaning'!F822:F2291)</f>
        <v>Low</v>
      </c>
      <c r="G822" s="3" t="str">
        <f>_xlfn.XLOOKUP(A822,'Data Cleaning'!A822:A2291, 'Data Cleaning'!J822:J2291)</f>
        <v>Promoted in 1-3 years</v>
      </c>
    </row>
    <row r="823" spans="1:7" x14ac:dyDescent="0.25">
      <c r="A823" s="3">
        <v>1704</v>
      </c>
      <c r="B823" s="3" t="str">
        <f>_xlfn.XLOOKUP(A823,'Data Cleaning'!A823:A2292, 'Data Cleaning'!I823:I2292)</f>
        <v>35-44</v>
      </c>
      <c r="C823">
        <f>_xlfn.XLOOKUP(A823,'Data Cleaning'!A823:A2292,'Data Cleaning'!K823:K2292)</f>
        <v>0</v>
      </c>
      <c r="D823" t="str">
        <f>_xlfn.XLOOKUP(A823,'Data Cleaning'!A823:A2292, 'Data Cleaning'!D823:D2292)</f>
        <v>Master</v>
      </c>
      <c r="E823" s="3" t="str">
        <f>_xlfn.XLOOKUP(A823,'Data Cleaning'!A823:A2292, 'Data Cleaning'!E823:E2292)</f>
        <v>Single</v>
      </c>
      <c r="F823" t="str">
        <f>_xlfn.XLOOKUP(A823,'Data Cleaning'!A823:A2292, 'Data Cleaning'!F823:F2292)</f>
        <v>None</v>
      </c>
      <c r="G823" s="3" t="str">
        <f>_xlfn.XLOOKUP(A823,'Data Cleaning'!A823:A2292, 'Data Cleaning'!J823:J2292)</f>
        <v>Promoted in 1-3 years</v>
      </c>
    </row>
    <row r="824" spans="1:7" x14ac:dyDescent="0.25">
      <c r="A824" s="3">
        <v>1648</v>
      </c>
      <c r="B824" s="3" t="str">
        <f>_xlfn.XLOOKUP(A824,'Data Cleaning'!A824:A2293, 'Data Cleaning'!I824:I2293)</f>
        <v>25-34</v>
      </c>
      <c r="C824">
        <f>_xlfn.XLOOKUP(A824,'Data Cleaning'!A824:A2293,'Data Cleaning'!K824:K2293)</f>
        <v>0</v>
      </c>
      <c r="D824" t="str">
        <f>_xlfn.XLOOKUP(A824,'Data Cleaning'!A824:A2293, 'Data Cleaning'!D824:D2293)</f>
        <v>Bachelor</v>
      </c>
      <c r="E824" s="3" t="str">
        <f>_xlfn.XLOOKUP(A824,'Data Cleaning'!A824:A2293, 'Data Cleaning'!E824:E2293)</f>
        <v>Single</v>
      </c>
      <c r="F824" t="str">
        <f>_xlfn.XLOOKUP(A824,'Data Cleaning'!A824:A2293, 'Data Cleaning'!F824:F2293)</f>
        <v>None</v>
      </c>
      <c r="G824" s="3" t="str">
        <f>_xlfn.XLOOKUP(A824,'Data Cleaning'!A824:A2293, 'Data Cleaning'!J824:J2293)</f>
        <v>Promoted in 1-3 years</v>
      </c>
    </row>
    <row r="825" spans="1:7" x14ac:dyDescent="0.25">
      <c r="A825" s="3">
        <v>26</v>
      </c>
      <c r="B825" s="3" t="str">
        <f>_xlfn.XLOOKUP(A825,'Data Cleaning'!A825:A2294, 'Data Cleaning'!I825:I2294)</f>
        <v>18-24</v>
      </c>
      <c r="C825">
        <f>_xlfn.XLOOKUP(A825,'Data Cleaning'!A825:A2294,'Data Cleaning'!K825:K2294)</f>
        <v>0</v>
      </c>
      <c r="D825" t="str">
        <f>_xlfn.XLOOKUP(A825,'Data Cleaning'!A825:A2294, 'Data Cleaning'!D825:D2294)</f>
        <v>College</v>
      </c>
      <c r="E825" s="3" t="str">
        <f>_xlfn.XLOOKUP(A825,'Data Cleaning'!A825:A2294, 'Data Cleaning'!E825:E2294)</f>
        <v>Divorced</v>
      </c>
      <c r="F825" t="str">
        <f>_xlfn.XLOOKUP(A825,'Data Cleaning'!A825:A2294, 'Data Cleaning'!F825:F2294)</f>
        <v>Low</v>
      </c>
      <c r="G825" s="3" t="str">
        <f>_xlfn.XLOOKUP(A825,'Data Cleaning'!A825:A2294, 'Data Cleaning'!J825:J2294)</f>
        <v>Promoted in 1-3 years</v>
      </c>
    </row>
    <row r="826" spans="1:7" x14ac:dyDescent="0.25">
      <c r="A826" s="3">
        <v>1507</v>
      </c>
      <c r="B826" s="3" t="str">
        <f>_xlfn.XLOOKUP(A826,'Data Cleaning'!A826:A2295, 'Data Cleaning'!I826:I2295)</f>
        <v>25-34</v>
      </c>
      <c r="C826">
        <f>_xlfn.XLOOKUP(A826,'Data Cleaning'!A826:A2295,'Data Cleaning'!K826:K2295)</f>
        <v>0</v>
      </c>
      <c r="D826" t="str">
        <f>_xlfn.XLOOKUP(A826,'Data Cleaning'!A826:A2295, 'Data Cleaning'!D826:D2295)</f>
        <v>Bachelor</v>
      </c>
      <c r="E826" s="3" t="str">
        <f>_xlfn.XLOOKUP(A826,'Data Cleaning'!A826:A2295, 'Data Cleaning'!E826:E2295)</f>
        <v>Single</v>
      </c>
      <c r="F826" t="str">
        <f>_xlfn.XLOOKUP(A826,'Data Cleaning'!A826:A2295, 'Data Cleaning'!F826:F2295)</f>
        <v>None</v>
      </c>
      <c r="G826" s="3" t="str">
        <f>_xlfn.XLOOKUP(A826,'Data Cleaning'!A826:A2295, 'Data Cleaning'!J826:J2295)</f>
        <v>Promoted in 1-3 years</v>
      </c>
    </row>
    <row r="827" spans="1:7" x14ac:dyDescent="0.25">
      <c r="A827" s="3">
        <v>1605</v>
      </c>
      <c r="B827" s="3" t="str">
        <f>_xlfn.XLOOKUP(A827,'Data Cleaning'!A827:A2296, 'Data Cleaning'!I827:I2296)</f>
        <v>18-24</v>
      </c>
      <c r="C827">
        <f>_xlfn.XLOOKUP(A827,'Data Cleaning'!A827:A2296,'Data Cleaning'!K827:K2296)</f>
        <v>0</v>
      </c>
      <c r="D827" t="str">
        <f>_xlfn.XLOOKUP(A827,'Data Cleaning'!A827:A2296, 'Data Cleaning'!D827:D2296)</f>
        <v>College</v>
      </c>
      <c r="E827" s="3" t="str">
        <f>_xlfn.XLOOKUP(A827,'Data Cleaning'!A827:A2296, 'Data Cleaning'!E827:E2296)</f>
        <v>Married</v>
      </c>
      <c r="F827" t="str">
        <f>_xlfn.XLOOKUP(A827,'Data Cleaning'!A827:A2296, 'Data Cleaning'!F827:F2296)</f>
        <v>None</v>
      </c>
      <c r="G827" s="3" t="str">
        <f>_xlfn.XLOOKUP(A827,'Data Cleaning'!A827:A2296, 'Data Cleaning'!J827:J2296)</f>
        <v>Promoted in 1-3 years</v>
      </c>
    </row>
    <row r="828" spans="1:7" x14ac:dyDescent="0.25">
      <c r="A828" s="3">
        <v>91</v>
      </c>
      <c r="B828" s="3" t="str">
        <f>_xlfn.XLOOKUP(A828,'Data Cleaning'!A828:A2297, 'Data Cleaning'!I828:I2297)</f>
        <v>55-60</v>
      </c>
      <c r="C828">
        <f>_xlfn.XLOOKUP(A828,'Data Cleaning'!A828:A2297,'Data Cleaning'!K828:K2297)</f>
        <v>0</v>
      </c>
      <c r="D828" t="str">
        <f>_xlfn.XLOOKUP(A828,'Data Cleaning'!A828:A2297, 'Data Cleaning'!D828:D2297)</f>
        <v>Below College</v>
      </c>
      <c r="E828" s="3" t="str">
        <f>_xlfn.XLOOKUP(A828,'Data Cleaning'!A828:A2297, 'Data Cleaning'!E828:E2297)</f>
        <v>Single</v>
      </c>
      <c r="F828" t="str">
        <f>_xlfn.XLOOKUP(A828,'Data Cleaning'!A828:A2297, 'Data Cleaning'!F828:F2297)</f>
        <v>None</v>
      </c>
      <c r="G828" s="3" t="str">
        <f>_xlfn.XLOOKUP(A828,'Data Cleaning'!A828:A2297, 'Data Cleaning'!J828:J2297)</f>
        <v>Promoted in 1-3 years</v>
      </c>
    </row>
    <row r="829" spans="1:7" x14ac:dyDescent="0.25">
      <c r="A829" s="3">
        <v>403</v>
      </c>
      <c r="B829" s="3" t="str">
        <f>_xlfn.XLOOKUP(A829,'Data Cleaning'!A829:A2298, 'Data Cleaning'!I829:I2298)</f>
        <v>35-44</v>
      </c>
      <c r="C829">
        <f>_xlfn.XLOOKUP(A829,'Data Cleaning'!A829:A2298,'Data Cleaning'!K829:K2298)</f>
        <v>0</v>
      </c>
      <c r="D829" t="str">
        <f>_xlfn.XLOOKUP(A829,'Data Cleaning'!A829:A2298, 'Data Cleaning'!D829:D2298)</f>
        <v>Bachelor</v>
      </c>
      <c r="E829" s="3" t="str">
        <f>_xlfn.XLOOKUP(A829,'Data Cleaning'!A829:A2298, 'Data Cleaning'!E829:E2298)</f>
        <v>Married</v>
      </c>
      <c r="F829" t="str">
        <f>_xlfn.XLOOKUP(A829,'Data Cleaning'!A829:A2298, 'Data Cleaning'!F829:F2298)</f>
        <v>High</v>
      </c>
      <c r="G829" s="3" t="str">
        <f>_xlfn.XLOOKUP(A829,'Data Cleaning'!A829:A2298, 'Data Cleaning'!J829:J2298)</f>
        <v>Promoted in 1-3 years</v>
      </c>
    </row>
    <row r="830" spans="1:7" x14ac:dyDescent="0.25">
      <c r="A830" s="3">
        <v>1431</v>
      </c>
      <c r="B830" s="3" t="str">
        <f>_xlfn.XLOOKUP(A830,'Data Cleaning'!A830:A2299, 'Data Cleaning'!I830:I2299)</f>
        <v>25-34</v>
      </c>
      <c r="C830">
        <f>_xlfn.XLOOKUP(A830,'Data Cleaning'!A830:A2299,'Data Cleaning'!K830:K2299)</f>
        <v>0</v>
      </c>
      <c r="D830" t="str">
        <f>_xlfn.XLOOKUP(A830,'Data Cleaning'!A830:A2299, 'Data Cleaning'!D830:D2299)</f>
        <v>Master</v>
      </c>
      <c r="E830" s="3" t="str">
        <f>_xlfn.XLOOKUP(A830,'Data Cleaning'!A830:A2299, 'Data Cleaning'!E830:E2299)</f>
        <v>Divorced</v>
      </c>
      <c r="F830" t="str">
        <f>_xlfn.XLOOKUP(A830,'Data Cleaning'!A830:A2299, 'Data Cleaning'!F830:F2299)</f>
        <v>Mid</v>
      </c>
      <c r="G830" s="3" t="str">
        <f>_xlfn.XLOOKUP(A830,'Data Cleaning'!A830:A2299, 'Data Cleaning'!J830:J2299)</f>
        <v>Promoted in 1-3 years</v>
      </c>
    </row>
    <row r="831" spans="1:7" x14ac:dyDescent="0.25">
      <c r="A831" s="3">
        <v>216</v>
      </c>
      <c r="B831" s="3" t="str">
        <f>_xlfn.XLOOKUP(A831,'Data Cleaning'!A831:A2300, 'Data Cleaning'!I831:I2300)</f>
        <v>25-34</v>
      </c>
      <c r="C831">
        <f>_xlfn.XLOOKUP(A831,'Data Cleaning'!A831:A2300,'Data Cleaning'!K831:K2300)</f>
        <v>0</v>
      </c>
      <c r="D831" t="str">
        <f>_xlfn.XLOOKUP(A831,'Data Cleaning'!A831:A2300, 'Data Cleaning'!D831:D2300)</f>
        <v>Master</v>
      </c>
      <c r="E831" s="3" t="str">
        <f>_xlfn.XLOOKUP(A831,'Data Cleaning'!A831:A2300, 'Data Cleaning'!E831:E2300)</f>
        <v>Married</v>
      </c>
      <c r="F831" t="str">
        <f>_xlfn.XLOOKUP(A831,'Data Cleaning'!A831:A2300, 'Data Cleaning'!F831:F2300)</f>
        <v>Low</v>
      </c>
      <c r="G831" s="3" t="str">
        <f>_xlfn.XLOOKUP(A831,'Data Cleaning'!A831:A2300, 'Data Cleaning'!J831:J2300)</f>
        <v>Promoted in 1-3 years</v>
      </c>
    </row>
    <row r="832" spans="1:7" x14ac:dyDescent="0.25">
      <c r="A832" s="3">
        <v>791</v>
      </c>
      <c r="B832" s="3" t="str">
        <f>_xlfn.XLOOKUP(A832,'Data Cleaning'!A832:A2301, 'Data Cleaning'!I832:I2301)</f>
        <v>45-54</v>
      </c>
      <c r="C832">
        <f>_xlfn.XLOOKUP(A832,'Data Cleaning'!A832:A2301,'Data Cleaning'!K832:K2301)</f>
        <v>0</v>
      </c>
      <c r="D832" t="str">
        <f>_xlfn.XLOOKUP(A832,'Data Cleaning'!A832:A2301, 'Data Cleaning'!D832:D2301)</f>
        <v>Master</v>
      </c>
      <c r="E832" s="3" t="str">
        <f>_xlfn.XLOOKUP(A832,'Data Cleaning'!A832:A2301, 'Data Cleaning'!E832:E2301)</f>
        <v>Married</v>
      </c>
      <c r="F832" t="str">
        <f>_xlfn.XLOOKUP(A832,'Data Cleaning'!A832:A2301, 'Data Cleaning'!F832:F2301)</f>
        <v>Low</v>
      </c>
      <c r="G832" s="3" t="str">
        <f>_xlfn.XLOOKUP(A832,'Data Cleaning'!A832:A2301, 'Data Cleaning'!J832:J2301)</f>
        <v>Promoted in 1-3 years</v>
      </c>
    </row>
    <row r="833" spans="1:7" x14ac:dyDescent="0.25">
      <c r="A833" s="3">
        <v>837</v>
      </c>
      <c r="B833" s="3" t="str">
        <f>_xlfn.XLOOKUP(A833,'Data Cleaning'!A833:A2302, 'Data Cleaning'!I833:I2302)</f>
        <v>35-44</v>
      </c>
      <c r="C833">
        <f>_xlfn.XLOOKUP(A833,'Data Cleaning'!A833:A2302,'Data Cleaning'!K833:K2302)</f>
        <v>0</v>
      </c>
      <c r="D833" t="str">
        <f>_xlfn.XLOOKUP(A833,'Data Cleaning'!A833:A2302, 'Data Cleaning'!D833:D2302)</f>
        <v>Bachelor</v>
      </c>
      <c r="E833" s="3" t="str">
        <f>_xlfn.XLOOKUP(A833,'Data Cleaning'!A833:A2302, 'Data Cleaning'!E833:E2302)</f>
        <v>Divorced</v>
      </c>
      <c r="F833" t="str">
        <f>_xlfn.XLOOKUP(A833,'Data Cleaning'!A833:A2302, 'Data Cleaning'!F833:F2302)</f>
        <v>Low</v>
      </c>
      <c r="G833" s="3" t="str">
        <f>_xlfn.XLOOKUP(A833,'Data Cleaning'!A833:A2302, 'Data Cleaning'!J833:J2302)</f>
        <v>Promoted in 1-3 years</v>
      </c>
    </row>
    <row r="834" spans="1:7" x14ac:dyDescent="0.25">
      <c r="A834" s="3">
        <v>1813</v>
      </c>
      <c r="B834" s="3" t="str">
        <f>_xlfn.XLOOKUP(A834,'Data Cleaning'!A834:A2303, 'Data Cleaning'!I834:I2303)</f>
        <v>35-44</v>
      </c>
      <c r="C834">
        <f>_xlfn.XLOOKUP(A834,'Data Cleaning'!A834:A2303,'Data Cleaning'!K834:K2303)</f>
        <v>0</v>
      </c>
      <c r="D834" t="str">
        <f>_xlfn.XLOOKUP(A834,'Data Cleaning'!A834:A2303, 'Data Cleaning'!D834:D2303)</f>
        <v>Bachelor</v>
      </c>
      <c r="E834" s="3" t="str">
        <f>_xlfn.XLOOKUP(A834,'Data Cleaning'!A834:A2303, 'Data Cleaning'!E834:E2303)</f>
        <v>Single</v>
      </c>
      <c r="F834" t="str">
        <f>_xlfn.XLOOKUP(A834,'Data Cleaning'!A834:A2303, 'Data Cleaning'!F834:F2303)</f>
        <v>None</v>
      </c>
      <c r="G834" s="3" t="str">
        <f>_xlfn.XLOOKUP(A834,'Data Cleaning'!A834:A2303, 'Data Cleaning'!J834:J2303)</f>
        <v>Promoted in 1-3 years</v>
      </c>
    </row>
    <row r="835" spans="1:7" x14ac:dyDescent="0.25">
      <c r="A835" s="3">
        <v>171</v>
      </c>
      <c r="B835" s="3" t="str">
        <f>_xlfn.XLOOKUP(A835,'Data Cleaning'!A835:A2304, 'Data Cleaning'!I835:I2304)</f>
        <v>35-44</v>
      </c>
      <c r="C835">
        <f>_xlfn.XLOOKUP(A835,'Data Cleaning'!A835:A2304,'Data Cleaning'!K835:K2304)</f>
        <v>0</v>
      </c>
      <c r="D835" t="str">
        <f>_xlfn.XLOOKUP(A835,'Data Cleaning'!A835:A2304, 'Data Cleaning'!D835:D2304)</f>
        <v>Bachelor</v>
      </c>
      <c r="E835" s="3" t="str">
        <f>_xlfn.XLOOKUP(A835,'Data Cleaning'!A835:A2304, 'Data Cleaning'!E835:E2304)</f>
        <v>Single</v>
      </c>
      <c r="F835" t="str">
        <f>_xlfn.XLOOKUP(A835,'Data Cleaning'!A835:A2304, 'Data Cleaning'!F835:F2304)</f>
        <v>None</v>
      </c>
      <c r="G835" s="3" t="str">
        <f>_xlfn.XLOOKUP(A835,'Data Cleaning'!A835:A2304, 'Data Cleaning'!J835:J2304)</f>
        <v>Promoted in 1-3 years</v>
      </c>
    </row>
    <row r="836" spans="1:7" x14ac:dyDescent="0.25">
      <c r="A836" s="3">
        <v>1096</v>
      </c>
      <c r="B836" s="3" t="str">
        <f>_xlfn.XLOOKUP(A836,'Data Cleaning'!A836:A2305, 'Data Cleaning'!I836:I2305)</f>
        <v>55-60</v>
      </c>
      <c r="C836">
        <f>_xlfn.XLOOKUP(A836,'Data Cleaning'!A836:A2305,'Data Cleaning'!K836:K2305)</f>
        <v>0</v>
      </c>
      <c r="D836" t="str">
        <f>_xlfn.XLOOKUP(A836,'Data Cleaning'!A836:A2305, 'Data Cleaning'!D836:D2305)</f>
        <v>Below College</v>
      </c>
      <c r="E836" s="3" t="str">
        <f>_xlfn.XLOOKUP(A836,'Data Cleaning'!A836:A2305, 'Data Cleaning'!E836:E2305)</f>
        <v>Married</v>
      </c>
      <c r="F836" t="str">
        <f>_xlfn.XLOOKUP(A836,'Data Cleaning'!A836:A2305, 'Data Cleaning'!F836:F2305)</f>
        <v>Low</v>
      </c>
      <c r="G836" s="3" t="str">
        <f>_xlfn.XLOOKUP(A836,'Data Cleaning'!A836:A2305, 'Data Cleaning'!J836:J2305)</f>
        <v>Promoted in 1-3 years</v>
      </c>
    </row>
    <row r="837" spans="1:7" x14ac:dyDescent="0.25">
      <c r="A837" s="3">
        <v>396</v>
      </c>
      <c r="B837" s="3" t="str">
        <f>_xlfn.XLOOKUP(A837,'Data Cleaning'!A837:A2306, 'Data Cleaning'!I837:I2306)</f>
        <v>45-54</v>
      </c>
      <c r="C837">
        <f>_xlfn.XLOOKUP(A837,'Data Cleaning'!A837:A2306,'Data Cleaning'!K837:K2306)</f>
        <v>0</v>
      </c>
      <c r="D837" t="str">
        <f>_xlfn.XLOOKUP(A837,'Data Cleaning'!A837:A2306, 'Data Cleaning'!D837:D2306)</f>
        <v>Master</v>
      </c>
      <c r="E837" s="3" t="str">
        <f>_xlfn.XLOOKUP(A837,'Data Cleaning'!A837:A2306, 'Data Cleaning'!E837:E2306)</f>
        <v>Single</v>
      </c>
      <c r="F837" t="str">
        <f>_xlfn.XLOOKUP(A837,'Data Cleaning'!A837:A2306, 'Data Cleaning'!F837:F2306)</f>
        <v>None</v>
      </c>
      <c r="G837" s="3" t="str">
        <f>_xlfn.XLOOKUP(A837,'Data Cleaning'!A837:A2306, 'Data Cleaning'!J837:J2306)</f>
        <v>Promoted in 1-3 years</v>
      </c>
    </row>
    <row r="838" spans="1:7" x14ac:dyDescent="0.25">
      <c r="A838" s="3">
        <v>523</v>
      </c>
      <c r="B838" s="3" t="str">
        <f>_xlfn.XLOOKUP(A838,'Data Cleaning'!A838:A2307, 'Data Cleaning'!I838:I2307)</f>
        <v>25-34</v>
      </c>
      <c r="C838">
        <f>_xlfn.XLOOKUP(A838,'Data Cleaning'!A838:A2307,'Data Cleaning'!K838:K2307)</f>
        <v>0</v>
      </c>
      <c r="D838" t="str">
        <f>_xlfn.XLOOKUP(A838,'Data Cleaning'!A838:A2307, 'Data Cleaning'!D838:D2307)</f>
        <v>Master</v>
      </c>
      <c r="E838" s="3" t="str">
        <f>_xlfn.XLOOKUP(A838,'Data Cleaning'!A838:A2307, 'Data Cleaning'!E838:E2307)</f>
        <v>Married</v>
      </c>
      <c r="F838" t="str">
        <f>_xlfn.XLOOKUP(A838,'Data Cleaning'!A838:A2307, 'Data Cleaning'!F838:F2307)</f>
        <v>Low</v>
      </c>
      <c r="G838" s="3" t="str">
        <f>_xlfn.XLOOKUP(A838,'Data Cleaning'!A838:A2307, 'Data Cleaning'!J838:J2307)</f>
        <v>Promoted in 1-3 years</v>
      </c>
    </row>
    <row r="839" spans="1:7" x14ac:dyDescent="0.25">
      <c r="A839" s="3">
        <v>1929</v>
      </c>
      <c r="B839" s="3" t="str">
        <f>_xlfn.XLOOKUP(A839,'Data Cleaning'!A839:A2308, 'Data Cleaning'!I839:I2308)</f>
        <v>35-44</v>
      </c>
      <c r="C839">
        <f>_xlfn.XLOOKUP(A839,'Data Cleaning'!A839:A2308,'Data Cleaning'!K839:K2308)</f>
        <v>0</v>
      </c>
      <c r="D839" t="str">
        <f>_xlfn.XLOOKUP(A839,'Data Cleaning'!A839:A2308, 'Data Cleaning'!D839:D2308)</f>
        <v>Master</v>
      </c>
      <c r="E839" s="3" t="str">
        <f>_xlfn.XLOOKUP(A839,'Data Cleaning'!A839:A2308, 'Data Cleaning'!E839:E2308)</f>
        <v>Married</v>
      </c>
      <c r="F839" t="str">
        <f>_xlfn.XLOOKUP(A839,'Data Cleaning'!A839:A2308, 'Data Cleaning'!F839:F2308)</f>
        <v>Low</v>
      </c>
      <c r="G839" s="3" t="str">
        <f>_xlfn.XLOOKUP(A839,'Data Cleaning'!A839:A2308, 'Data Cleaning'!J839:J2308)</f>
        <v>Promoted in 1-3 years</v>
      </c>
    </row>
    <row r="840" spans="1:7" x14ac:dyDescent="0.25">
      <c r="A840" s="3">
        <v>1094</v>
      </c>
      <c r="B840" s="3" t="str">
        <f>_xlfn.XLOOKUP(A840,'Data Cleaning'!A840:A2309, 'Data Cleaning'!I840:I2309)</f>
        <v>25-34</v>
      </c>
      <c r="C840">
        <f>_xlfn.XLOOKUP(A840,'Data Cleaning'!A840:A2309,'Data Cleaning'!K840:K2309)</f>
        <v>0</v>
      </c>
      <c r="D840" t="str">
        <f>_xlfn.XLOOKUP(A840,'Data Cleaning'!A840:A2309, 'Data Cleaning'!D840:D2309)</f>
        <v>Doctor</v>
      </c>
      <c r="E840" s="3" t="str">
        <f>_xlfn.XLOOKUP(A840,'Data Cleaning'!A840:A2309, 'Data Cleaning'!E840:E2309)</f>
        <v>Married</v>
      </c>
      <c r="F840" t="str">
        <f>_xlfn.XLOOKUP(A840,'Data Cleaning'!A840:A2309, 'Data Cleaning'!F840:F2309)</f>
        <v>High</v>
      </c>
      <c r="G840" s="3" t="str">
        <f>_xlfn.XLOOKUP(A840,'Data Cleaning'!A840:A2309, 'Data Cleaning'!J840:J2309)</f>
        <v>Promoted in 1-3 years</v>
      </c>
    </row>
    <row r="841" spans="1:7" x14ac:dyDescent="0.25">
      <c r="A841" s="3">
        <v>1662</v>
      </c>
      <c r="B841" s="3" t="str">
        <f>_xlfn.XLOOKUP(A841,'Data Cleaning'!A841:A2310, 'Data Cleaning'!I841:I2310)</f>
        <v>35-44</v>
      </c>
      <c r="C841">
        <f>_xlfn.XLOOKUP(A841,'Data Cleaning'!A841:A2310,'Data Cleaning'!K841:K2310)</f>
        <v>0</v>
      </c>
      <c r="D841" t="str">
        <f>_xlfn.XLOOKUP(A841,'Data Cleaning'!A841:A2310, 'Data Cleaning'!D841:D2310)</f>
        <v>Master</v>
      </c>
      <c r="E841" s="3" t="str">
        <f>_xlfn.XLOOKUP(A841,'Data Cleaning'!A841:A2310, 'Data Cleaning'!E841:E2310)</f>
        <v>Married</v>
      </c>
      <c r="F841" t="str">
        <f>_xlfn.XLOOKUP(A841,'Data Cleaning'!A841:A2310, 'Data Cleaning'!F841:F2310)</f>
        <v>None</v>
      </c>
      <c r="G841" s="3" t="str">
        <f>_xlfn.XLOOKUP(A841,'Data Cleaning'!A841:A2310, 'Data Cleaning'!J841:J2310)</f>
        <v>Promoted in 1-3 years</v>
      </c>
    </row>
    <row r="842" spans="1:7" x14ac:dyDescent="0.25">
      <c r="A842" s="3">
        <v>88</v>
      </c>
      <c r="B842" s="3" t="str">
        <f>_xlfn.XLOOKUP(A842,'Data Cleaning'!A842:A2311, 'Data Cleaning'!I842:I2311)</f>
        <v>35-44</v>
      </c>
      <c r="C842">
        <f>_xlfn.XLOOKUP(A842,'Data Cleaning'!A842:A2311,'Data Cleaning'!K842:K2311)</f>
        <v>0</v>
      </c>
      <c r="D842" t="str">
        <f>_xlfn.XLOOKUP(A842,'Data Cleaning'!A842:A2311, 'Data Cleaning'!D842:D2311)</f>
        <v>Bachelor</v>
      </c>
      <c r="E842" s="3" t="str">
        <f>_xlfn.XLOOKUP(A842,'Data Cleaning'!A842:A2311, 'Data Cleaning'!E842:E2311)</f>
        <v>Married</v>
      </c>
      <c r="F842" t="str">
        <f>_xlfn.XLOOKUP(A842,'Data Cleaning'!A842:A2311, 'Data Cleaning'!F842:F2311)</f>
        <v>Low</v>
      </c>
      <c r="G842" s="3" t="str">
        <f>_xlfn.XLOOKUP(A842,'Data Cleaning'!A842:A2311, 'Data Cleaning'!J842:J2311)</f>
        <v>Promoted in 1-3 years</v>
      </c>
    </row>
    <row r="843" spans="1:7" x14ac:dyDescent="0.25">
      <c r="A843" s="3">
        <v>132</v>
      </c>
      <c r="B843" s="3" t="str">
        <f>_xlfn.XLOOKUP(A843,'Data Cleaning'!A843:A2312, 'Data Cleaning'!I843:I2312)</f>
        <v>35-44</v>
      </c>
      <c r="C843">
        <f>_xlfn.XLOOKUP(A843,'Data Cleaning'!A843:A2312,'Data Cleaning'!K843:K2312)</f>
        <v>0</v>
      </c>
      <c r="D843" t="str">
        <f>_xlfn.XLOOKUP(A843,'Data Cleaning'!A843:A2312, 'Data Cleaning'!D843:D2312)</f>
        <v>Bachelor</v>
      </c>
      <c r="E843" s="3" t="str">
        <f>_xlfn.XLOOKUP(A843,'Data Cleaning'!A843:A2312, 'Data Cleaning'!E843:E2312)</f>
        <v>Married</v>
      </c>
      <c r="F843" t="str">
        <f>_xlfn.XLOOKUP(A843,'Data Cleaning'!A843:A2312, 'Data Cleaning'!F843:F2312)</f>
        <v>Low</v>
      </c>
      <c r="G843" s="3" t="str">
        <f>_xlfn.XLOOKUP(A843,'Data Cleaning'!A843:A2312, 'Data Cleaning'!J843:J2312)</f>
        <v>Promoted in 1-3 years</v>
      </c>
    </row>
    <row r="844" spans="1:7" x14ac:dyDescent="0.25">
      <c r="A844" s="3">
        <v>1722</v>
      </c>
      <c r="B844" s="3" t="str">
        <f>_xlfn.XLOOKUP(A844,'Data Cleaning'!A844:A2313, 'Data Cleaning'!I844:I2313)</f>
        <v>35-44</v>
      </c>
      <c r="C844">
        <f>_xlfn.XLOOKUP(A844,'Data Cleaning'!A844:A2313,'Data Cleaning'!K844:K2313)</f>
        <v>0</v>
      </c>
      <c r="D844" t="str">
        <f>_xlfn.XLOOKUP(A844,'Data Cleaning'!A844:A2313, 'Data Cleaning'!D844:D2313)</f>
        <v>Bachelor</v>
      </c>
      <c r="E844" s="3" t="str">
        <f>_xlfn.XLOOKUP(A844,'Data Cleaning'!A844:A2313, 'Data Cleaning'!E844:E2313)</f>
        <v>Married</v>
      </c>
      <c r="F844" t="str">
        <f>_xlfn.XLOOKUP(A844,'Data Cleaning'!A844:A2313, 'Data Cleaning'!F844:F2313)</f>
        <v>Low</v>
      </c>
      <c r="G844" s="3" t="str">
        <f>_xlfn.XLOOKUP(A844,'Data Cleaning'!A844:A2313, 'Data Cleaning'!J844:J2313)</f>
        <v>Promoted in 1-3 years</v>
      </c>
    </row>
    <row r="845" spans="1:7" x14ac:dyDescent="0.25">
      <c r="A845" s="3">
        <v>1185</v>
      </c>
      <c r="B845" s="3" t="str">
        <f>_xlfn.XLOOKUP(A845,'Data Cleaning'!A845:A2314, 'Data Cleaning'!I845:I2314)</f>
        <v>35-44</v>
      </c>
      <c r="C845">
        <f>_xlfn.XLOOKUP(A845,'Data Cleaning'!A845:A2314,'Data Cleaning'!K845:K2314)</f>
        <v>0</v>
      </c>
      <c r="D845" t="str">
        <f>_xlfn.XLOOKUP(A845,'Data Cleaning'!A845:A2314, 'Data Cleaning'!D845:D2314)</f>
        <v>Master</v>
      </c>
      <c r="E845" s="3" t="str">
        <f>_xlfn.XLOOKUP(A845,'Data Cleaning'!A845:A2314, 'Data Cleaning'!E845:E2314)</f>
        <v>Married</v>
      </c>
      <c r="F845" t="str">
        <f>_xlfn.XLOOKUP(A845,'Data Cleaning'!A845:A2314, 'Data Cleaning'!F845:F2314)</f>
        <v>Low</v>
      </c>
      <c r="G845" s="3" t="str">
        <f>_xlfn.XLOOKUP(A845,'Data Cleaning'!A845:A2314, 'Data Cleaning'!J845:J2314)</f>
        <v>Promoted in 1-3 years</v>
      </c>
    </row>
    <row r="846" spans="1:7" x14ac:dyDescent="0.25">
      <c r="A846" s="3">
        <v>1044</v>
      </c>
      <c r="B846" s="3" t="str">
        <f>_xlfn.XLOOKUP(A846,'Data Cleaning'!A846:A2315, 'Data Cleaning'!I846:I2315)</f>
        <v>25-34</v>
      </c>
      <c r="C846">
        <f>_xlfn.XLOOKUP(A846,'Data Cleaning'!A846:A2315,'Data Cleaning'!K846:K2315)</f>
        <v>0</v>
      </c>
      <c r="D846" t="str">
        <f>_xlfn.XLOOKUP(A846,'Data Cleaning'!A846:A2315, 'Data Cleaning'!D846:D2315)</f>
        <v>Below College</v>
      </c>
      <c r="E846" s="3" t="str">
        <f>_xlfn.XLOOKUP(A846,'Data Cleaning'!A846:A2315, 'Data Cleaning'!E846:E2315)</f>
        <v>Single</v>
      </c>
      <c r="F846" t="str">
        <f>_xlfn.XLOOKUP(A846,'Data Cleaning'!A846:A2315, 'Data Cleaning'!F846:F2315)</f>
        <v>None</v>
      </c>
      <c r="G846" s="3" t="str">
        <f>_xlfn.XLOOKUP(A846,'Data Cleaning'!A846:A2315, 'Data Cleaning'!J846:J2315)</f>
        <v>Promoted in 1-3 years</v>
      </c>
    </row>
    <row r="847" spans="1:7" x14ac:dyDescent="0.25">
      <c r="A847" s="3">
        <v>1296</v>
      </c>
      <c r="B847" s="3" t="str">
        <f>_xlfn.XLOOKUP(A847,'Data Cleaning'!A847:A2316, 'Data Cleaning'!I847:I2316)</f>
        <v>25-34</v>
      </c>
      <c r="C847">
        <f>_xlfn.XLOOKUP(A847,'Data Cleaning'!A847:A2316,'Data Cleaning'!K847:K2316)</f>
        <v>0</v>
      </c>
      <c r="D847" t="str">
        <f>_xlfn.XLOOKUP(A847,'Data Cleaning'!A847:A2316, 'Data Cleaning'!D847:D2316)</f>
        <v>Bachelor</v>
      </c>
      <c r="E847" s="3" t="str">
        <f>_xlfn.XLOOKUP(A847,'Data Cleaning'!A847:A2316, 'Data Cleaning'!E847:E2316)</f>
        <v>Married</v>
      </c>
      <c r="F847" t="str">
        <f>_xlfn.XLOOKUP(A847,'Data Cleaning'!A847:A2316, 'Data Cleaning'!F847:F2316)</f>
        <v>Low</v>
      </c>
      <c r="G847" s="3" t="str">
        <f>_xlfn.XLOOKUP(A847,'Data Cleaning'!A847:A2316, 'Data Cleaning'!J847:J2316)</f>
        <v>Promoted in 1-3 years</v>
      </c>
    </row>
    <row r="848" spans="1:7" x14ac:dyDescent="0.25">
      <c r="A848" s="3">
        <v>591</v>
      </c>
      <c r="B848" s="3" t="str">
        <f>_xlfn.XLOOKUP(A848,'Data Cleaning'!A848:A2317, 'Data Cleaning'!I848:I2317)</f>
        <v>35-44</v>
      </c>
      <c r="C848">
        <f>_xlfn.XLOOKUP(A848,'Data Cleaning'!A848:A2317,'Data Cleaning'!K848:K2317)</f>
        <v>0</v>
      </c>
      <c r="D848" t="str">
        <f>_xlfn.XLOOKUP(A848,'Data Cleaning'!A848:A2317, 'Data Cleaning'!D848:D2317)</f>
        <v>College</v>
      </c>
      <c r="E848" s="3" t="str">
        <f>_xlfn.XLOOKUP(A848,'Data Cleaning'!A848:A2317, 'Data Cleaning'!E848:E2317)</f>
        <v>Married</v>
      </c>
      <c r="F848" t="str">
        <f>_xlfn.XLOOKUP(A848,'Data Cleaning'!A848:A2317, 'Data Cleaning'!F848:F2317)</f>
        <v>Low</v>
      </c>
      <c r="G848" s="3" t="str">
        <f>_xlfn.XLOOKUP(A848,'Data Cleaning'!A848:A2317, 'Data Cleaning'!J848:J2317)</f>
        <v>Promoted in 1-3 years</v>
      </c>
    </row>
    <row r="849" spans="1:7" x14ac:dyDescent="0.25">
      <c r="A849" s="3">
        <v>875</v>
      </c>
      <c r="B849" s="3" t="str">
        <f>_xlfn.XLOOKUP(A849,'Data Cleaning'!A849:A2318, 'Data Cleaning'!I849:I2318)</f>
        <v>35-44</v>
      </c>
      <c r="C849">
        <f>_xlfn.XLOOKUP(A849,'Data Cleaning'!A849:A2318,'Data Cleaning'!K849:K2318)</f>
        <v>0</v>
      </c>
      <c r="D849" t="str">
        <f>_xlfn.XLOOKUP(A849,'Data Cleaning'!A849:A2318, 'Data Cleaning'!D849:D2318)</f>
        <v>Below College</v>
      </c>
      <c r="E849" s="3" t="str">
        <f>_xlfn.XLOOKUP(A849,'Data Cleaning'!A849:A2318, 'Data Cleaning'!E849:E2318)</f>
        <v>Single</v>
      </c>
      <c r="F849" t="str">
        <f>_xlfn.XLOOKUP(A849,'Data Cleaning'!A849:A2318, 'Data Cleaning'!F849:F2318)</f>
        <v>None</v>
      </c>
      <c r="G849" s="3" t="str">
        <f>_xlfn.XLOOKUP(A849,'Data Cleaning'!A849:A2318, 'Data Cleaning'!J849:J2318)</f>
        <v>Promoted in 1-3 years</v>
      </c>
    </row>
    <row r="850" spans="1:7" x14ac:dyDescent="0.25">
      <c r="A850" s="3">
        <v>337</v>
      </c>
      <c r="B850" s="3" t="str">
        <f>_xlfn.XLOOKUP(A850,'Data Cleaning'!A850:A2319, 'Data Cleaning'!I850:I2319)</f>
        <v>25-34</v>
      </c>
      <c r="C850">
        <f>_xlfn.XLOOKUP(A850,'Data Cleaning'!A850:A2319,'Data Cleaning'!K850:K2319)</f>
        <v>0</v>
      </c>
      <c r="D850" t="str">
        <f>_xlfn.XLOOKUP(A850,'Data Cleaning'!A850:A2319, 'Data Cleaning'!D850:D2319)</f>
        <v>Master</v>
      </c>
      <c r="E850" s="3" t="str">
        <f>_xlfn.XLOOKUP(A850,'Data Cleaning'!A850:A2319, 'Data Cleaning'!E850:E2319)</f>
        <v>Divorced</v>
      </c>
      <c r="F850" t="str">
        <f>_xlfn.XLOOKUP(A850,'Data Cleaning'!A850:A2319, 'Data Cleaning'!F850:F2319)</f>
        <v>Low</v>
      </c>
      <c r="G850" s="3" t="str">
        <f>_xlfn.XLOOKUP(A850,'Data Cleaning'!A850:A2319, 'Data Cleaning'!J850:J2319)</f>
        <v>Promoted in 1-3 years</v>
      </c>
    </row>
    <row r="851" spans="1:7" x14ac:dyDescent="0.25">
      <c r="A851" s="3">
        <v>624</v>
      </c>
      <c r="B851" s="3" t="str">
        <f>_xlfn.XLOOKUP(A851,'Data Cleaning'!A851:A2320, 'Data Cleaning'!I851:I2320)</f>
        <v>45-54</v>
      </c>
      <c r="C851">
        <f>_xlfn.XLOOKUP(A851,'Data Cleaning'!A851:A2320,'Data Cleaning'!K851:K2320)</f>
        <v>0</v>
      </c>
      <c r="D851" t="str">
        <f>_xlfn.XLOOKUP(A851,'Data Cleaning'!A851:A2320, 'Data Cleaning'!D851:D2320)</f>
        <v>Below College</v>
      </c>
      <c r="E851" s="3" t="str">
        <f>_xlfn.XLOOKUP(A851,'Data Cleaning'!A851:A2320, 'Data Cleaning'!E851:E2320)</f>
        <v>Married</v>
      </c>
      <c r="F851" t="str">
        <f>_xlfn.XLOOKUP(A851,'Data Cleaning'!A851:A2320, 'Data Cleaning'!F851:F2320)</f>
        <v>None</v>
      </c>
      <c r="G851" s="3" t="str">
        <f>_xlfn.XLOOKUP(A851,'Data Cleaning'!A851:A2320, 'Data Cleaning'!J851:J2320)</f>
        <v>Promoted in 1-3 years</v>
      </c>
    </row>
    <row r="852" spans="1:7" x14ac:dyDescent="0.25">
      <c r="A852" s="3">
        <v>131</v>
      </c>
      <c r="B852" s="3" t="str">
        <f>_xlfn.XLOOKUP(A852,'Data Cleaning'!A852:A2321, 'Data Cleaning'!I852:I2321)</f>
        <v>55-60</v>
      </c>
      <c r="C852">
        <f>_xlfn.XLOOKUP(A852,'Data Cleaning'!A852:A2321,'Data Cleaning'!K852:K2321)</f>
        <v>0</v>
      </c>
      <c r="D852" t="str">
        <f>_xlfn.XLOOKUP(A852,'Data Cleaning'!A852:A2321, 'Data Cleaning'!D852:D2321)</f>
        <v>Master</v>
      </c>
      <c r="E852" s="3" t="str">
        <f>_xlfn.XLOOKUP(A852,'Data Cleaning'!A852:A2321, 'Data Cleaning'!E852:E2321)</f>
        <v>Single</v>
      </c>
      <c r="F852" t="str">
        <f>_xlfn.XLOOKUP(A852,'Data Cleaning'!A852:A2321, 'Data Cleaning'!F852:F2321)</f>
        <v>None</v>
      </c>
      <c r="G852" s="3" t="str">
        <f>_xlfn.XLOOKUP(A852,'Data Cleaning'!A852:A2321, 'Data Cleaning'!J852:J2321)</f>
        <v>Promoted in 1-3 years</v>
      </c>
    </row>
    <row r="853" spans="1:7" x14ac:dyDescent="0.25">
      <c r="A853" s="3">
        <v>558</v>
      </c>
      <c r="B853" s="3" t="str">
        <f>_xlfn.XLOOKUP(A853,'Data Cleaning'!A853:A2322, 'Data Cleaning'!I853:I2322)</f>
        <v>35-44</v>
      </c>
      <c r="C853">
        <f>_xlfn.XLOOKUP(A853,'Data Cleaning'!A853:A2322,'Data Cleaning'!K853:K2322)</f>
        <v>0</v>
      </c>
      <c r="D853" t="str">
        <f>_xlfn.XLOOKUP(A853,'Data Cleaning'!A853:A2322, 'Data Cleaning'!D853:D2322)</f>
        <v>Master</v>
      </c>
      <c r="E853" s="3" t="str">
        <f>_xlfn.XLOOKUP(A853,'Data Cleaning'!A853:A2322, 'Data Cleaning'!E853:E2322)</f>
        <v>Married</v>
      </c>
      <c r="F853" t="str">
        <f>_xlfn.XLOOKUP(A853,'Data Cleaning'!A853:A2322, 'Data Cleaning'!F853:F2322)</f>
        <v>None</v>
      </c>
      <c r="G853" s="3" t="str">
        <f>_xlfn.XLOOKUP(A853,'Data Cleaning'!A853:A2322, 'Data Cleaning'!J853:J2322)</f>
        <v>Promoted in 1-3 years</v>
      </c>
    </row>
    <row r="854" spans="1:7" x14ac:dyDescent="0.25">
      <c r="A854" s="3">
        <v>1179</v>
      </c>
      <c r="B854" s="3" t="str">
        <f>_xlfn.XLOOKUP(A854,'Data Cleaning'!A854:A2323, 'Data Cleaning'!I854:I2323)</f>
        <v>25-34</v>
      </c>
      <c r="C854">
        <f>_xlfn.XLOOKUP(A854,'Data Cleaning'!A854:A2323,'Data Cleaning'!K854:K2323)</f>
        <v>0</v>
      </c>
      <c r="D854" t="str">
        <f>_xlfn.XLOOKUP(A854,'Data Cleaning'!A854:A2323, 'Data Cleaning'!D854:D2323)</f>
        <v>Bachelor</v>
      </c>
      <c r="E854" s="3" t="str">
        <f>_xlfn.XLOOKUP(A854,'Data Cleaning'!A854:A2323, 'Data Cleaning'!E854:E2323)</f>
        <v>Married</v>
      </c>
      <c r="F854" t="str">
        <f>_xlfn.XLOOKUP(A854,'Data Cleaning'!A854:A2323, 'Data Cleaning'!F854:F2323)</f>
        <v>Low</v>
      </c>
      <c r="G854" s="3" t="str">
        <f>_xlfn.XLOOKUP(A854,'Data Cleaning'!A854:A2323, 'Data Cleaning'!J854:J2323)</f>
        <v>Promoted in 1-3 years</v>
      </c>
    </row>
    <row r="855" spans="1:7" x14ac:dyDescent="0.25">
      <c r="A855" s="3">
        <v>456</v>
      </c>
      <c r="B855" s="3" t="str">
        <f>_xlfn.XLOOKUP(A855,'Data Cleaning'!A855:A2324, 'Data Cleaning'!I855:I2324)</f>
        <v>25-34</v>
      </c>
      <c r="C855">
        <f>_xlfn.XLOOKUP(A855,'Data Cleaning'!A855:A2324,'Data Cleaning'!K855:K2324)</f>
        <v>0</v>
      </c>
      <c r="D855" t="str">
        <f>_xlfn.XLOOKUP(A855,'Data Cleaning'!A855:A2324, 'Data Cleaning'!D855:D2324)</f>
        <v>Bachelor</v>
      </c>
      <c r="E855" s="3" t="str">
        <f>_xlfn.XLOOKUP(A855,'Data Cleaning'!A855:A2324, 'Data Cleaning'!E855:E2324)</f>
        <v>Divorced</v>
      </c>
      <c r="F855" t="str">
        <f>_xlfn.XLOOKUP(A855,'Data Cleaning'!A855:A2324, 'Data Cleaning'!F855:F2324)</f>
        <v>High</v>
      </c>
      <c r="G855" s="3" t="str">
        <f>_xlfn.XLOOKUP(A855,'Data Cleaning'!A855:A2324, 'Data Cleaning'!J855:J2324)</f>
        <v>Promoted in 1-3 years</v>
      </c>
    </row>
    <row r="856" spans="1:7" x14ac:dyDescent="0.25">
      <c r="A856" s="3">
        <v>1973</v>
      </c>
      <c r="B856" s="3" t="str">
        <f>_xlfn.XLOOKUP(A856,'Data Cleaning'!A856:A2325, 'Data Cleaning'!I856:I2325)</f>
        <v>55-60</v>
      </c>
      <c r="C856">
        <f>_xlfn.XLOOKUP(A856,'Data Cleaning'!A856:A2325,'Data Cleaning'!K856:K2325)</f>
        <v>0</v>
      </c>
      <c r="D856" t="str">
        <f>_xlfn.XLOOKUP(A856,'Data Cleaning'!A856:A2325, 'Data Cleaning'!D856:D2325)</f>
        <v>Master</v>
      </c>
      <c r="E856" s="3" t="str">
        <f>_xlfn.XLOOKUP(A856,'Data Cleaning'!A856:A2325, 'Data Cleaning'!E856:E2325)</f>
        <v>Married</v>
      </c>
      <c r="F856" t="str">
        <f>_xlfn.XLOOKUP(A856,'Data Cleaning'!A856:A2325, 'Data Cleaning'!F856:F2325)</f>
        <v>Low</v>
      </c>
      <c r="G856" s="3" t="str">
        <f>_xlfn.XLOOKUP(A856,'Data Cleaning'!A856:A2325, 'Data Cleaning'!J856:J2325)</f>
        <v>Promoted in 1-3 years</v>
      </c>
    </row>
    <row r="857" spans="1:7" x14ac:dyDescent="0.25">
      <c r="A857" s="3">
        <v>2041</v>
      </c>
      <c r="B857" s="3" t="str">
        <f>_xlfn.XLOOKUP(A857,'Data Cleaning'!A857:A2326, 'Data Cleaning'!I857:I2326)</f>
        <v>35-44</v>
      </c>
      <c r="C857">
        <f>_xlfn.XLOOKUP(A857,'Data Cleaning'!A857:A2326,'Data Cleaning'!K857:K2326)</f>
        <v>0</v>
      </c>
      <c r="D857" t="str">
        <f>_xlfn.XLOOKUP(A857,'Data Cleaning'!A857:A2326, 'Data Cleaning'!D857:D2326)</f>
        <v>College</v>
      </c>
      <c r="E857" s="3" t="str">
        <f>_xlfn.XLOOKUP(A857,'Data Cleaning'!A857:A2326, 'Data Cleaning'!E857:E2326)</f>
        <v>Married</v>
      </c>
      <c r="F857" t="str">
        <f>_xlfn.XLOOKUP(A857,'Data Cleaning'!A857:A2326, 'Data Cleaning'!F857:F2326)</f>
        <v>Low</v>
      </c>
      <c r="G857" s="3" t="str">
        <f>_xlfn.XLOOKUP(A857,'Data Cleaning'!A857:A2326, 'Data Cleaning'!J857:J2326)</f>
        <v>Promoted in 1-3 years</v>
      </c>
    </row>
    <row r="858" spans="1:7" x14ac:dyDescent="0.25">
      <c r="A858" s="3">
        <v>1880</v>
      </c>
      <c r="B858" s="3" t="str">
        <f>_xlfn.XLOOKUP(A858,'Data Cleaning'!A858:A2327, 'Data Cleaning'!I858:I2327)</f>
        <v>35-44</v>
      </c>
      <c r="C858">
        <f>_xlfn.XLOOKUP(A858,'Data Cleaning'!A858:A2327,'Data Cleaning'!K858:K2327)</f>
        <v>0</v>
      </c>
      <c r="D858" t="str">
        <f>_xlfn.XLOOKUP(A858,'Data Cleaning'!A858:A2327, 'Data Cleaning'!D858:D2327)</f>
        <v>Master</v>
      </c>
      <c r="E858" s="3" t="str">
        <f>_xlfn.XLOOKUP(A858,'Data Cleaning'!A858:A2327, 'Data Cleaning'!E858:E2327)</f>
        <v>Married</v>
      </c>
      <c r="F858" t="str">
        <f>_xlfn.XLOOKUP(A858,'Data Cleaning'!A858:A2327, 'Data Cleaning'!F858:F2327)</f>
        <v>Low</v>
      </c>
      <c r="G858" s="3" t="str">
        <f>_xlfn.XLOOKUP(A858,'Data Cleaning'!A858:A2327, 'Data Cleaning'!J858:J2327)</f>
        <v>Promoted in 1-3 years</v>
      </c>
    </row>
    <row r="859" spans="1:7" x14ac:dyDescent="0.25">
      <c r="A859" s="3">
        <v>1045</v>
      </c>
      <c r="B859" s="3" t="str">
        <f>_xlfn.XLOOKUP(A859,'Data Cleaning'!A859:A2328, 'Data Cleaning'!I859:I2328)</f>
        <v>45-54</v>
      </c>
      <c r="C859">
        <f>_xlfn.XLOOKUP(A859,'Data Cleaning'!A859:A2328,'Data Cleaning'!K859:K2328)</f>
        <v>0</v>
      </c>
      <c r="D859" t="str">
        <f>_xlfn.XLOOKUP(A859,'Data Cleaning'!A859:A2328, 'Data Cleaning'!D859:D2328)</f>
        <v>College</v>
      </c>
      <c r="E859" s="3" t="str">
        <f>_xlfn.XLOOKUP(A859,'Data Cleaning'!A859:A2328, 'Data Cleaning'!E859:E2328)</f>
        <v>Married</v>
      </c>
      <c r="F859" t="str">
        <f>_xlfn.XLOOKUP(A859,'Data Cleaning'!A859:A2328, 'Data Cleaning'!F859:F2328)</f>
        <v>Low</v>
      </c>
      <c r="G859" s="3" t="str">
        <f>_xlfn.XLOOKUP(A859,'Data Cleaning'!A859:A2328, 'Data Cleaning'!J859:J2328)</f>
        <v>Promoted in 1-3 years</v>
      </c>
    </row>
    <row r="860" spans="1:7" x14ac:dyDescent="0.25">
      <c r="A860" s="3">
        <v>1778</v>
      </c>
      <c r="B860" s="3" t="str">
        <f>_xlfn.XLOOKUP(A860,'Data Cleaning'!A860:A2329, 'Data Cleaning'!I860:I2329)</f>
        <v>35-44</v>
      </c>
      <c r="C860">
        <f>_xlfn.XLOOKUP(A860,'Data Cleaning'!A860:A2329,'Data Cleaning'!K860:K2329)</f>
        <v>0</v>
      </c>
      <c r="D860" t="str">
        <f>_xlfn.XLOOKUP(A860,'Data Cleaning'!A860:A2329, 'Data Cleaning'!D860:D2329)</f>
        <v>Bachelor</v>
      </c>
      <c r="E860" s="3" t="str">
        <f>_xlfn.XLOOKUP(A860,'Data Cleaning'!A860:A2329, 'Data Cleaning'!E860:E2329)</f>
        <v>Single</v>
      </c>
      <c r="F860" t="str">
        <f>_xlfn.XLOOKUP(A860,'Data Cleaning'!A860:A2329, 'Data Cleaning'!F860:F2329)</f>
        <v>None</v>
      </c>
      <c r="G860" s="3" t="str">
        <f>_xlfn.XLOOKUP(A860,'Data Cleaning'!A860:A2329, 'Data Cleaning'!J860:J2329)</f>
        <v>Promoted in 1-3 years</v>
      </c>
    </row>
    <row r="861" spans="1:7" x14ac:dyDescent="0.25">
      <c r="A861" s="3">
        <v>2040</v>
      </c>
      <c r="B861" s="3" t="str">
        <f>_xlfn.XLOOKUP(A861,'Data Cleaning'!A861:A2330, 'Data Cleaning'!I861:I2330)</f>
        <v>35-44</v>
      </c>
      <c r="C861">
        <f>_xlfn.XLOOKUP(A861,'Data Cleaning'!A861:A2330,'Data Cleaning'!K861:K2330)</f>
        <v>0</v>
      </c>
      <c r="D861" t="str">
        <f>_xlfn.XLOOKUP(A861,'Data Cleaning'!A861:A2330, 'Data Cleaning'!D861:D2330)</f>
        <v>Master</v>
      </c>
      <c r="E861" s="3" t="str">
        <f>_xlfn.XLOOKUP(A861,'Data Cleaning'!A861:A2330, 'Data Cleaning'!E861:E2330)</f>
        <v>Single</v>
      </c>
      <c r="F861" t="str">
        <f>_xlfn.XLOOKUP(A861,'Data Cleaning'!A861:A2330, 'Data Cleaning'!F861:F2330)</f>
        <v>None</v>
      </c>
      <c r="G861" s="3" t="str">
        <f>_xlfn.XLOOKUP(A861,'Data Cleaning'!A861:A2330, 'Data Cleaning'!J861:J2330)</f>
        <v>Promoted in 1-3 years</v>
      </c>
    </row>
    <row r="862" spans="1:7" x14ac:dyDescent="0.25">
      <c r="A862" s="3">
        <v>1951</v>
      </c>
      <c r="B862" s="3" t="str">
        <f>_xlfn.XLOOKUP(A862,'Data Cleaning'!A862:A2331, 'Data Cleaning'!I862:I2331)</f>
        <v>25-34</v>
      </c>
      <c r="C862">
        <f>_xlfn.XLOOKUP(A862,'Data Cleaning'!A862:A2331,'Data Cleaning'!K862:K2331)</f>
        <v>0</v>
      </c>
      <c r="D862" t="str">
        <f>_xlfn.XLOOKUP(A862,'Data Cleaning'!A862:A2331, 'Data Cleaning'!D862:D2331)</f>
        <v>Master</v>
      </c>
      <c r="E862" s="3" t="str">
        <f>_xlfn.XLOOKUP(A862,'Data Cleaning'!A862:A2331, 'Data Cleaning'!E862:E2331)</f>
        <v>Divorced</v>
      </c>
      <c r="F862" t="str">
        <f>_xlfn.XLOOKUP(A862,'Data Cleaning'!A862:A2331, 'Data Cleaning'!F862:F2331)</f>
        <v>Low</v>
      </c>
      <c r="G862" s="3" t="str">
        <f>_xlfn.XLOOKUP(A862,'Data Cleaning'!A862:A2331, 'Data Cleaning'!J862:J2331)</f>
        <v>Promoted in 1-3 years</v>
      </c>
    </row>
    <row r="863" spans="1:7" x14ac:dyDescent="0.25">
      <c r="A863" s="3">
        <v>728</v>
      </c>
      <c r="B863" s="3" t="str">
        <f>_xlfn.XLOOKUP(A863,'Data Cleaning'!A863:A2332, 'Data Cleaning'!I863:I2332)</f>
        <v>45-54</v>
      </c>
      <c r="C863">
        <f>_xlfn.XLOOKUP(A863,'Data Cleaning'!A863:A2332,'Data Cleaning'!K863:K2332)</f>
        <v>0</v>
      </c>
      <c r="D863" t="str">
        <f>_xlfn.XLOOKUP(A863,'Data Cleaning'!A863:A2332, 'Data Cleaning'!D863:D2332)</f>
        <v>Master</v>
      </c>
      <c r="E863" s="3" t="str">
        <f>_xlfn.XLOOKUP(A863,'Data Cleaning'!A863:A2332, 'Data Cleaning'!E863:E2332)</f>
        <v>Single</v>
      </c>
      <c r="F863" t="str">
        <f>_xlfn.XLOOKUP(A863,'Data Cleaning'!A863:A2332, 'Data Cleaning'!F863:F2332)</f>
        <v>None</v>
      </c>
      <c r="G863" s="3" t="str">
        <f>_xlfn.XLOOKUP(A863,'Data Cleaning'!A863:A2332, 'Data Cleaning'!J863:J2332)</f>
        <v>Promoted in 1-3 years</v>
      </c>
    </row>
    <row r="864" spans="1:7" x14ac:dyDescent="0.25">
      <c r="A864" s="3">
        <v>1754</v>
      </c>
      <c r="B864" s="3" t="str">
        <f>_xlfn.XLOOKUP(A864,'Data Cleaning'!A864:A2333, 'Data Cleaning'!I864:I2333)</f>
        <v>25-34</v>
      </c>
      <c r="C864">
        <f>_xlfn.XLOOKUP(A864,'Data Cleaning'!A864:A2333,'Data Cleaning'!K864:K2333)</f>
        <v>0</v>
      </c>
      <c r="D864" t="str">
        <f>_xlfn.XLOOKUP(A864,'Data Cleaning'!A864:A2333, 'Data Cleaning'!D864:D2333)</f>
        <v>College</v>
      </c>
      <c r="E864" s="3" t="str">
        <f>_xlfn.XLOOKUP(A864,'Data Cleaning'!A864:A2333, 'Data Cleaning'!E864:E2333)</f>
        <v>Divorced</v>
      </c>
      <c r="F864" t="str">
        <f>_xlfn.XLOOKUP(A864,'Data Cleaning'!A864:A2333, 'Data Cleaning'!F864:F2333)</f>
        <v>Low</v>
      </c>
      <c r="G864" s="3" t="str">
        <f>_xlfn.XLOOKUP(A864,'Data Cleaning'!A864:A2333, 'Data Cleaning'!J864:J2333)</f>
        <v>Promoted in 1-3 years</v>
      </c>
    </row>
    <row r="865" spans="1:7" x14ac:dyDescent="0.25">
      <c r="A865" s="3">
        <v>463</v>
      </c>
      <c r="B865" s="3" t="str">
        <f>_xlfn.XLOOKUP(A865,'Data Cleaning'!A865:A2334, 'Data Cleaning'!I865:I2334)</f>
        <v>25-34</v>
      </c>
      <c r="C865">
        <f>_xlfn.XLOOKUP(A865,'Data Cleaning'!A865:A2334,'Data Cleaning'!K865:K2334)</f>
        <v>0</v>
      </c>
      <c r="D865" t="str">
        <f>_xlfn.XLOOKUP(A865,'Data Cleaning'!A865:A2334, 'Data Cleaning'!D865:D2334)</f>
        <v>Below College</v>
      </c>
      <c r="E865" s="3" t="str">
        <f>_xlfn.XLOOKUP(A865,'Data Cleaning'!A865:A2334, 'Data Cleaning'!E865:E2334)</f>
        <v>Divorced</v>
      </c>
      <c r="F865" t="str">
        <f>_xlfn.XLOOKUP(A865,'Data Cleaning'!A865:A2334, 'Data Cleaning'!F865:F2334)</f>
        <v>Mid</v>
      </c>
      <c r="G865" s="3" t="str">
        <f>_xlfn.XLOOKUP(A865,'Data Cleaning'!A865:A2334, 'Data Cleaning'!J865:J2334)</f>
        <v>Promoted in 1-3 years</v>
      </c>
    </row>
    <row r="866" spans="1:7" x14ac:dyDescent="0.25">
      <c r="A866" s="3">
        <v>1218</v>
      </c>
      <c r="B866" s="3" t="str">
        <f>_xlfn.XLOOKUP(A866,'Data Cleaning'!A866:A2335, 'Data Cleaning'!I866:I2335)</f>
        <v>35-44</v>
      </c>
      <c r="C866">
        <f>_xlfn.XLOOKUP(A866,'Data Cleaning'!A866:A2335,'Data Cleaning'!K866:K2335)</f>
        <v>0</v>
      </c>
      <c r="D866" t="str">
        <f>_xlfn.XLOOKUP(A866,'Data Cleaning'!A866:A2335, 'Data Cleaning'!D866:D2335)</f>
        <v>Master</v>
      </c>
      <c r="E866" s="3" t="str">
        <f>_xlfn.XLOOKUP(A866,'Data Cleaning'!A866:A2335, 'Data Cleaning'!E866:E2335)</f>
        <v>Married</v>
      </c>
      <c r="F866" t="str">
        <f>_xlfn.XLOOKUP(A866,'Data Cleaning'!A866:A2335, 'Data Cleaning'!F866:F2335)</f>
        <v>High</v>
      </c>
      <c r="G866" s="3" t="str">
        <f>_xlfn.XLOOKUP(A866,'Data Cleaning'!A866:A2335, 'Data Cleaning'!J866:J2335)</f>
        <v>Promoted in 1-3 years</v>
      </c>
    </row>
    <row r="867" spans="1:7" x14ac:dyDescent="0.25">
      <c r="A867" s="3">
        <v>438</v>
      </c>
      <c r="B867" s="3" t="str">
        <f>_xlfn.XLOOKUP(A867,'Data Cleaning'!A867:A2336, 'Data Cleaning'!I867:I2336)</f>
        <v>25-34</v>
      </c>
      <c r="C867">
        <f>_xlfn.XLOOKUP(A867,'Data Cleaning'!A867:A2336,'Data Cleaning'!K867:K2336)</f>
        <v>0</v>
      </c>
      <c r="D867" t="str">
        <f>_xlfn.XLOOKUP(A867,'Data Cleaning'!A867:A2336, 'Data Cleaning'!D867:D2336)</f>
        <v>Bachelor</v>
      </c>
      <c r="E867" s="3" t="str">
        <f>_xlfn.XLOOKUP(A867,'Data Cleaning'!A867:A2336, 'Data Cleaning'!E867:E2336)</f>
        <v>Divorced</v>
      </c>
      <c r="F867" t="str">
        <f>_xlfn.XLOOKUP(A867,'Data Cleaning'!A867:A2336, 'Data Cleaning'!F867:F2336)</f>
        <v>High</v>
      </c>
      <c r="G867" s="3" t="str">
        <f>_xlfn.XLOOKUP(A867,'Data Cleaning'!A867:A2336, 'Data Cleaning'!J867:J2336)</f>
        <v>Promoted in 1-3 years</v>
      </c>
    </row>
    <row r="868" spans="1:7" x14ac:dyDescent="0.25">
      <c r="A868" s="3">
        <v>1171</v>
      </c>
      <c r="B868" s="3" t="str">
        <f>_xlfn.XLOOKUP(A868,'Data Cleaning'!A868:A2337, 'Data Cleaning'!I868:I2337)</f>
        <v>35-44</v>
      </c>
      <c r="C868">
        <f>_xlfn.XLOOKUP(A868,'Data Cleaning'!A868:A2337,'Data Cleaning'!K868:K2337)</f>
        <v>0</v>
      </c>
      <c r="D868" t="str">
        <f>_xlfn.XLOOKUP(A868,'Data Cleaning'!A868:A2337, 'Data Cleaning'!D868:D2337)</f>
        <v>Master</v>
      </c>
      <c r="E868" s="3" t="str">
        <f>_xlfn.XLOOKUP(A868,'Data Cleaning'!A868:A2337, 'Data Cleaning'!E868:E2337)</f>
        <v>Single</v>
      </c>
      <c r="F868" t="str">
        <f>_xlfn.XLOOKUP(A868,'Data Cleaning'!A868:A2337, 'Data Cleaning'!F868:F2337)</f>
        <v>None</v>
      </c>
      <c r="G868" s="3" t="str">
        <f>_xlfn.XLOOKUP(A868,'Data Cleaning'!A868:A2337, 'Data Cleaning'!J868:J2337)</f>
        <v>Promoted in 1-3 years</v>
      </c>
    </row>
    <row r="869" spans="1:7" x14ac:dyDescent="0.25">
      <c r="A869" s="3">
        <v>690</v>
      </c>
      <c r="B869" s="3" t="str">
        <f>_xlfn.XLOOKUP(A869,'Data Cleaning'!A869:A2338, 'Data Cleaning'!I869:I2338)</f>
        <v>25-34</v>
      </c>
      <c r="C869">
        <f>_xlfn.XLOOKUP(A869,'Data Cleaning'!A869:A2338,'Data Cleaning'!K869:K2338)</f>
        <v>0</v>
      </c>
      <c r="D869" t="str">
        <f>_xlfn.XLOOKUP(A869,'Data Cleaning'!A869:A2338, 'Data Cleaning'!D869:D2338)</f>
        <v>College</v>
      </c>
      <c r="E869" s="3" t="str">
        <f>_xlfn.XLOOKUP(A869,'Data Cleaning'!A869:A2338, 'Data Cleaning'!E869:E2338)</f>
        <v>Married</v>
      </c>
      <c r="F869" t="str">
        <f>_xlfn.XLOOKUP(A869,'Data Cleaning'!A869:A2338, 'Data Cleaning'!F869:F2338)</f>
        <v>Low</v>
      </c>
      <c r="G869" s="3" t="str">
        <f>_xlfn.XLOOKUP(A869,'Data Cleaning'!A869:A2338, 'Data Cleaning'!J869:J2338)</f>
        <v>Promoted in 1-3 years</v>
      </c>
    </row>
    <row r="870" spans="1:7" x14ac:dyDescent="0.25">
      <c r="A870" s="3">
        <v>1239</v>
      </c>
      <c r="B870" s="3" t="str">
        <f>_xlfn.XLOOKUP(A870,'Data Cleaning'!A870:A2339, 'Data Cleaning'!I870:I2339)</f>
        <v>35-44</v>
      </c>
      <c r="C870">
        <f>_xlfn.XLOOKUP(A870,'Data Cleaning'!A870:A2339,'Data Cleaning'!K870:K2339)</f>
        <v>0</v>
      </c>
      <c r="D870" t="str">
        <f>_xlfn.XLOOKUP(A870,'Data Cleaning'!A870:A2339, 'Data Cleaning'!D870:D2339)</f>
        <v>Bachelor</v>
      </c>
      <c r="E870" s="3" t="str">
        <f>_xlfn.XLOOKUP(A870,'Data Cleaning'!A870:A2339, 'Data Cleaning'!E870:E2339)</f>
        <v>Divorced</v>
      </c>
      <c r="F870" t="str">
        <f>_xlfn.XLOOKUP(A870,'Data Cleaning'!A870:A2339, 'Data Cleaning'!F870:F2339)</f>
        <v>Low</v>
      </c>
      <c r="G870" s="3" t="str">
        <f>_xlfn.XLOOKUP(A870,'Data Cleaning'!A870:A2339, 'Data Cleaning'!J870:J2339)</f>
        <v>Promoted in 1-3 years</v>
      </c>
    </row>
    <row r="871" spans="1:7" x14ac:dyDescent="0.25">
      <c r="A871" s="3">
        <v>1882</v>
      </c>
      <c r="B871" s="3" t="str">
        <f>_xlfn.XLOOKUP(A871,'Data Cleaning'!A871:A2340, 'Data Cleaning'!I871:I2340)</f>
        <v>25-34</v>
      </c>
      <c r="C871">
        <f>_xlfn.XLOOKUP(A871,'Data Cleaning'!A871:A2340,'Data Cleaning'!K871:K2340)</f>
        <v>0</v>
      </c>
      <c r="D871" t="str">
        <f>_xlfn.XLOOKUP(A871,'Data Cleaning'!A871:A2340, 'Data Cleaning'!D871:D2340)</f>
        <v>Bachelor</v>
      </c>
      <c r="E871" s="3" t="str">
        <f>_xlfn.XLOOKUP(A871,'Data Cleaning'!A871:A2340, 'Data Cleaning'!E871:E2340)</f>
        <v>Married</v>
      </c>
      <c r="F871" t="str">
        <f>_xlfn.XLOOKUP(A871,'Data Cleaning'!A871:A2340, 'Data Cleaning'!F871:F2340)</f>
        <v>High</v>
      </c>
      <c r="G871" s="3" t="str">
        <f>_xlfn.XLOOKUP(A871,'Data Cleaning'!A871:A2340, 'Data Cleaning'!J871:J2340)</f>
        <v>Promoted in 1-3 years</v>
      </c>
    </row>
    <row r="872" spans="1:7" x14ac:dyDescent="0.25">
      <c r="A872" s="3">
        <v>1207</v>
      </c>
      <c r="B872" s="3" t="str">
        <f>_xlfn.XLOOKUP(A872,'Data Cleaning'!A872:A2341, 'Data Cleaning'!I872:I2341)</f>
        <v>25-34</v>
      </c>
      <c r="C872">
        <f>_xlfn.XLOOKUP(A872,'Data Cleaning'!A872:A2341,'Data Cleaning'!K872:K2341)</f>
        <v>0</v>
      </c>
      <c r="D872" t="str">
        <f>_xlfn.XLOOKUP(A872,'Data Cleaning'!A872:A2341, 'Data Cleaning'!D872:D2341)</f>
        <v>Bachelor</v>
      </c>
      <c r="E872" s="3" t="str">
        <f>_xlfn.XLOOKUP(A872,'Data Cleaning'!A872:A2341, 'Data Cleaning'!E872:E2341)</f>
        <v>Married</v>
      </c>
      <c r="F872" t="str">
        <f>_xlfn.XLOOKUP(A872,'Data Cleaning'!A872:A2341, 'Data Cleaning'!F872:F2341)</f>
        <v>Low</v>
      </c>
      <c r="G872" s="3" t="str">
        <f>_xlfn.XLOOKUP(A872,'Data Cleaning'!A872:A2341, 'Data Cleaning'!J872:J2341)</f>
        <v>Promoted in 1-3 years</v>
      </c>
    </row>
    <row r="873" spans="1:7" x14ac:dyDescent="0.25">
      <c r="A873" s="3">
        <v>527</v>
      </c>
      <c r="B873" s="3" t="str">
        <f>_xlfn.XLOOKUP(A873,'Data Cleaning'!A873:A2342, 'Data Cleaning'!I873:I2342)</f>
        <v>25-34</v>
      </c>
      <c r="C873">
        <f>_xlfn.XLOOKUP(A873,'Data Cleaning'!A873:A2342,'Data Cleaning'!K873:K2342)</f>
        <v>0</v>
      </c>
      <c r="D873" t="str">
        <f>_xlfn.XLOOKUP(A873,'Data Cleaning'!A873:A2342, 'Data Cleaning'!D873:D2342)</f>
        <v>College</v>
      </c>
      <c r="E873" s="3" t="str">
        <f>_xlfn.XLOOKUP(A873,'Data Cleaning'!A873:A2342, 'Data Cleaning'!E873:E2342)</f>
        <v>Single</v>
      </c>
      <c r="F873" t="str">
        <f>_xlfn.XLOOKUP(A873,'Data Cleaning'!A873:A2342, 'Data Cleaning'!F873:F2342)</f>
        <v>None</v>
      </c>
      <c r="G873" s="3" t="str">
        <f>_xlfn.XLOOKUP(A873,'Data Cleaning'!A873:A2342, 'Data Cleaning'!J873:J2342)</f>
        <v>Promoted in 1-3 years</v>
      </c>
    </row>
    <row r="874" spans="1:7" x14ac:dyDescent="0.25">
      <c r="A874" s="3">
        <v>516</v>
      </c>
      <c r="B874" s="3" t="str">
        <f>_xlfn.XLOOKUP(A874,'Data Cleaning'!A874:A2343, 'Data Cleaning'!I874:I2343)</f>
        <v>35-44</v>
      </c>
      <c r="C874">
        <f>_xlfn.XLOOKUP(A874,'Data Cleaning'!A874:A2343,'Data Cleaning'!K874:K2343)</f>
        <v>0</v>
      </c>
      <c r="D874" t="str">
        <f>_xlfn.XLOOKUP(A874,'Data Cleaning'!A874:A2343, 'Data Cleaning'!D874:D2343)</f>
        <v>College</v>
      </c>
      <c r="E874" s="3" t="str">
        <f>_xlfn.XLOOKUP(A874,'Data Cleaning'!A874:A2343, 'Data Cleaning'!E874:E2343)</f>
        <v>Divorced</v>
      </c>
      <c r="F874" t="str">
        <f>_xlfn.XLOOKUP(A874,'Data Cleaning'!A874:A2343, 'Data Cleaning'!F874:F2343)</f>
        <v>Mid</v>
      </c>
      <c r="G874" s="3" t="str">
        <f>_xlfn.XLOOKUP(A874,'Data Cleaning'!A874:A2343, 'Data Cleaning'!J874:J2343)</f>
        <v>Promoted in 1-3 years</v>
      </c>
    </row>
    <row r="875" spans="1:7" x14ac:dyDescent="0.25">
      <c r="A875" s="3">
        <v>1836</v>
      </c>
      <c r="B875" s="3" t="str">
        <f>_xlfn.XLOOKUP(A875,'Data Cleaning'!A875:A2344, 'Data Cleaning'!I875:I2344)</f>
        <v>25-34</v>
      </c>
      <c r="C875">
        <f>_xlfn.XLOOKUP(A875,'Data Cleaning'!A875:A2344,'Data Cleaning'!K875:K2344)</f>
        <v>0</v>
      </c>
      <c r="D875" t="str">
        <f>_xlfn.XLOOKUP(A875,'Data Cleaning'!A875:A2344, 'Data Cleaning'!D875:D2344)</f>
        <v>Bachelor</v>
      </c>
      <c r="E875" s="3" t="str">
        <f>_xlfn.XLOOKUP(A875,'Data Cleaning'!A875:A2344, 'Data Cleaning'!E875:E2344)</f>
        <v>Single</v>
      </c>
      <c r="F875" t="str">
        <f>_xlfn.XLOOKUP(A875,'Data Cleaning'!A875:A2344, 'Data Cleaning'!F875:F2344)</f>
        <v>None</v>
      </c>
      <c r="G875" s="3" t="str">
        <f>_xlfn.XLOOKUP(A875,'Data Cleaning'!A875:A2344, 'Data Cleaning'!J875:J2344)</f>
        <v>Promoted in 1-3 years</v>
      </c>
    </row>
    <row r="876" spans="1:7" x14ac:dyDescent="0.25">
      <c r="A876" s="3">
        <v>152</v>
      </c>
      <c r="B876" s="3" t="str">
        <f>_xlfn.XLOOKUP(A876,'Data Cleaning'!A876:A2345, 'Data Cleaning'!I876:I2345)</f>
        <v>35-44</v>
      </c>
      <c r="C876">
        <f>_xlfn.XLOOKUP(A876,'Data Cleaning'!A876:A2345,'Data Cleaning'!K876:K2345)</f>
        <v>0</v>
      </c>
      <c r="D876" t="str">
        <f>_xlfn.XLOOKUP(A876,'Data Cleaning'!A876:A2345, 'Data Cleaning'!D876:D2345)</f>
        <v>Bachelor</v>
      </c>
      <c r="E876" s="3" t="str">
        <f>_xlfn.XLOOKUP(A876,'Data Cleaning'!A876:A2345, 'Data Cleaning'!E876:E2345)</f>
        <v>Single</v>
      </c>
      <c r="F876" t="str">
        <f>_xlfn.XLOOKUP(A876,'Data Cleaning'!A876:A2345, 'Data Cleaning'!F876:F2345)</f>
        <v>None</v>
      </c>
      <c r="G876" s="3" t="str">
        <f>_xlfn.XLOOKUP(A876,'Data Cleaning'!A876:A2345, 'Data Cleaning'!J876:J2345)</f>
        <v>Promoted in 1-3 years</v>
      </c>
    </row>
    <row r="877" spans="1:7" x14ac:dyDescent="0.25">
      <c r="A877" s="3">
        <v>1650</v>
      </c>
      <c r="B877" s="3" t="str">
        <f>_xlfn.XLOOKUP(A877,'Data Cleaning'!A877:A2346, 'Data Cleaning'!I877:I2346)</f>
        <v>25-34</v>
      </c>
      <c r="C877">
        <f>_xlfn.XLOOKUP(A877,'Data Cleaning'!A877:A2346,'Data Cleaning'!K877:K2346)</f>
        <v>0</v>
      </c>
      <c r="D877" t="str">
        <f>_xlfn.XLOOKUP(A877,'Data Cleaning'!A877:A2346, 'Data Cleaning'!D877:D2346)</f>
        <v>Bachelor</v>
      </c>
      <c r="E877" s="3" t="str">
        <f>_xlfn.XLOOKUP(A877,'Data Cleaning'!A877:A2346, 'Data Cleaning'!E877:E2346)</f>
        <v>Single</v>
      </c>
      <c r="F877" t="str">
        <f>_xlfn.XLOOKUP(A877,'Data Cleaning'!A877:A2346, 'Data Cleaning'!F877:F2346)</f>
        <v>None</v>
      </c>
      <c r="G877" s="3" t="str">
        <f>_xlfn.XLOOKUP(A877,'Data Cleaning'!A877:A2346, 'Data Cleaning'!J877:J2346)</f>
        <v>Promoted in 1-3 years</v>
      </c>
    </row>
    <row r="878" spans="1:7" x14ac:dyDescent="0.25">
      <c r="A878" s="3">
        <v>975</v>
      </c>
      <c r="B878" s="3" t="str">
        <f>_xlfn.XLOOKUP(A878,'Data Cleaning'!A878:A2347, 'Data Cleaning'!I878:I2347)</f>
        <v>35-44</v>
      </c>
      <c r="C878">
        <f>_xlfn.XLOOKUP(A878,'Data Cleaning'!A878:A2347,'Data Cleaning'!K878:K2347)</f>
        <v>0</v>
      </c>
      <c r="D878" t="str">
        <f>_xlfn.XLOOKUP(A878,'Data Cleaning'!A878:A2347, 'Data Cleaning'!D878:D2347)</f>
        <v>Bachelor</v>
      </c>
      <c r="E878" s="3" t="str">
        <f>_xlfn.XLOOKUP(A878,'Data Cleaning'!A878:A2347, 'Data Cleaning'!E878:E2347)</f>
        <v>Married</v>
      </c>
      <c r="F878" t="str">
        <f>_xlfn.XLOOKUP(A878,'Data Cleaning'!A878:A2347, 'Data Cleaning'!F878:F2347)</f>
        <v>None</v>
      </c>
      <c r="G878" s="3" t="str">
        <f>_xlfn.XLOOKUP(A878,'Data Cleaning'!A878:A2347, 'Data Cleaning'!J878:J2347)</f>
        <v>Promoted in 1-3 years</v>
      </c>
    </row>
    <row r="879" spans="1:7" x14ac:dyDescent="0.25">
      <c r="A879" s="3">
        <v>1625</v>
      </c>
      <c r="B879" s="3" t="str">
        <f>_xlfn.XLOOKUP(A879,'Data Cleaning'!A879:A2348, 'Data Cleaning'!I879:I2348)</f>
        <v>45-54</v>
      </c>
      <c r="C879">
        <f>_xlfn.XLOOKUP(A879,'Data Cleaning'!A879:A2348,'Data Cleaning'!K879:K2348)</f>
        <v>0</v>
      </c>
      <c r="D879" t="str">
        <f>_xlfn.XLOOKUP(A879,'Data Cleaning'!A879:A2348, 'Data Cleaning'!D879:D2348)</f>
        <v>Master</v>
      </c>
      <c r="E879" s="3" t="str">
        <f>_xlfn.XLOOKUP(A879,'Data Cleaning'!A879:A2348, 'Data Cleaning'!E879:E2348)</f>
        <v>Married</v>
      </c>
      <c r="F879" t="str">
        <f>_xlfn.XLOOKUP(A879,'Data Cleaning'!A879:A2348, 'Data Cleaning'!F879:F2348)</f>
        <v>Low</v>
      </c>
      <c r="G879" s="3" t="str">
        <f>_xlfn.XLOOKUP(A879,'Data Cleaning'!A879:A2348, 'Data Cleaning'!J879:J2348)</f>
        <v>Promoted in 1-3 years</v>
      </c>
    </row>
    <row r="880" spans="1:7" x14ac:dyDescent="0.25">
      <c r="A880" s="3">
        <v>677</v>
      </c>
      <c r="B880" s="3" t="str">
        <f>_xlfn.XLOOKUP(A880,'Data Cleaning'!A880:A2349, 'Data Cleaning'!I880:I2349)</f>
        <v>25-34</v>
      </c>
      <c r="C880">
        <f>_xlfn.XLOOKUP(A880,'Data Cleaning'!A880:A2349,'Data Cleaning'!K880:K2349)</f>
        <v>0</v>
      </c>
      <c r="D880" t="str">
        <f>_xlfn.XLOOKUP(A880,'Data Cleaning'!A880:A2349, 'Data Cleaning'!D880:D2349)</f>
        <v>Master</v>
      </c>
      <c r="E880" s="3" t="str">
        <f>_xlfn.XLOOKUP(A880,'Data Cleaning'!A880:A2349, 'Data Cleaning'!E880:E2349)</f>
        <v>Divorced</v>
      </c>
      <c r="F880" t="str">
        <f>_xlfn.XLOOKUP(A880,'Data Cleaning'!A880:A2349, 'Data Cleaning'!F880:F2349)</f>
        <v>None</v>
      </c>
      <c r="G880" s="3" t="str">
        <f>_xlfn.XLOOKUP(A880,'Data Cleaning'!A880:A2349, 'Data Cleaning'!J880:J2349)</f>
        <v>Promoted in 1-3 years</v>
      </c>
    </row>
    <row r="881" spans="1:7" x14ac:dyDescent="0.25">
      <c r="A881" s="3">
        <v>1503</v>
      </c>
      <c r="B881" s="3" t="str">
        <f>_xlfn.XLOOKUP(A881,'Data Cleaning'!A881:A2350, 'Data Cleaning'!I881:I2350)</f>
        <v>45-54</v>
      </c>
      <c r="C881">
        <f>_xlfn.XLOOKUP(A881,'Data Cleaning'!A881:A2350,'Data Cleaning'!K881:K2350)</f>
        <v>0</v>
      </c>
      <c r="D881" t="str">
        <f>_xlfn.XLOOKUP(A881,'Data Cleaning'!A881:A2350, 'Data Cleaning'!D881:D2350)</f>
        <v>Bachelor</v>
      </c>
      <c r="E881" s="3" t="str">
        <f>_xlfn.XLOOKUP(A881,'Data Cleaning'!A881:A2350, 'Data Cleaning'!E881:E2350)</f>
        <v>Married</v>
      </c>
      <c r="F881" t="str">
        <f>_xlfn.XLOOKUP(A881,'Data Cleaning'!A881:A2350, 'Data Cleaning'!F881:F2350)</f>
        <v>Low</v>
      </c>
      <c r="G881" s="3" t="str">
        <f>_xlfn.XLOOKUP(A881,'Data Cleaning'!A881:A2350, 'Data Cleaning'!J881:J2350)</f>
        <v>Promoted in 1-3 years</v>
      </c>
    </row>
    <row r="882" spans="1:7" x14ac:dyDescent="0.25">
      <c r="A882" s="3">
        <v>1164</v>
      </c>
      <c r="B882" s="3" t="str">
        <f>_xlfn.XLOOKUP(A882,'Data Cleaning'!A882:A2351, 'Data Cleaning'!I882:I2351)</f>
        <v>35-44</v>
      </c>
      <c r="C882">
        <f>_xlfn.XLOOKUP(A882,'Data Cleaning'!A882:A2351,'Data Cleaning'!K882:K2351)</f>
        <v>0</v>
      </c>
      <c r="D882" t="str">
        <f>_xlfn.XLOOKUP(A882,'Data Cleaning'!A882:A2351, 'Data Cleaning'!D882:D2351)</f>
        <v>Master</v>
      </c>
      <c r="E882" s="3" t="str">
        <f>_xlfn.XLOOKUP(A882,'Data Cleaning'!A882:A2351, 'Data Cleaning'!E882:E2351)</f>
        <v>Single</v>
      </c>
      <c r="F882" t="str">
        <f>_xlfn.XLOOKUP(A882,'Data Cleaning'!A882:A2351, 'Data Cleaning'!F882:F2351)</f>
        <v>None</v>
      </c>
      <c r="G882" s="3" t="str">
        <f>_xlfn.XLOOKUP(A882,'Data Cleaning'!A882:A2351, 'Data Cleaning'!J882:J2351)</f>
        <v>Promoted in 1-3 years</v>
      </c>
    </row>
    <row r="883" spans="1:7" x14ac:dyDescent="0.25">
      <c r="A883" s="3">
        <v>1912</v>
      </c>
      <c r="B883" s="3" t="str">
        <f>_xlfn.XLOOKUP(A883,'Data Cleaning'!A883:A2352, 'Data Cleaning'!I883:I2352)</f>
        <v>25-34</v>
      </c>
      <c r="C883">
        <f>_xlfn.XLOOKUP(A883,'Data Cleaning'!A883:A2352,'Data Cleaning'!K883:K2352)</f>
        <v>0</v>
      </c>
      <c r="D883" t="str">
        <f>_xlfn.XLOOKUP(A883,'Data Cleaning'!A883:A2352, 'Data Cleaning'!D883:D2352)</f>
        <v>College</v>
      </c>
      <c r="E883" s="3" t="str">
        <f>_xlfn.XLOOKUP(A883,'Data Cleaning'!A883:A2352, 'Data Cleaning'!E883:E2352)</f>
        <v>Divorced</v>
      </c>
      <c r="F883" t="str">
        <f>_xlfn.XLOOKUP(A883,'Data Cleaning'!A883:A2352, 'Data Cleaning'!F883:F2352)</f>
        <v>Low</v>
      </c>
      <c r="G883" s="3" t="str">
        <f>_xlfn.XLOOKUP(A883,'Data Cleaning'!A883:A2352, 'Data Cleaning'!J883:J2352)</f>
        <v>Promoted in 1-3 years</v>
      </c>
    </row>
    <row r="884" spans="1:7" x14ac:dyDescent="0.25">
      <c r="A884" s="3">
        <v>1390</v>
      </c>
      <c r="B884" s="3" t="str">
        <f>_xlfn.XLOOKUP(A884,'Data Cleaning'!A884:A2353, 'Data Cleaning'!I884:I2353)</f>
        <v>35-44</v>
      </c>
      <c r="C884">
        <f>_xlfn.XLOOKUP(A884,'Data Cleaning'!A884:A2353,'Data Cleaning'!K884:K2353)</f>
        <v>0</v>
      </c>
      <c r="D884" t="str">
        <f>_xlfn.XLOOKUP(A884,'Data Cleaning'!A884:A2353, 'Data Cleaning'!D884:D2353)</f>
        <v>Master</v>
      </c>
      <c r="E884" s="3" t="str">
        <f>_xlfn.XLOOKUP(A884,'Data Cleaning'!A884:A2353, 'Data Cleaning'!E884:E2353)</f>
        <v>Married</v>
      </c>
      <c r="F884" t="str">
        <f>_xlfn.XLOOKUP(A884,'Data Cleaning'!A884:A2353, 'Data Cleaning'!F884:F2353)</f>
        <v>Mid</v>
      </c>
      <c r="G884" s="3" t="str">
        <f>_xlfn.XLOOKUP(A884,'Data Cleaning'!A884:A2353, 'Data Cleaning'!J884:J2353)</f>
        <v>Promoted in 1-3 years</v>
      </c>
    </row>
    <row r="885" spans="1:7" x14ac:dyDescent="0.25">
      <c r="A885" s="3">
        <v>1908</v>
      </c>
      <c r="B885" s="3" t="str">
        <f>_xlfn.XLOOKUP(A885,'Data Cleaning'!A885:A2354, 'Data Cleaning'!I885:I2354)</f>
        <v>35-44</v>
      </c>
      <c r="C885">
        <f>_xlfn.XLOOKUP(A885,'Data Cleaning'!A885:A2354,'Data Cleaning'!K885:K2354)</f>
        <v>0</v>
      </c>
      <c r="D885" t="str">
        <f>_xlfn.XLOOKUP(A885,'Data Cleaning'!A885:A2354, 'Data Cleaning'!D885:D2354)</f>
        <v>College</v>
      </c>
      <c r="E885" s="3" t="str">
        <f>_xlfn.XLOOKUP(A885,'Data Cleaning'!A885:A2354, 'Data Cleaning'!E885:E2354)</f>
        <v>Married</v>
      </c>
      <c r="F885" t="str">
        <f>_xlfn.XLOOKUP(A885,'Data Cleaning'!A885:A2354, 'Data Cleaning'!F885:F2354)</f>
        <v>Mid</v>
      </c>
      <c r="G885" s="3" t="str">
        <f>_xlfn.XLOOKUP(A885,'Data Cleaning'!A885:A2354, 'Data Cleaning'!J885:J2354)</f>
        <v>Promoted in 1-3 years</v>
      </c>
    </row>
    <row r="886" spans="1:7" x14ac:dyDescent="0.25">
      <c r="A886" s="3">
        <v>1568</v>
      </c>
      <c r="B886" s="3" t="str">
        <f>_xlfn.XLOOKUP(A886,'Data Cleaning'!A886:A2355, 'Data Cleaning'!I886:I2355)</f>
        <v>25-34</v>
      </c>
      <c r="C886">
        <f>_xlfn.XLOOKUP(A886,'Data Cleaning'!A886:A2355,'Data Cleaning'!K886:K2355)</f>
        <v>0</v>
      </c>
      <c r="D886" t="str">
        <f>_xlfn.XLOOKUP(A886,'Data Cleaning'!A886:A2355, 'Data Cleaning'!D886:D2355)</f>
        <v>Master</v>
      </c>
      <c r="E886" s="3" t="str">
        <f>_xlfn.XLOOKUP(A886,'Data Cleaning'!A886:A2355, 'Data Cleaning'!E886:E2355)</f>
        <v>Married</v>
      </c>
      <c r="F886" t="str">
        <f>_xlfn.XLOOKUP(A886,'Data Cleaning'!A886:A2355, 'Data Cleaning'!F886:F2355)</f>
        <v>Low</v>
      </c>
      <c r="G886" s="3" t="str">
        <f>_xlfn.XLOOKUP(A886,'Data Cleaning'!A886:A2355, 'Data Cleaning'!J886:J2355)</f>
        <v>Promoted in 1-3 years</v>
      </c>
    </row>
    <row r="887" spans="1:7" x14ac:dyDescent="0.25">
      <c r="A887" s="3">
        <v>1240</v>
      </c>
      <c r="B887" s="3" t="str">
        <f>_xlfn.XLOOKUP(A887,'Data Cleaning'!A887:A2356, 'Data Cleaning'!I887:I2356)</f>
        <v>25-34</v>
      </c>
      <c r="C887">
        <f>_xlfn.XLOOKUP(A887,'Data Cleaning'!A887:A2356,'Data Cleaning'!K887:K2356)</f>
        <v>0</v>
      </c>
      <c r="D887" t="str">
        <f>_xlfn.XLOOKUP(A887,'Data Cleaning'!A887:A2356, 'Data Cleaning'!D887:D2356)</f>
        <v>Master</v>
      </c>
      <c r="E887" s="3" t="str">
        <f>_xlfn.XLOOKUP(A887,'Data Cleaning'!A887:A2356, 'Data Cleaning'!E887:E2356)</f>
        <v>Single</v>
      </c>
      <c r="F887" t="str">
        <f>_xlfn.XLOOKUP(A887,'Data Cleaning'!A887:A2356, 'Data Cleaning'!F887:F2356)</f>
        <v>None</v>
      </c>
      <c r="G887" s="3" t="str">
        <f>_xlfn.XLOOKUP(A887,'Data Cleaning'!A887:A2356, 'Data Cleaning'!J887:J2356)</f>
        <v>Promoted in 1-3 years</v>
      </c>
    </row>
    <row r="888" spans="1:7" x14ac:dyDescent="0.25">
      <c r="A888" s="3">
        <v>330</v>
      </c>
      <c r="B888" s="3" t="str">
        <f>_xlfn.XLOOKUP(A888,'Data Cleaning'!A888:A2357, 'Data Cleaning'!I888:I2357)</f>
        <v>25-34</v>
      </c>
      <c r="C888">
        <f>_xlfn.XLOOKUP(A888,'Data Cleaning'!A888:A2357,'Data Cleaning'!K888:K2357)</f>
        <v>0</v>
      </c>
      <c r="D888" t="str">
        <f>_xlfn.XLOOKUP(A888,'Data Cleaning'!A888:A2357, 'Data Cleaning'!D888:D2357)</f>
        <v>College</v>
      </c>
      <c r="E888" s="3" t="str">
        <f>_xlfn.XLOOKUP(A888,'Data Cleaning'!A888:A2357, 'Data Cleaning'!E888:E2357)</f>
        <v>Married</v>
      </c>
      <c r="F888" t="str">
        <f>_xlfn.XLOOKUP(A888,'Data Cleaning'!A888:A2357, 'Data Cleaning'!F888:F2357)</f>
        <v>Low</v>
      </c>
      <c r="G888" s="3" t="str">
        <f>_xlfn.XLOOKUP(A888,'Data Cleaning'!A888:A2357, 'Data Cleaning'!J888:J2357)</f>
        <v>Promoted in 1-3 years</v>
      </c>
    </row>
    <row r="889" spans="1:7" x14ac:dyDescent="0.25">
      <c r="A889" s="3">
        <v>470</v>
      </c>
      <c r="B889" s="3" t="str">
        <f>_xlfn.XLOOKUP(A889,'Data Cleaning'!A889:A2358, 'Data Cleaning'!I889:I2358)</f>
        <v>35-44</v>
      </c>
      <c r="C889">
        <f>_xlfn.XLOOKUP(A889,'Data Cleaning'!A889:A2358,'Data Cleaning'!K889:K2358)</f>
        <v>0</v>
      </c>
      <c r="D889" t="str">
        <f>_xlfn.XLOOKUP(A889,'Data Cleaning'!A889:A2358, 'Data Cleaning'!D889:D2358)</f>
        <v>Below College</v>
      </c>
      <c r="E889" s="3" t="str">
        <f>_xlfn.XLOOKUP(A889,'Data Cleaning'!A889:A2358, 'Data Cleaning'!E889:E2358)</f>
        <v>Divorced</v>
      </c>
      <c r="F889" t="str">
        <f>_xlfn.XLOOKUP(A889,'Data Cleaning'!A889:A2358, 'Data Cleaning'!F889:F2358)</f>
        <v>Low</v>
      </c>
      <c r="G889" s="3" t="str">
        <f>_xlfn.XLOOKUP(A889,'Data Cleaning'!A889:A2358, 'Data Cleaning'!J889:J2358)</f>
        <v>Promoted in 1-3 years</v>
      </c>
    </row>
    <row r="890" spans="1:7" x14ac:dyDescent="0.25">
      <c r="A890" s="3">
        <v>580</v>
      </c>
      <c r="B890" s="3" t="str">
        <f>_xlfn.XLOOKUP(A890,'Data Cleaning'!A890:A2359, 'Data Cleaning'!I890:I2359)</f>
        <v>45-54</v>
      </c>
      <c r="C890">
        <f>_xlfn.XLOOKUP(A890,'Data Cleaning'!A890:A2359,'Data Cleaning'!K890:K2359)</f>
        <v>0</v>
      </c>
      <c r="D890" t="str">
        <f>_xlfn.XLOOKUP(A890,'Data Cleaning'!A890:A2359, 'Data Cleaning'!D890:D2359)</f>
        <v>Bachelor</v>
      </c>
      <c r="E890" s="3" t="str">
        <f>_xlfn.XLOOKUP(A890,'Data Cleaning'!A890:A2359, 'Data Cleaning'!E890:E2359)</f>
        <v>Married</v>
      </c>
      <c r="F890" t="str">
        <f>_xlfn.XLOOKUP(A890,'Data Cleaning'!A890:A2359, 'Data Cleaning'!F890:F2359)</f>
        <v>Low</v>
      </c>
      <c r="G890" s="3" t="str">
        <f>_xlfn.XLOOKUP(A890,'Data Cleaning'!A890:A2359, 'Data Cleaning'!J890:J2359)</f>
        <v>Promoted in 1-3 years</v>
      </c>
    </row>
    <row r="891" spans="1:7" x14ac:dyDescent="0.25">
      <c r="A891" s="3">
        <v>1583</v>
      </c>
      <c r="B891" s="3" t="str">
        <f>_xlfn.XLOOKUP(A891,'Data Cleaning'!A891:A2360, 'Data Cleaning'!I891:I2360)</f>
        <v>35-44</v>
      </c>
      <c r="C891">
        <f>_xlfn.XLOOKUP(A891,'Data Cleaning'!A891:A2360,'Data Cleaning'!K891:K2360)</f>
        <v>0</v>
      </c>
      <c r="D891" t="str">
        <f>_xlfn.XLOOKUP(A891,'Data Cleaning'!A891:A2360, 'Data Cleaning'!D891:D2360)</f>
        <v>Bachelor</v>
      </c>
      <c r="E891" s="3" t="str">
        <f>_xlfn.XLOOKUP(A891,'Data Cleaning'!A891:A2360, 'Data Cleaning'!E891:E2360)</f>
        <v>Single</v>
      </c>
      <c r="F891" t="str">
        <f>_xlfn.XLOOKUP(A891,'Data Cleaning'!A891:A2360, 'Data Cleaning'!F891:F2360)</f>
        <v>None</v>
      </c>
      <c r="G891" s="3" t="str">
        <f>_xlfn.XLOOKUP(A891,'Data Cleaning'!A891:A2360, 'Data Cleaning'!J891:J2360)</f>
        <v>Promoted in 1-3 years</v>
      </c>
    </row>
    <row r="892" spans="1:7" x14ac:dyDescent="0.25">
      <c r="A892" s="3">
        <v>669</v>
      </c>
      <c r="B892" s="3" t="str">
        <f>_xlfn.XLOOKUP(A892,'Data Cleaning'!A892:A2361, 'Data Cleaning'!I892:I2361)</f>
        <v>18-24</v>
      </c>
      <c r="C892">
        <f>_xlfn.XLOOKUP(A892,'Data Cleaning'!A892:A2361,'Data Cleaning'!K892:K2361)</f>
        <v>0</v>
      </c>
      <c r="D892" t="str">
        <f>_xlfn.XLOOKUP(A892,'Data Cleaning'!A892:A2361, 'Data Cleaning'!D892:D2361)</f>
        <v>Below College</v>
      </c>
      <c r="E892" s="3" t="str">
        <f>_xlfn.XLOOKUP(A892,'Data Cleaning'!A892:A2361, 'Data Cleaning'!E892:E2361)</f>
        <v>Single</v>
      </c>
      <c r="F892" t="str">
        <f>_xlfn.XLOOKUP(A892,'Data Cleaning'!A892:A2361, 'Data Cleaning'!F892:F2361)</f>
        <v>None</v>
      </c>
      <c r="G892" s="3" t="str">
        <f>_xlfn.XLOOKUP(A892,'Data Cleaning'!A892:A2361, 'Data Cleaning'!J892:J2361)</f>
        <v>Promoted in 1-3 years</v>
      </c>
    </row>
    <row r="893" spans="1:7" x14ac:dyDescent="0.25">
      <c r="A893" s="3">
        <v>1396</v>
      </c>
      <c r="B893" s="3" t="str">
        <f>_xlfn.XLOOKUP(A893,'Data Cleaning'!A893:A2362, 'Data Cleaning'!I893:I2362)</f>
        <v>25-34</v>
      </c>
      <c r="C893">
        <f>_xlfn.XLOOKUP(A893,'Data Cleaning'!A893:A2362,'Data Cleaning'!K893:K2362)</f>
        <v>0</v>
      </c>
      <c r="D893" t="str">
        <f>_xlfn.XLOOKUP(A893,'Data Cleaning'!A893:A2362, 'Data Cleaning'!D893:D2362)</f>
        <v>Below College</v>
      </c>
      <c r="E893" s="3" t="str">
        <f>_xlfn.XLOOKUP(A893,'Data Cleaning'!A893:A2362, 'Data Cleaning'!E893:E2362)</f>
        <v>Married</v>
      </c>
      <c r="F893" t="str">
        <f>_xlfn.XLOOKUP(A893,'Data Cleaning'!A893:A2362, 'Data Cleaning'!F893:F2362)</f>
        <v>High</v>
      </c>
      <c r="G893" s="3" t="str">
        <f>_xlfn.XLOOKUP(A893,'Data Cleaning'!A893:A2362, 'Data Cleaning'!J893:J2362)</f>
        <v>Promoted in 1-3 years</v>
      </c>
    </row>
    <row r="894" spans="1:7" x14ac:dyDescent="0.25">
      <c r="A894" s="3">
        <v>925</v>
      </c>
      <c r="B894" s="3" t="str">
        <f>_xlfn.XLOOKUP(A894,'Data Cleaning'!A894:A2363, 'Data Cleaning'!I894:I2363)</f>
        <v>45-54</v>
      </c>
      <c r="C894">
        <f>_xlfn.XLOOKUP(A894,'Data Cleaning'!A894:A2363,'Data Cleaning'!K894:K2363)</f>
        <v>0</v>
      </c>
      <c r="D894" t="str">
        <f>_xlfn.XLOOKUP(A894,'Data Cleaning'!A894:A2363, 'Data Cleaning'!D894:D2363)</f>
        <v>Master</v>
      </c>
      <c r="E894" s="3" t="str">
        <f>_xlfn.XLOOKUP(A894,'Data Cleaning'!A894:A2363, 'Data Cleaning'!E894:E2363)</f>
        <v>Single</v>
      </c>
      <c r="F894" t="str">
        <f>_xlfn.XLOOKUP(A894,'Data Cleaning'!A894:A2363, 'Data Cleaning'!F894:F2363)</f>
        <v>None</v>
      </c>
      <c r="G894" s="3" t="str">
        <f>_xlfn.XLOOKUP(A894,'Data Cleaning'!A894:A2363, 'Data Cleaning'!J894:J2363)</f>
        <v>Promoted in 1-3 years</v>
      </c>
    </row>
    <row r="895" spans="1:7" x14ac:dyDescent="0.25">
      <c r="A895" s="3">
        <v>1399</v>
      </c>
      <c r="B895" s="3" t="str">
        <f>_xlfn.XLOOKUP(A895,'Data Cleaning'!A895:A2364, 'Data Cleaning'!I895:I2364)</f>
        <v>25-34</v>
      </c>
      <c r="C895">
        <f>_xlfn.XLOOKUP(A895,'Data Cleaning'!A895:A2364,'Data Cleaning'!K895:K2364)</f>
        <v>0</v>
      </c>
      <c r="D895" t="str">
        <f>_xlfn.XLOOKUP(A895,'Data Cleaning'!A895:A2364, 'Data Cleaning'!D895:D2364)</f>
        <v>Below College</v>
      </c>
      <c r="E895" s="3" t="str">
        <f>_xlfn.XLOOKUP(A895,'Data Cleaning'!A895:A2364, 'Data Cleaning'!E895:E2364)</f>
        <v>Married</v>
      </c>
      <c r="F895" t="str">
        <f>_xlfn.XLOOKUP(A895,'Data Cleaning'!A895:A2364, 'Data Cleaning'!F895:F2364)</f>
        <v>None</v>
      </c>
      <c r="G895" s="3" t="str">
        <f>_xlfn.XLOOKUP(A895,'Data Cleaning'!A895:A2364, 'Data Cleaning'!J895:J2364)</f>
        <v>Promoted in 1-3 years</v>
      </c>
    </row>
    <row r="896" spans="1:7" x14ac:dyDescent="0.25">
      <c r="A896" s="3">
        <v>1676</v>
      </c>
      <c r="B896" s="3" t="str">
        <f>_xlfn.XLOOKUP(A896,'Data Cleaning'!A896:A2365, 'Data Cleaning'!I896:I2365)</f>
        <v>45-54</v>
      </c>
      <c r="C896">
        <f>_xlfn.XLOOKUP(A896,'Data Cleaning'!A896:A2365,'Data Cleaning'!K896:K2365)</f>
        <v>0</v>
      </c>
      <c r="D896" t="str">
        <f>_xlfn.XLOOKUP(A896,'Data Cleaning'!A896:A2365, 'Data Cleaning'!D896:D2365)</f>
        <v>Master</v>
      </c>
      <c r="E896" s="3" t="str">
        <f>_xlfn.XLOOKUP(A896,'Data Cleaning'!A896:A2365, 'Data Cleaning'!E896:E2365)</f>
        <v>Divorced</v>
      </c>
      <c r="F896" t="str">
        <f>_xlfn.XLOOKUP(A896,'Data Cleaning'!A896:A2365, 'Data Cleaning'!F896:F2365)</f>
        <v>High</v>
      </c>
      <c r="G896" s="3" t="str">
        <f>_xlfn.XLOOKUP(A896,'Data Cleaning'!A896:A2365, 'Data Cleaning'!J896:J2365)</f>
        <v>Promoted in 1-3 years</v>
      </c>
    </row>
    <row r="897" spans="1:7" x14ac:dyDescent="0.25">
      <c r="A897" s="3">
        <v>808</v>
      </c>
      <c r="B897" s="3" t="str">
        <f>_xlfn.XLOOKUP(A897,'Data Cleaning'!A897:A2366, 'Data Cleaning'!I897:I2366)</f>
        <v>25-34</v>
      </c>
      <c r="C897">
        <f>_xlfn.XLOOKUP(A897,'Data Cleaning'!A897:A2366,'Data Cleaning'!K897:K2366)</f>
        <v>0</v>
      </c>
      <c r="D897" t="str">
        <f>_xlfn.XLOOKUP(A897,'Data Cleaning'!A897:A2366, 'Data Cleaning'!D897:D2366)</f>
        <v>College</v>
      </c>
      <c r="E897" s="3" t="str">
        <f>_xlfn.XLOOKUP(A897,'Data Cleaning'!A897:A2366, 'Data Cleaning'!E897:E2366)</f>
        <v>Married</v>
      </c>
      <c r="F897" t="str">
        <f>_xlfn.XLOOKUP(A897,'Data Cleaning'!A897:A2366, 'Data Cleaning'!F897:F2366)</f>
        <v>Low</v>
      </c>
      <c r="G897" s="3" t="str">
        <f>_xlfn.XLOOKUP(A897,'Data Cleaning'!A897:A2366, 'Data Cleaning'!J897:J2366)</f>
        <v>Promoted in 1-3 years</v>
      </c>
    </row>
    <row r="898" spans="1:7" x14ac:dyDescent="0.25">
      <c r="A898" s="3">
        <v>656</v>
      </c>
      <c r="B898" s="3" t="str">
        <f>_xlfn.XLOOKUP(A898,'Data Cleaning'!A898:A2367, 'Data Cleaning'!I898:I2367)</f>
        <v>35-44</v>
      </c>
      <c r="C898">
        <f>_xlfn.XLOOKUP(A898,'Data Cleaning'!A898:A2367,'Data Cleaning'!K898:K2367)</f>
        <v>0</v>
      </c>
      <c r="D898" t="str">
        <f>_xlfn.XLOOKUP(A898,'Data Cleaning'!A898:A2367, 'Data Cleaning'!D898:D2367)</f>
        <v>Bachelor</v>
      </c>
      <c r="E898" s="3" t="str">
        <f>_xlfn.XLOOKUP(A898,'Data Cleaning'!A898:A2367, 'Data Cleaning'!E898:E2367)</f>
        <v>Married</v>
      </c>
      <c r="F898" t="str">
        <f>_xlfn.XLOOKUP(A898,'Data Cleaning'!A898:A2367, 'Data Cleaning'!F898:F2367)</f>
        <v>Low</v>
      </c>
      <c r="G898" s="3" t="str">
        <f>_xlfn.XLOOKUP(A898,'Data Cleaning'!A898:A2367, 'Data Cleaning'!J898:J2367)</f>
        <v>Promoted in 1-3 years</v>
      </c>
    </row>
    <row r="899" spans="1:7" x14ac:dyDescent="0.25">
      <c r="A899" s="3">
        <v>585</v>
      </c>
      <c r="B899" s="3" t="str">
        <f>_xlfn.XLOOKUP(A899,'Data Cleaning'!A899:A2368, 'Data Cleaning'!I899:I2368)</f>
        <v>25-34</v>
      </c>
      <c r="C899">
        <f>_xlfn.XLOOKUP(A899,'Data Cleaning'!A899:A2368,'Data Cleaning'!K899:K2368)</f>
        <v>0</v>
      </c>
      <c r="D899" t="str">
        <f>_xlfn.XLOOKUP(A899,'Data Cleaning'!A899:A2368, 'Data Cleaning'!D899:D2368)</f>
        <v>Below College</v>
      </c>
      <c r="E899" s="3" t="str">
        <f>_xlfn.XLOOKUP(A899,'Data Cleaning'!A899:A2368, 'Data Cleaning'!E899:E2368)</f>
        <v>Single</v>
      </c>
      <c r="F899" t="str">
        <f>_xlfn.XLOOKUP(A899,'Data Cleaning'!A899:A2368, 'Data Cleaning'!F899:F2368)</f>
        <v>None</v>
      </c>
      <c r="G899" s="3" t="str">
        <f>_xlfn.XLOOKUP(A899,'Data Cleaning'!A899:A2368, 'Data Cleaning'!J899:J2368)</f>
        <v>Promoted in 1-3 years</v>
      </c>
    </row>
    <row r="900" spans="1:7" x14ac:dyDescent="0.25">
      <c r="A900" s="3">
        <v>893</v>
      </c>
      <c r="B900" s="3" t="str">
        <f>_xlfn.XLOOKUP(A900,'Data Cleaning'!A900:A2369, 'Data Cleaning'!I900:I2369)</f>
        <v>35-44</v>
      </c>
      <c r="C900">
        <f>_xlfn.XLOOKUP(A900,'Data Cleaning'!A900:A2369,'Data Cleaning'!K900:K2369)</f>
        <v>0</v>
      </c>
      <c r="D900" t="str">
        <f>_xlfn.XLOOKUP(A900,'Data Cleaning'!A900:A2369, 'Data Cleaning'!D900:D2369)</f>
        <v>Bachelor</v>
      </c>
      <c r="E900" s="3" t="str">
        <f>_xlfn.XLOOKUP(A900,'Data Cleaning'!A900:A2369, 'Data Cleaning'!E900:E2369)</f>
        <v>Married</v>
      </c>
      <c r="F900" t="str">
        <f>_xlfn.XLOOKUP(A900,'Data Cleaning'!A900:A2369, 'Data Cleaning'!F900:F2369)</f>
        <v>Low</v>
      </c>
      <c r="G900" s="3" t="str">
        <f>_xlfn.XLOOKUP(A900,'Data Cleaning'!A900:A2369, 'Data Cleaning'!J900:J2369)</f>
        <v>Promoted in 1-3 years</v>
      </c>
    </row>
    <row r="901" spans="1:7" x14ac:dyDescent="0.25">
      <c r="A901" s="3">
        <v>1987</v>
      </c>
      <c r="B901" s="3" t="str">
        <f>_xlfn.XLOOKUP(A901,'Data Cleaning'!A901:A2370, 'Data Cleaning'!I901:I2370)</f>
        <v>25-34</v>
      </c>
      <c r="C901">
        <f>_xlfn.XLOOKUP(A901,'Data Cleaning'!A901:A2370,'Data Cleaning'!K901:K2370)</f>
        <v>0</v>
      </c>
      <c r="D901" t="str">
        <f>_xlfn.XLOOKUP(A901,'Data Cleaning'!A901:A2370, 'Data Cleaning'!D901:D2370)</f>
        <v>Bachelor</v>
      </c>
      <c r="E901" s="3" t="str">
        <f>_xlfn.XLOOKUP(A901,'Data Cleaning'!A901:A2370, 'Data Cleaning'!E901:E2370)</f>
        <v>Married</v>
      </c>
      <c r="F901" t="str">
        <f>_xlfn.XLOOKUP(A901,'Data Cleaning'!A901:A2370, 'Data Cleaning'!F901:F2370)</f>
        <v>None</v>
      </c>
      <c r="G901" s="3" t="str">
        <f>_xlfn.XLOOKUP(A901,'Data Cleaning'!A901:A2370, 'Data Cleaning'!J901:J2370)</f>
        <v>Promoted in 1-3 years</v>
      </c>
    </row>
    <row r="902" spans="1:7" x14ac:dyDescent="0.25">
      <c r="A902" s="3">
        <v>2021</v>
      </c>
      <c r="B902" s="3" t="str">
        <f>_xlfn.XLOOKUP(A902,'Data Cleaning'!A902:A2371, 'Data Cleaning'!I902:I2371)</f>
        <v>18-24</v>
      </c>
      <c r="C902">
        <f>_xlfn.XLOOKUP(A902,'Data Cleaning'!A902:A2371,'Data Cleaning'!K902:K2371)</f>
        <v>0</v>
      </c>
      <c r="D902" t="str">
        <f>_xlfn.XLOOKUP(A902,'Data Cleaning'!A902:A2371, 'Data Cleaning'!D902:D2371)</f>
        <v>Below College</v>
      </c>
      <c r="E902" s="3" t="str">
        <f>_xlfn.XLOOKUP(A902,'Data Cleaning'!A902:A2371, 'Data Cleaning'!E902:E2371)</f>
        <v>Single</v>
      </c>
      <c r="F902" t="str">
        <f>_xlfn.XLOOKUP(A902,'Data Cleaning'!A902:A2371, 'Data Cleaning'!F902:F2371)</f>
        <v>None</v>
      </c>
      <c r="G902" s="3" t="str">
        <f>_xlfn.XLOOKUP(A902,'Data Cleaning'!A902:A2371, 'Data Cleaning'!J902:J2371)</f>
        <v>Promoted in 1-3 years</v>
      </c>
    </row>
    <row r="903" spans="1:7" x14ac:dyDescent="0.25">
      <c r="A903" s="3">
        <v>1996</v>
      </c>
      <c r="B903" s="3" t="str">
        <f>_xlfn.XLOOKUP(A903,'Data Cleaning'!A903:A2372, 'Data Cleaning'!I903:I2372)</f>
        <v>25-34</v>
      </c>
      <c r="C903">
        <f>_xlfn.XLOOKUP(A903,'Data Cleaning'!A903:A2372,'Data Cleaning'!K903:K2372)</f>
        <v>0</v>
      </c>
      <c r="D903" t="str">
        <f>_xlfn.XLOOKUP(A903,'Data Cleaning'!A903:A2372, 'Data Cleaning'!D903:D2372)</f>
        <v>College</v>
      </c>
      <c r="E903" s="3" t="str">
        <f>_xlfn.XLOOKUP(A903,'Data Cleaning'!A903:A2372, 'Data Cleaning'!E903:E2372)</f>
        <v>Married</v>
      </c>
      <c r="F903" t="str">
        <f>_xlfn.XLOOKUP(A903,'Data Cleaning'!A903:A2372, 'Data Cleaning'!F903:F2372)</f>
        <v>Low</v>
      </c>
      <c r="G903" s="3" t="str">
        <f>_xlfn.XLOOKUP(A903,'Data Cleaning'!A903:A2372, 'Data Cleaning'!J903:J2372)</f>
        <v>Promoted in 1-3 years</v>
      </c>
    </row>
    <row r="904" spans="1:7" x14ac:dyDescent="0.25">
      <c r="A904" s="3">
        <v>321</v>
      </c>
      <c r="B904" s="3" t="str">
        <f>_xlfn.XLOOKUP(A904,'Data Cleaning'!A904:A2373, 'Data Cleaning'!I904:I2373)</f>
        <v>55-60</v>
      </c>
      <c r="C904">
        <f>_xlfn.XLOOKUP(A904,'Data Cleaning'!A904:A2373,'Data Cleaning'!K904:K2373)</f>
        <v>0</v>
      </c>
      <c r="D904" t="str">
        <f>_xlfn.XLOOKUP(A904,'Data Cleaning'!A904:A2373, 'Data Cleaning'!D904:D2373)</f>
        <v>College</v>
      </c>
      <c r="E904" s="3" t="str">
        <f>_xlfn.XLOOKUP(A904,'Data Cleaning'!A904:A2373, 'Data Cleaning'!E904:E2373)</f>
        <v>Married</v>
      </c>
      <c r="F904" t="str">
        <f>_xlfn.XLOOKUP(A904,'Data Cleaning'!A904:A2373, 'Data Cleaning'!F904:F2373)</f>
        <v>None</v>
      </c>
      <c r="G904" s="3" t="str">
        <f>_xlfn.XLOOKUP(A904,'Data Cleaning'!A904:A2373, 'Data Cleaning'!J904:J2373)</f>
        <v>Promoted in 1-3 years</v>
      </c>
    </row>
    <row r="905" spans="1:7" x14ac:dyDescent="0.25">
      <c r="A905" s="3">
        <v>38</v>
      </c>
      <c r="B905" s="3" t="str">
        <f>_xlfn.XLOOKUP(A905,'Data Cleaning'!A905:A2374, 'Data Cleaning'!I905:I2374)</f>
        <v>45-54</v>
      </c>
      <c r="C905">
        <f>_xlfn.XLOOKUP(A905,'Data Cleaning'!A905:A2374,'Data Cleaning'!K905:K2374)</f>
        <v>0</v>
      </c>
      <c r="D905" t="str">
        <f>_xlfn.XLOOKUP(A905,'Data Cleaning'!A905:A2374, 'Data Cleaning'!D905:D2374)</f>
        <v>Master</v>
      </c>
      <c r="E905" s="3" t="str">
        <f>_xlfn.XLOOKUP(A905,'Data Cleaning'!A905:A2374, 'Data Cleaning'!E905:E2374)</f>
        <v>Single</v>
      </c>
      <c r="F905" t="str">
        <f>_xlfn.XLOOKUP(A905,'Data Cleaning'!A905:A2374, 'Data Cleaning'!F905:F2374)</f>
        <v>None</v>
      </c>
      <c r="G905" s="3" t="str">
        <f>_xlfn.XLOOKUP(A905,'Data Cleaning'!A905:A2374, 'Data Cleaning'!J905:J2374)</f>
        <v>Promoted in 1-3 years</v>
      </c>
    </row>
    <row r="906" spans="1:7" x14ac:dyDescent="0.25">
      <c r="A906" s="3">
        <v>424</v>
      </c>
      <c r="B906" s="3" t="str">
        <f>_xlfn.XLOOKUP(A906,'Data Cleaning'!A906:A2375, 'Data Cleaning'!I906:I2375)</f>
        <v>25-34</v>
      </c>
      <c r="C906">
        <f>_xlfn.XLOOKUP(A906,'Data Cleaning'!A906:A2375,'Data Cleaning'!K906:K2375)</f>
        <v>0</v>
      </c>
      <c r="D906" t="str">
        <f>_xlfn.XLOOKUP(A906,'Data Cleaning'!A906:A2375, 'Data Cleaning'!D906:D2375)</f>
        <v>Bachelor</v>
      </c>
      <c r="E906" s="3" t="str">
        <f>_xlfn.XLOOKUP(A906,'Data Cleaning'!A906:A2375, 'Data Cleaning'!E906:E2375)</f>
        <v>Married</v>
      </c>
      <c r="F906" t="str">
        <f>_xlfn.XLOOKUP(A906,'Data Cleaning'!A906:A2375, 'Data Cleaning'!F906:F2375)</f>
        <v>None</v>
      </c>
      <c r="G906" s="3" t="str">
        <f>_xlfn.XLOOKUP(A906,'Data Cleaning'!A906:A2375, 'Data Cleaning'!J906:J2375)</f>
        <v>Promoted in 1-3 years</v>
      </c>
    </row>
    <row r="907" spans="1:7" x14ac:dyDescent="0.25">
      <c r="A907" s="3">
        <v>49</v>
      </c>
      <c r="B907" s="3" t="str">
        <f>_xlfn.XLOOKUP(A907,'Data Cleaning'!A907:A2376, 'Data Cleaning'!I907:I2376)</f>
        <v>35-44</v>
      </c>
      <c r="C907">
        <f>_xlfn.XLOOKUP(A907,'Data Cleaning'!A907:A2376,'Data Cleaning'!K907:K2376)</f>
        <v>0</v>
      </c>
      <c r="D907" t="str">
        <f>_xlfn.XLOOKUP(A907,'Data Cleaning'!A907:A2376, 'Data Cleaning'!D907:D2376)</f>
        <v>Bachelor</v>
      </c>
      <c r="E907" s="3" t="str">
        <f>_xlfn.XLOOKUP(A907,'Data Cleaning'!A907:A2376, 'Data Cleaning'!E907:E2376)</f>
        <v>Married</v>
      </c>
      <c r="F907" t="str">
        <f>_xlfn.XLOOKUP(A907,'Data Cleaning'!A907:A2376, 'Data Cleaning'!F907:F2376)</f>
        <v>None</v>
      </c>
      <c r="G907" s="3" t="str">
        <f>_xlfn.XLOOKUP(A907,'Data Cleaning'!A907:A2376, 'Data Cleaning'!J907:J2376)</f>
        <v>Promoted in 1-3 years</v>
      </c>
    </row>
    <row r="908" spans="1:7" x14ac:dyDescent="0.25">
      <c r="A908" s="3">
        <v>732</v>
      </c>
      <c r="B908" s="3" t="str">
        <f>_xlfn.XLOOKUP(A908,'Data Cleaning'!A908:A2377, 'Data Cleaning'!I908:I2377)</f>
        <v>55-60</v>
      </c>
      <c r="C908">
        <f>_xlfn.XLOOKUP(A908,'Data Cleaning'!A908:A2377,'Data Cleaning'!K908:K2377)</f>
        <v>0</v>
      </c>
      <c r="D908" t="str">
        <f>_xlfn.XLOOKUP(A908,'Data Cleaning'!A908:A2377, 'Data Cleaning'!D908:D2377)</f>
        <v>Master</v>
      </c>
      <c r="E908" s="3" t="str">
        <f>_xlfn.XLOOKUP(A908,'Data Cleaning'!A908:A2377, 'Data Cleaning'!E908:E2377)</f>
        <v>Single</v>
      </c>
      <c r="F908" t="str">
        <f>_xlfn.XLOOKUP(A908,'Data Cleaning'!A908:A2377, 'Data Cleaning'!F908:F2377)</f>
        <v>None</v>
      </c>
      <c r="G908" s="3" t="str">
        <f>_xlfn.XLOOKUP(A908,'Data Cleaning'!A908:A2377, 'Data Cleaning'!J908:J2377)</f>
        <v>Promoted in 1-3 years</v>
      </c>
    </row>
    <row r="909" spans="1:7" x14ac:dyDescent="0.25">
      <c r="A909" s="3">
        <v>1779</v>
      </c>
      <c r="B909" s="3" t="str">
        <f>_xlfn.XLOOKUP(A909,'Data Cleaning'!A909:A2378, 'Data Cleaning'!I909:I2378)</f>
        <v>25-34</v>
      </c>
      <c r="C909">
        <f>_xlfn.XLOOKUP(A909,'Data Cleaning'!A909:A2378,'Data Cleaning'!K909:K2378)</f>
        <v>0</v>
      </c>
      <c r="D909" t="str">
        <f>_xlfn.XLOOKUP(A909,'Data Cleaning'!A909:A2378, 'Data Cleaning'!D909:D2378)</f>
        <v>College</v>
      </c>
      <c r="E909" s="3" t="str">
        <f>_xlfn.XLOOKUP(A909,'Data Cleaning'!A909:A2378, 'Data Cleaning'!E909:E2378)</f>
        <v>Single</v>
      </c>
      <c r="F909" t="str">
        <f>_xlfn.XLOOKUP(A909,'Data Cleaning'!A909:A2378, 'Data Cleaning'!F909:F2378)</f>
        <v>None</v>
      </c>
      <c r="G909" s="3" t="str">
        <f>_xlfn.XLOOKUP(A909,'Data Cleaning'!A909:A2378, 'Data Cleaning'!J909:J2378)</f>
        <v>Promoted in 1-3 years</v>
      </c>
    </row>
    <row r="910" spans="1:7" x14ac:dyDescent="0.25">
      <c r="A910" s="3">
        <v>106</v>
      </c>
      <c r="B910" s="3" t="str">
        <f>_xlfn.XLOOKUP(A910,'Data Cleaning'!A910:A2379, 'Data Cleaning'!I910:I2379)</f>
        <v>55-60</v>
      </c>
      <c r="C910">
        <f>_xlfn.XLOOKUP(A910,'Data Cleaning'!A910:A2379,'Data Cleaning'!K910:K2379)</f>
        <v>0</v>
      </c>
      <c r="D910" t="str">
        <f>_xlfn.XLOOKUP(A910,'Data Cleaning'!A910:A2379, 'Data Cleaning'!D910:D2379)</f>
        <v>College</v>
      </c>
      <c r="E910" s="3" t="str">
        <f>_xlfn.XLOOKUP(A910,'Data Cleaning'!A910:A2379, 'Data Cleaning'!E910:E2379)</f>
        <v>Married</v>
      </c>
      <c r="F910" t="str">
        <f>_xlfn.XLOOKUP(A910,'Data Cleaning'!A910:A2379, 'Data Cleaning'!F910:F2379)</f>
        <v>Low</v>
      </c>
      <c r="G910" s="3" t="str">
        <f>_xlfn.XLOOKUP(A910,'Data Cleaning'!A910:A2379, 'Data Cleaning'!J910:J2379)</f>
        <v>Promoted in 1-3 years</v>
      </c>
    </row>
    <row r="911" spans="1:7" x14ac:dyDescent="0.25">
      <c r="A911" s="3">
        <v>944</v>
      </c>
      <c r="B911" s="3" t="str">
        <f>_xlfn.XLOOKUP(A911,'Data Cleaning'!A911:A2380, 'Data Cleaning'!I911:I2380)</f>
        <v>45-54</v>
      </c>
      <c r="C911">
        <f>_xlfn.XLOOKUP(A911,'Data Cleaning'!A911:A2380,'Data Cleaning'!K911:K2380)</f>
        <v>0</v>
      </c>
      <c r="D911" t="str">
        <f>_xlfn.XLOOKUP(A911,'Data Cleaning'!A911:A2380, 'Data Cleaning'!D911:D2380)</f>
        <v>College</v>
      </c>
      <c r="E911" s="3" t="str">
        <f>_xlfn.XLOOKUP(A911,'Data Cleaning'!A911:A2380, 'Data Cleaning'!E911:E2380)</f>
        <v>Married</v>
      </c>
      <c r="F911" t="str">
        <f>_xlfn.XLOOKUP(A911,'Data Cleaning'!A911:A2380, 'Data Cleaning'!F911:F2380)</f>
        <v>Low</v>
      </c>
      <c r="G911" s="3" t="str">
        <f>_xlfn.XLOOKUP(A911,'Data Cleaning'!A911:A2380, 'Data Cleaning'!J911:J2380)</f>
        <v>Promoted in 1-3 years</v>
      </c>
    </row>
    <row r="912" spans="1:7" x14ac:dyDescent="0.25">
      <c r="A912" s="3">
        <v>336</v>
      </c>
      <c r="B912" s="3" t="str">
        <f>_xlfn.XLOOKUP(A912,'Data Cleaning'!A912:A2381, 'Data Cleaning'!I912:I2381)</f>
        <v>45-54</v>
      </c>
      <c r="C912">
        <f>_xlfn.XLOOKUP(A912,'Data Cleaning'!A912:A2381,'Data Cleaning'!K912:K2381)</f>
        <v>0</v>
      </c>
      <c r="D912" t="str">
        <f>_xlfn.XLOOKUP(A912,'Data Cleaning'!A912:A2381, 'Data Cleaning'!D912:D2381)</f>
        <v>Bachelor</v>
      </c>
      <c r="E912" s="3" t="str">
        <f>_xlfn.XLOOKUP(A912,'Data Cleaning'!A912:A2381, 'Data Cleaning'!E912:E2381)</f>
        <v>Married</v>
      </c>
      <c r="F912" t="str">
        <f>_xlfn.XLOOKUP(A912,'Data Cleaning'!A912:A2381, 'Data Cleaning'!F912:F2381)</f>
        <v>Low</v>
      </c>
      <c r="G912" s="3" t="str">
        <f>_xlfn.XLOOKUP(A912,'Data Cleaning'!A912:A2381, 'Data Cleaning'!J912:J2381)</f>
        <v>Promoted in 1-3 years</v>
      </c>
    </row>
    <row r="913" spans="1:7" x14ac:dyDescent="0.25">
      <c r="A913" s="3">
        <v>1608</v>
      </c>
      <c r="B913" s="3" t="str">
        <f>_xlfn.XLOOKUP(A913,'Data Cleaning'!A913:A2382, 'Data Cleaning'!I913:I2382)</f>
        <v>35-44</v>
      </c>
      <c r="C913">
        <f>_xlfn.XLOOKUP(A913,'Data Cleaning'!A913:A2382,'Data Cleaning'!K913:K2382)</f>
        <v>0</v>
      </c>
      <c r="D913" t="str">
        <f>_xlfn.XLOOKUP(A913,'Data Cleaning'!A913:A2382, 'Data Cleaning'!D913:D2382)</f>
        <v>Bachelor</v>
      </c>
      <c r="E913" s="3" t="str">
        <f>_xlfn.XLOOKUP(A913,'Data Cleaning'!A913:A2382, 'Data Cleaning'!E913:E2382)</f>
        <v>Divorced</v>
      </c>
      <c r="F913" t="str">
        <f>_xlfn.XLOOKUP(A913,'Data Cleaning'!A913:A2382, 'Data Cleaning'!F913:F2382)</f>
        <v>Low</v>
      </c>
      <c r="G913" s="3" t="str">
        <f>_xlfn.XLOOKUP(A913,'Data Cleaning'!A913:A2382, 'Data Cleaning'!J913:J2382)</f>
        <v>Promoted in 1-3 years</v>
      </c>
    </row>
    <row r="914" spans="1:7" x14ac:dyDescent="0.25">
      <c r="A914" s="3">
        <v>1088</v>
      </c>
      <c r="B914" s="3" t="str">
        <f>_xlfn.XLOOKUP(A914,'Data Cleaning'!A914:A2383, 'Data Cleaning'!I914:I2383)</f>
        <v>35-44</v>
      </c>
      <c r="C914">
        <f>_xlfn.XLOOKUP(A914,'Data Cleaning'!A914:A2383,'Data Cleaning'!K914:K2383)</f>
        <v>0</v>
      </c>
      <c r="D914" t="str">
        <f>_xlfn.XLOOKUP(A914,'Data Cleaning'!A914:A2383, 'Data Cleaning'!D914:D2383)</f>
        <v>Below College</v>
      </c>
      <c r="E914" s="3" t="str">
        <f>_xlfn.XLOOKUP(A914,'Data Cleaning'!A914:A2383, 'Data Cleaning'!E914:E2383)</f>
        <v>Married</v>
      </c>
      <c r="F914" t="str">
        <f>_xlfn.XLOOKUP(A914,'Data Cleaning'!A914:A2383, 'Data Cleaning'!F914:F2383)</f>
        <v>Low</v>
      </c>
      <c r="G914" s="3" t="str">
        <f>_xlfn.XLOOKUP(A914,'Data Cleaning'!A914:A2383, 'Data Cleaning'!J914:J2383)</f>
        <v>Promoted in 1-3 years</v>
      </c>
    </row>
    <row r="915" spans="1:7" x14ac:dyDescent="0.25">
      <c r="A915" s="3">
        <v>2015</v>
      </c>
      <c r="B915" s="3" t="str">
        <f>_xlfn.XLOOKUP(A915,'Data Cleaning'!A915:A2384, 'Data Cleaning'!I915:I2384)</f>
        <v>35-44</v>
      </c>
      <c r="C915">
        <f>_xlfn.XLOOKUP(A915,'Data Cleaning'!A915:A2384,'Data Cleaning'!K915:K2384)</f>
        <v>0</v>
      </c>
      <c r="D915" t="str">
        <f>_xlfn.XLOOKUP(A915,'Data Cleaning'!A915:A2384, 'Data Cleaning'!D915:D2384)</f>
        <v>Bachelor</v>
      </c>
      <c r="E915" s="3" t="str">
        <f>_xlfn.XLOOKUP(A915,'Data Cleaning'!A915:A2384, 'Data Cleaning'!E915:E2384)</f>
        <v>Married</v>
      </c>
      <c r="F915" t="str">
        <f>_xlfn.XLOOKUP(A915,'Data Cleaning'!A915:A2384, 'Data Cleaning'!F915:F2384)</f>
        <v>Low</v>
      </c>
      <c r="G915" s="3" t="str">
        <f>_xlfn.XLOOKUP(A915,'Data Cleaning'!A915:A2384, 'Data Cleaning'!J915:J2384)</f>
        <v>Promoted in 1-3 years</v>
      </c>
    </row>
    <row r="916" spans="1:7" x14ac:dyDescent="0.25">
      <c r="A916" s="3">
        <v>1656</v>
      </c>
      <c r="B916" s="3" t="str">
        <f>_xlfn.XLOOKUP(A916,'Data Cleaning'!A916:A2385, 'Data Cleaning'!I916:I2385)</f>
        <v>45-54</v>
      </c>
      <c r="C916">
        <f>_xlfn.XLOOKUP(A916,'Data Cleaning'!A916:A2385,'Data Cleaning'!K916:K2385)</f>
        <v>0</v>
      </c>
      <c r="D916" t="str">
        <f>_xlfn.XLOOKUP(A916,'Data Cleaning'!A916:A2385, 'Data Cleaning'!D916:D2385)</f>
        <v>Doctor</v>
      </c>
      <c r="E916" s="3" t="str">
        <f>_xlfn.XLOOKUP(A916,'Data Cleaning'!A916:A2385, 'Data Cleaning'!E916:E2385)</f>
        <v>Divorced</v>
      </c>
      <c r="F916" t="str">
        <f>_xlfn.XLOOKUP(A916,'Data Cleaning'!A916:A2385, 'Data Cleaning'!F916:F2385)</f>
        <v>High</v>
      </c>
      <c r="G916" s="3" t="str">
        <f>_xlfn.XLOOKUP(A916,'Data Cleaning'!A916:A2385, 'Data Cleaning'!J916:J2385)</f>
        <v>Promoted in 1-3 years</v>
      </c>
    </row>
    <row r="917" spans="1:7" x14ac:dyDescent="0.25">
      <c r="A917" s="3">
        <v>1005</v>
      </c>
      <c r="B917" s="3" t="str">
        <f>_xlfn.XLOOKUP(A917,'Data Cleaning'!A917:A2386, 'Data Cleaning'!I917:I2386)</f>
        <v>45-54</v>
      </c>
      <c r="C917">
        <f>_xlfn.XLOOKUP(A917,'Data Cleaning'!A917:A2386,'Data Cleaning'!K917:K2386)</f>
        <v>0</v>
      </c>
      <c r="D917" t="str">
        <f>_xlfn.XLOOKUP(A917,'Data Cleaning'!A917:A2386, 'Data Cleaning'!D917:D2386)</f>
        <v>Bachelor</v>
      </c>
      <c r="E917" s="3" t="str">
        <f>_xlfn.XLOOKUP(A917,'Data Cleaning'!A917:A2386, 'Data Cleaning'!E917:E2386)</f>
        <v>Married</v>
      </c>
      <c r="F917" t="str">
        <f>_xlfn.XLOOKUP(A917,'Data Cleaning'!A917:A2386, 'Data Cleaning'!F917:F2386)</f>
        <v>Low</v>
      </c>
      <c r="G917" s="3" t="str">
        <f>_xlfn.XLOOKUP(A917,'Data Cleaning'!A917:A2386, 'Data Cleaning'!J917:J2386)</f>
        <v>Promoted in 1-3 years</v>
      </c>
    </row>
    <row r="918" spans="1:7" x14ac:dyDescent="0.25">
      <c r="A918" s="3">
        <v>1989</v>
      </c>
      <c r="B918" s="3" t="str">
        <f>_xlfn.XLOOKUP(A918,'Data Cleaning'!A918:A2387, 'Data Cleaning'!I918:I2387)</f>
        <v>25-34</v>
      </c>
      <c r="C918">
        <f>_xlfn.XLOOKUP(A918,'Data Cleaning'!A918:A2387,'Data Cleaning'!K918:K2387)</f>
        <v>0</v>
      </c>
      <c r="D918" t="str">
        <f>_xlfn.XLOOKUP(A918,'Data Cleaning'!A918:A2387, 'Data Cleaning'!D918:D2387)</f>
        <v>College</v>
      </c>
      <c r="E918" s="3" t="str">
        <f>_xlfn.XLOOKUP(A918,'Data Cleaning'!A918:A2387, 'Data Cleaning'!E918:E2387)</f>
        <v>Married</v>
      </c>
      <c r="F918" t="str">
        <f>_xlfn.XLOOKUP(A918,'Data Cleaning'!A918:A2387, 'Data Cleaning'!F918:F2387)</f>
        <v>None</v>
      </c>
      <c r="G918" s="3" t="str">
        <f>_xlfn.XLOOKUP(A918,'Data Cleaning'!A918:A2387, 'Data Cleaning'!J918:J2387)</f>
        <v>Promoted in 1-3 years</v>
      </c>
    </row>
    <row r="919" spans="1:7" x14ac:dyDescent="0.25">
      <c r="A919" s="3">
        <v>1611</v>
      </c>
      <c r="B919" s="3" t="str">
        <f>_xlfn.XLOOKUP(A919,'Data Cleaning'!A919:A2388, 'Data Cleaning'!I919:I2388)</f>
        <v>45-54</v>
      </c>
      <c r="C919">
        <f>_xlfn.XLOOKUP(A919,'Data Cleaning'!A919:A2388,'Data Cleaning'!K919:K2388)</f>
        <v>0</v>
      </c>
      <c r="D919" t="str">
        <f>_xlfn.XLOOKUP(A919,'Data Cleaning'!A919:A2388, 'Data Cleaning'!D919:D2388)</f>
        <v>Doctor</v>
      </c>
      <c r="E919" s="3" t="str">
        <f>_xlfn.XLOOKUP(A919,'Data Cleaning'!A919:A2388, 'Data Cleaning'!E919:E2388)</f>
        <v>Single</v>
      </c>
      <c r="F919" t="str">
        <f>_xlfn.XLOOKUP(A919,'Data Cleaning'!A919:A2388, 'Data Cleaning'!F919:F2388)</f>
        <v>None</v>
      </c>
      <c r="G919" s="3" t="str">
        <f>_xlfn.XLOOKUP(A919,'Data Cleaning'!A919:A2388, 'Data Cleaning'!J919:J2388)</f>
        <v>Promoted in 1-3 years</v>
      </c>
    </row>
    <row r="920" spans="1:7" x14ac:dyDescent="0.25">
      <c r="A920" s="3">
        <v>1586</v>
      </c>
      <c r="B920" s="3" t="str">
        <f>_xlfn.XLOOKUP(A920,'Data Cleaning'!A920:A2389, 'Data Cleaning'!I920:I2389)</f>
        <v>25-34</v>
      </c>
      <c r="C920">
        <f>_xlfn.XLOOKUP(A920,'Data Cleaning'!A920:A2389,'Data Cleaning'!K920:K2389)</f>
        <v>0</v>
      </c>
      <c r="D920" t="str">
        <f>_xlfn.XLOOKUP(A920,'Data Cleaning'!A920:A2389, 'Data Cleaning'!D920:D2389)</f>
        <v>Below College</v>
      </c>
      <c r="E920" s="3" t="str">
        <f>_xlfn.XLOOKUP(A920,'Data Cleaning'!A920:A2389, 'Data Cleaning'!E920:E2389)</f>
        <v>Single</v>
      </c>
      <c r="F920" t="str">
        <f>_xlfn.XLOOKUP(A920,'Data Cleaning'!A920:A2389, 'Data Cleaning'!F920:F2389)</f>
        <v>None</v>
      </c>
      <c r="G920" s="3" t="str">
        <f>_xlfn.XLOOKUP(A920,'Data Cleaning'!A920:A2389, 'Data Cleaning'!J920:J2389)</f>
        <v>Promoted in 1-3 years</v>
      </c>
    </row>
    <row r="921" spans="1:7" x14ac:dyDescent="0.25">
      <c r="A921" s="3">
        <v>1435</v>
      </c>
      <c r="B921" s="3" t="str">
        <f>_xlfn.XLOOKUP(A921,'Data Cleaning'!A921:A2390, 'Data Cleaning'!I921:I2390)</f>
        <v>35-44</v>
      </c>
      <c r="C921">
        <f>_xlfn.XLOOKUP(A921,'Data Cleaning'!A921:A2390,'Data Cleaning'!K921:K2390)</f>
        <v>0</v>
      </c>
      <c r="D921" t="str">
        <f>_xlfn.XLOOKUP(A921,'Data Cleaning'!A921:A2390, 'Data Cleaning'!D921:D2390)</f>
        <v>Master</v>
      </c>
      <c r="E921" s="3" t="str">
        <f>_xlfn.XLOOKUP(A921,'Data Cleaning'!A921:A2390, 'Data Cleaning'!E921:E2390)</f>
        <v>Single</v>
      </c>
      <c r="F921" t="str">
        <f>_xlfn.XLOOKUP(A921,'Data Cleaning'!A921:A2390, 'Data Cleaning'!F921:F2390)</f>
        <v>None</v>
      </c>
      <c r="G921" s="3" t="str">
        <f>_xlfn.XLOOKUP(A921,'Data Cleaning'!A921:A2390, 'Data Cleaning'!J921:J2390)</f>
        <v>Promoted in 1-3 years</v>
      </c>
    </row>
    <row r="922" spans="1:7" x14ac:dyDescent="0.25">
      <c r="A922" s="3">
        <v>536</v>
      </c>
      <c r="B922" s="3" t="str">
        <f>_xlfn.XLOOKUP(A922,'Data Cleaning'!A922:A2391, 'Data Cleaning'!I922:I2391)</f>
        <v>25-34</v>
      </c>
      <c r="C922">
        <f>_xlfn.XLOOKUP(A922,'Data Cleaning'!A922:A2391,'Data Cleaning'!K922:K2391)</f>
        <v>0</v>
      </c>
      <c r="D922" t="str">
        <f>_xlfn.XLOOKUP(A922,'Data Cleaning'!A922:A2391, 'Data Cleaning'!D922:D2391)</f>
        <v>College</v>
      </c>
      <c r="E922" s="3" t="str">
        <f>_xlfn.XLOOKUP(A922,'Data Cleaning'!A922:A2391, 'Data Cleaning'!E922:E2391)</f>
        <v>Divorced</v>
      </c>
      <c r="F922" t="str">
        <f>_xlfn.XLOOKUP(A922,'Data Cleaning'!A922:A2391, 'Data Cleaning'!F922:F2391)</f>
        <v>Low</v>
      </c>
      <c r="G922" s="3" t="str">
        <f>_xlfn.XLOOKUP(A922,'Data Cleaning'!A922:A2391, 'Data Cleaning'!J922:J2391)</f>
        <v>Promoted in 1-3 years</v>
      </c>
    </row>
    <row r="923" spans="1:7" x14ac:dyDescent="0.25">
      <c r="A923" s="3">
        <v>441</v>
      </c>
      <c r="B923" s="3" t="str">
        <f>_xlfn.XLOOKUP(A923,'Data Cleaning'!A923:A2392, 'Data Cleaning'!I923:I2392)</f>
        <v>25-34</v>
      </c>
      <c r="C923">
        <f>_xlfn.XLOOKUP(A923,'Data Cleaning'!A923:A2392,'Data Cleaning'!K923:K2392)</f>
        <v>0</v>
      </c>
      <c r="D923" t="str">
        <f>_xlfn.XLOOKUP(A923,'Data Cleaning'!A923:A2392, 'Data Cleaning'!D923:D2392)</f>
        <v>College</v>
      </c>
      <c r="E923" s="3" t="str">
        <f>_xlfn.XLOOKUP(A923,'Data Cleaning'!A923:A2392, 'Data Cleaning'!E923:E2392)</f>
        <v>Married</v>
      </c>
      <c r="F923" t="str">
        <f>_xlfn.XLOOKUP(A923,'Data Cleaning'!A923:A2392, 'Data Cleaning'!F923:F2392)</f>
        <v>Mid</v>
      </c>
      <c r="G923" s="3" t="str">
        <f>_xlfn.XLOOKUP(A923,'Data Cleaning'!A923:A2392, 'Data Cleaning'!J923:J2392)</f>
        <v>Promoted in 1-3 years</v>
      </c>
    </row>
    <row r="924" spans="1:7" x14ac:dyDescent="0.25">
      <c r="A924" s="3">
        <v>385</v>
      </c>
      <c r="B924" s="3" t="str">
        <f>_xlfn.XLOOKUP(A924,'Data Cleaning'!A924:A2393, 'Data Cleaning'!I924:I2393)</f>
        <v>45-54</v>
      </c>
      <c r="C924">
        <f>_xlfn.XLOOKUP(A924,'Data Cleaning'!A924:A2393,'Data Cleaning'!K924:K2393)</f>
        <v>0</v>
      </c>
      <c r="D924" t="str">
        <f>_xlfn.XLOOKUP(A924,'Data Cleaning'!A924:A2393, 'Data Cleaning'!D924:D2393)</f>
        <v>Below College</v>
      </c>
      <c r="E924" s="3" t="str">
        <f>_xlfn.XLOOKUP(A924,'Data Cleaning'!A924:A2393, 'Data Cleaning'!E924:E2393)</f>
        <v>Divorced</v>
      </c>
      <c r="F924" t="str">
        <f>_xlfn.XLOOKUP(A924,'Data Cleaning'!A924:A2393, 'Data Cleaning'!F924:F2393)</f>
        <v>Mid</v>
      </c>
      <c r="G924" s="3" t="str">
        <f>_xlfn.XLOOKUP(A924,'Data Cleaning'!A924:A2393, 'Data Cleaning'!J924:J2393)</f>
        <v>Promoted in 1-3 years</v>
      </c>
    </row>
    <row r="925" spans="1:7" x14ac:dyDescent="0.25">
      <c r="A925" s="3">
        <v>762</v>
      </c>
      <c r="B925" s="3" t="str">
        <f>_xlfn.XLOOKUP(A925,'Data Cleaning'!A925:A2394, 'Data Cleaning'!I925:I2394)</f>
        <v>55-60</v>
      </c>
      <c r="C925">
        <f>_xlfn.XLOOKUP(A925,'Data Cleaning'!A925:A2394,'Data Cleaning'!K925:K2394)</f>
        <v>0</v>
      </c>
      <c r="D925" t="str">
        <f>_xlfn.XLOOKUP(A925,'Data Cleaning'!A925:A2394, 'Data Cleaning'!D925:D2394)</f>
        <v>Bachelor</v>
      </c>
      <c r="E925" s="3" t="str">
        <f>_xlfn.XLOOKUP(A925,'Data Cleaning'!A925:A2394, 'Data Cleaning'!E925:E2394)</f>
        <v>Married</v>
      </c>
      <c r="F925" t="str">
        <f>_xlfn.XLOOKUP(A925,'Data Cleaning'!A925:A2394, 'Data Cleaning'!F925:F2394)</f>
        <v>None</v>
      </c>
      <c r="G925" s="3" t="str">
        <f>_xlfn.XLOOKUP(A925,'Data Cleaning'!A925:A2394, 'Data Cleaning'!J925:J2394)</f>
        <v>Promoted in 1-3 years</v>
      </c>
    </row>
    <row r="926" spans="1:7" x14ac:dyDescent="0.25">
      <c r="A926" s="3">
        <v>41</v>
      </c>
      <c r="B926" s="3" t="str">
        <f>_xlfn.XLOOKUP(A926,'Data Cleaning'!A926:A2395, 'Data Cleaning'!I926:I2395)</f>
        <v>25-34</v>
      </c>
      <c r="C926">
        <f>_xlfn.XLOOKUP(A926,'Data Cleaning'!A926:A2395,'Data Cleaning'!K926:K2395)</f>
        <v>0</v>
      </c>
      <c r="D926" t="str">
        <f>_xlfn.XLOOKUP(A926,'Data Cleaning'!A926:A2395, 'Data Cleaning'!D926:D2395)</f>
        <v>College</v>
      </c>
      <c r="E926" s="3" t="str">
        <f>_xlfn.XLOOKUP(A926,'Data Cleaning'!A926:A2395, 'Data Cleaning'!E926:E2395)</f>
        <v>Single</v>
      </c>
      <c r="F926" t="str">
        <f>_xlfn.XLOOKUP(A926,'Data Cleaning'!A926:A2395, 'Data Cleaning'!F926:F2395)</f>
        <v>None</v>
      </c>
      <c r="G926" s="3" t="str">
        <f>_xlfn.XLOOKUP(A926,'Data Cleaning'!A926:A2395, 'Data Cleaning'!J926:J2395)</f>
        <v>Promoted in 1-3 years</v>
      </c>
    </row>
    <row r="927" spans="1:7" x14ac:dyDescent="0.25">
      <c r="A927" s="3">
        <v>1150</v>
      </c>
      <c r="B927" s="3" t="str">
        <f>_xlfn.XLOOKUP(A927,'Data Cleaning'!A927:A2396, 'Data Cleaning'!I927:I2396)</f>
        <v>25-34</v>
      </c>
      <c r="C927">
        <f>_xlfn.XLOOKUP(A927,'Data Cleaning'!A927:A2396,'Data Cleaning'!K927:K2396)</f>
        <v>0</v>
      </c>
      <c r="D927" t="str">
        <f>_xlfn.XLOOKUP(A927,'Data Cleaning'!A927:A2396, 'Data Cleaning'!D927:D2396)</f>
        <v>Below College</v>
      </c>
      <c r="E927" s="3" t="str">
        <f>_xlfn.XLOOKUP(A927,'Data Cleaning'!A927:A2396, 'Data Cleaning'!E927:E2396)</f>
        <v>Married</v>
      </c>
      <c r="F927" t="str">
        <f>_xlfn.XLOOKUP(A927,'Data Cleaning'!A927:A2396, 'Data Cleaning'!F927:F2396)</f>
        <v>Low</v>
      </c>
      <c r="G927" s="3" t="str">
        <f>_xlfn.XLOOKUP(A927,'Data Cleaning'!A927:A2396, 'Data Cleaning'!J927:J2396)</f>
        <v>Promoted in 1-3 years</v>
      </c>
    </row>
    <row r="928" spans="1:7" x14ac:dyDescent="0.25">
      <c r="A928" s="3">
        <v>1344</v>
      </c>
      <c r="B928" s="3" t="str">
        <f>_xlfn.XLOOKUP(A928,'Data Cleaning'!A928:A2397, 'Data Cleaning'!I928:I2397)</f>
        <v>25-34</v>
      </c>
      <c r="C928">
        <f>_xlfn.XLOOKUP(A928,'Data Cleaning'!A928:A2397,'Data Cleaning'!K928:K2397)</f>
        <v>0</v>
      </c>
      <c r="D928" t="str">
        <f>_xlfn.XLOOKUP(A928,'Data Cleaning'!A928:A2397, 'Data Cleaning'!D928:D2397)</f>
        <v>Bachelor</v>
      </c>
      <c r="E928" s="3" t="str">
        <f>_xlfn.XLOOKUP(A928,'Data Cleaning'!A928:A2397, 'Data Cleaning'!E928:E2397)</f>
        <v>Divorced</v>
      </c>
      <c r="F928" t="str">
        <f>_xlfn.XLOOKUP(A928,'Data Cleaning'!A928:A2397, 'Data Cleaning'!F928:F2397)</f>
        <v>Low</v>
      </c>
      <c r="G928" s="3" t="str">
        <f>_xlfn.XLOOKUP(A928,'Data Cleaning'!A928:A2397, 'Data Cleaning'!J928:J2397)</f>
        <v>Promoted in 1-3 years</v>
      </c>
    </row>
    <row r="929" spans="1:7" x14ac:dyDescent="0.25">
      <c r="A929" s="3">
        <v>1121</v>
      </c>
      <c r="B929" s="3" t="str">
        <f>_xlfn.XLOOKUP(A929,'Data Cleaning'!A929:A2398, 'Data Cleaning'!I929:I2398)</f>
        <v>25-34</v>
      </c>
      <c r="C929">
        <f>_xlfn.XLOOKUP(A929,'Data Cleaning'!A929:A2398,'Data Cleaning'!K929:K2398)</f>
        <v>0</v>
      </c>
      <c r="D929" t="str">
        <f>_xlfn.XLOOKUP(A929,'Data Cleaning'!A929:A2398, 'Data Cleaning'!D929:D2398)</f>
        <v>Bachelor</v>
      </c>
      <c r="E929" s="3" t="str">
        <f>_xlfn.XLOOKUP(A929,'Data Cleaning'!A929:A2398, 'Data Cleaning'!E929:E2398)</f>
        <v>Divorced</v>
      </c>
      <c r="F929" t="str">
        <f>_xlfn.XLOOKUP(A929,'Data Cleaning'!A929:A2398, 'Data Cleaning'!F929:F2398)</f>
        <v>High</v>
      </c>
      <c r="G929" s="3" t="str">
        <f>_xlfn.XLOOKUP(A929,'Data Cleaning'!A929:A2398, 'Data Cleaning'!J929:J2398)</f>
        <v>Promoted in 1-3 years</v>
      </c>
    </row>
    <row r="930" spans="1:7" x14ac:dyDescent="0.25">
      <c r="A930" s="3">
        <v>1617</v>
      </c>
      <c r="B930" s="3" t="str">
        <f>_xlfn.XLOOKUP(A930,'Data Cleaning'!A930:A2399, 'Data Cleaning'!I930:I2399)</f>
        <v>45-54</v>
      </c>
      <c r="C930">
        <f>_xlfn.XLOOKUP(A930,'Data Cleaning'!A930:A2399,'Data Cleaning'!K930:K2399)</f>
        <v>0</v>
      </c>
      <c r="D930" t="str">
        <f>_xlfn.XLOOKUP(A930,'Data Cleaning'!A930:A2399, 'Data Cleaning'!D930:D2399)</f>
        <v>Master</v>
      </c>
      <c r="E930" s="3" t="str">
        <f>_xlfn.XLOOKUP(A930,'Data Cleaning'!A930:A2399, 'Data Cleaning'!E930:E2399)</f>
        <v>Married</v>
      </c>
      <c r="F930" t="str">
        <f>_xlfn.XLOOKUP(A930,'Data Cleaning'!A930:A2399, 'Data Cleaning'!F930:F2399)</f>
        <v>Low</v>
      </c>
      <c r="G930" s="3" t="str">
        <f>_xlfn.XLOOKUP(A930,'Data Cleaning'!A930:A2399, 'Data Cleaning'!J930:J2399)</f>
        <v>Promoted in 1-3 years</v>
      </c>
    </row>
    <row r="931" spans="1:7" x14ac:dyDescent="0.25">
      <c r="A931" s="3">
        <v>1671</v>
      </c>
      <c r="B931" s="3" t="str">
        <f>_xlfn.XLOOKUP(A931,'Data Cleaning'!A931:A2400, 'Data Cleaning'!I931:I2400)</f>
        <v>25-34</v>
      </c>
      <c r="C931">
        <f>_xlfn.XLOOKUP(A931,'Data Cleaning'!A931:A2400,'Data Cleaning'!K931:K2400)</f>
        <v>0</v>
      </c>
      <c r="D931" t="str">
        <f>_xlfn.XLOOKUP(A931,'Data Cleaning'!A931:A2400, 'Data Cleaning'!D931:D2400)</f>
        <v>Bachelor</v>
      </c>
      <c r="E931" s="3" t="str">
        <f>_xlfn.XLOOKUP(A931,'Data Cleaning'!A931:A2400, 'Data Cleaning'!E931:E2400)</f>
        <v>Divorced</v>
      </c>
      <c r="F931" t="str">
        <f>_xlfn.XLOOKUP(A931,'Data Cleaning'!A931:A2400, 'Data Cleaning'!F931:F2400)</f>
        <v>Mid</v>
      </c>
      <c r="G931" s="3" t="str">
        <f>_xlfn.XLOOKUP(A931,'Data Cleaning'!A931:A2400, 'Data Cleaning'!J931:J2400)</f>
        <v>Promoted in 1-3 years</v>
      </c>
    </row>
    <row r="932" spans="1:7" x14ac:dyDescent="0.25">
      <c r="A932" s="3">
        <v>1172</v>
      </c>
      <c r="B932" s="3" t="str">
        <f>_xlfn.XLOOKUP(A932,'Data Cleaning'!A932:A2401, 'Data Cleaning'!I932:I2401)</f>
        <v>35-44</v>
      </c>
      <c r="C932">
        <f>_xlfn.XLOOKUP(A932,'Data Cleaning'!A932:A2401,'Data Cleaning'!K932:K2401)</f>
        <v>0</v>
      </c>
      <c r="D932" t="str">
        <f>_xlfn.XLOOKUP(A932,'Data Cleaning'!A932:A2401, 'Data Cleaning'!D932:D2401)</f>
        <v>Master</v>
      </c>
      <c r="E932" s="3" t="str">
        <f>_xlfn.XLOOKUP(A932,'Data Cleaning'!A932:A2401, 'Data Cleaning'!E932:E2401)</f>
        <v>Married</v>
      </c>
      <c r="F932" t="str">
        <f>_xlfn.XLOOKUP(A932,'Data Cleaning'!A932:A2401, 'Data Cleaning'!F932:F2401)</f>
        <v>Low</v>
      </c>
      <c r="G932" s="3" t="str">
        <f>_xlfn.XLOOKUP(A932,'Data Cleaning'!A932:A2401, 'Data Cleaning'!J932:J2401)</f>
        <v>Promoted in 1-3 years</v>
      </c>
    </row>
    <row r="933" spans="1:7" x14ac:dyDescent="0.25">
      <c r="A933" s="3">
        <v>1015</v>
      </c>
      <c r="B933" s="3" t="str">
        <f>_xlfn.XLOOKUP(A933,'Data Cleaning'!A933:A2402, 'Data Cleaning'!I933:I2402)</f>
        <v>25-34</v>
      </c>
      <c r="C933">
        <f>_xlfn.XLOOKUP(A933,'Data Cleaning'!A933:A2402,'Data Cleaning'!K933:K2402)</f>
        <v>0</v>
      </c>
      <c r="D933" t="str">
        <f>_xlfn.XLOOKUP(A933,'Data Cleaning'!A933:A2402, 'Data Cleaning'!D933:D2402)</f>
        <v>College</v>
      </c>
      <c r="E933" s="3" t="str">
        <f>_xlfn.XLOOKUP(A933,'Data Cleaning'!A933:A2402, 'Data Cleaning'!E933:E2402)</f>
        <v>Married</v>
      </c>
      <c r="F933" t="str">
        <f>_xlfn.XLOOKUP(A933,'Data Cleaning'!A933:A2402, 'Data Cleaning'!F933:F2402)</f>
        <v>High</v>
      </c>
      <c r="G933" s="3" t="str">
        <f>_xlfn.XLOOKUP(A933,'Data Cleaning'!A933:A2402, 'Data Cleaning'!J933:J2402)</f>
        <v>Promoted in 1-3 years</v>
      </c>
    </row>
    <row r="934" spans="1:7" x14ac:dyDescent="0.25">
      <c r="A934" s="3">
        <v>1514</v>
      </c>
      <c r="B934" s="3" t="str">
        <f>_xlfn.XLOOKUP(A934,'Data Cleaning'!A934:A2403, 'Data Cleaning'!I934:I2403)</f>
        <v>25-34</v>
      </c>
      <c r="C934">
        <f>_xlfn.XLOOKUP(A934,'Data Cleaning'!A934:A2403,'Data Cleaning'!K934:K2403)</f>
        <v>0</v>
      </c>
      <c r="D934" t="str">
        <f>_xlfn.XLOOKUP(A934,'Data Cleaning'!A934:A2403, 'Data Cleaning'!D934:D2403)</f>
        <v>Below College</v>
      </c>
      <c r="E934" s="3" t="str">
        <f>_xlfn.XLOOKUP(A934,'Data Cleaning'!A934:A2403, 'Data Cleaning'!E934:E2403)</f>
        <v>Married</v>
      </c>
      <c r="F934" t="str">
        <f>_xlfn.XLOOKUP(A934,'Data Cleaning'!A934:A2403, 'Data Cleaning'!F934:F2403)</f>
        <v>Mid</v>
      </c>
      <c r="G934" s="3" t="str">
        <f>_xlfn.XLOOKUP(A934,'Data Cleaning'!A934:A2403, 'Data Cleaning'!J934:J2403)</f>
        <v>Promoted in 1-3 years</v>
      </c>
    </row>
    <row r="935" spans="1:7" x14ac:dyDescent="0.25">
      <c r="A935" s="3">
        <v>1018</v>
      </c>
      <c r="B935" s="3" t="str">
        <f>_xlfn.XLOOKUP(A935,'Data Cleaning'!A935:A2404, 'Data Cleaning'!I935:I2404)</f>
        <v>25-34</v>
      </c>
      <c r="C935">
        <f>_xlfn.XLOOKUP(A935,'Data Cleaning'!A935:A2404,'Data Cleaning'!K935:K2404)</f>
        <v>0</v>
      </c>
      <c r="D935" t="str">
        <f>_xlfn.XLOOKUP(A935,'Data Cleaning'!A935:A2404, 'Data Cleaning'!D935:D2404)</f>
        <v>College</v>
      </c>
      <c r="E935" s="3" t="str">
        <f>_xlfn.XLOOKUP(A935,'Data Cleaning'!A935:A2404, 'Data Cleaning'!E935:E2404)</f>
        <v>Married</v>
      </c>
      <c r="F935" t="str">
        <f>_xlfn.XLOOKUP(A935,'Data Cleaning'!A935:A2404, 'Data Cleaning'!F935:F2404)</f>
        <v>None</v>
      </c>
      <c r="G935" s="3" t="str">
        <f>_xlfn.XLOOKUP(A935,'Data Cleaning'!A935:A2404, 'Data Cleaning'!J935:J2404)</f>
        <v>Promoted in 1-3 years</v>
      </c>
    </row>
    <row r="936" spans="1:7" x14ac:dyDescent="0.25">
      <c r="A936" s="3">
        <v>793</v>
      </c>
      <c r="B936" s="3" t="str">
        <f>_xlfn.XLOOKUP(A936,'Data Cleaning'!A936:A2405, 'Data Cleaning'!I936:I2405)</f>
        <v>25-34</v>
      </c>
      <c r="C936">
        <f>_xlfn.XLOOKUP(A936,'Data Cleaning'!A936:A2405,'Data Cleaning'!K936:K2405)</f>
        <v>0</v>
      </c>
      <c r="D936" t="str">
        <f>_xlfn.XLOOKUP(A936,'Data Cleaning'!A936:A2405, 'Data Cleaning'!D936:D2405)</f>
        <v>Bachelor</v>
      </c>
      <c r="E936" s="3" t="str">
        <f>_xlfn.XLOOKUP(A936,'Data Cleaning'!A936:A2405, 'Data Cleaning'!E936:E2405)</f>
        <v>Married</v>
      </c>
      <c r="F936" t="str">
        <f>_xlfn.XLOOKUP(A936,'Data Cleaning'!A936:A2405, 'Data Cleaning'!F936:F2405)</f>
        <v>Low</v>
      </c>
      <c r="G936" s="3" t="str">
        <f>_xlfn.XLOOKUP(A936,'Data Cleaning'!A936:A2405, 'Data Cleaning'!J936:J2405)</f>
        <v>Promoted in 1-3 years</v>
      </c>
    </row>
    <row r="937" spans="1:7" x14ac:dyDescent="0.25">
      <c r="A937" s="3">
        <v>267</v>
      </c>
      <c r="B937" s="3" t="str">
        <f>_xlfn.XLOOKUP(A937,'Data Cleaning'!A937:A2406, 'Data Cleaning'!I937:I2406)</f>
        <v>35-44</v>
      </c>
      <c r="C937">
        <f>_xlfn.XLOOKUP(A937,'Data Cleaning'!A937:A2406,'Data Cleaning'!K937:K2406)</f>
        <v>0</v>
      </c>
      <c r="D937" t="str">
        <f>_xlfn.XLOOKUP(A937,'Data Cleaning'!A937:A2406, 'Data Cleaning'!D937:D2406)</f>
        <v>Bachelor</v>
      </c>
      <c r="E937" s="3" t="str">
        <f>_xlfn.XLOOKUP(A937,'Data Cleaning'!A937:A2406, 'Data Cleaning'!E937:E2406)</f>
        <v>Married</v>
      </c>
      <c r="F937" t="str">
        <f>_xlfn.XLOOKUP(A937,'Data Cleaning'!A937:A2406, 'Data Cleaning'!F937:F2406)</f>
        <v>Low</v>
      </c>
      <c r="G937" s="3" t="str">
        <f>_xlfn.XLOOKUP(A937,'Data Cleaning'!A937:A2406, 'Data Cleaning'!J937:J2406)</f>
        <v>Promoted in 1-3 years</v>
      </c>
    </row>
    <row r="938" spans="1:7" x14ac:dyDescent="0.25">
      <c r="A938" s="3">
        <v>1322</v>
      </c>
      <c r="B938" s="3" t="str">
        <f>_xlfn.XLOOKUP(A938,'Data Cleaning'!A938:A2407, 'Data Cleaning'!I938:I2407)</f>
        <v>35-44</v>
      </c>
      <c r="C938">
        <f>_xlfn.XLOOKUP(A938,'Data Cleaning'!A938:A2407,'Data Cleaning'!K938:K2407)</f>
        <v>0</v>
      </c>
      <c r="D938" t="str">
        <f>_xlfn.XLOOKUP(A938,'Data Cleaning'!A938:A2407, 'Data Cleaning'!D938:D2407)</f>
        <v>College</v>
      </c>
      <c r="E938" s="3" t="str">
        <f>_xlfn.XLOOKUP(A938,'Data Cleaning'!A938:A2407, 'Data Cleaning'!E938:E2407)</f>
        <v>Single</v>
      </c>
      <c r="F938" t="str">
        <f>_xlfn.XLOOKUP(A938,'Data Cleaning'!A938:A2407, 'Data Cleaning'!F938:F2407)</f>
        <v>None</v>
      </c>
      <c r="G938" s="3" t="str">
        <f>_xlfn.XLOOKUP(A938,'Data Cleaning'!A938:A2407, 'Data Cleaning'!J938:J2407)</f>
        <v>Promoted in 1-3 years</v>
      </c>
    </row>
    <row r="939" spans="1:7" x14ac:dyDescent="0.25">
      <c r="A939" s="3">
        <v>1097</v>
      </c>
      <c r="B939" s="3" t="str">
        <f>_xlfn.XLOOKUP(A939,'Data Cleaning'!A939:A2408, 'Data Cleaning'!I939:I2408)</f>
        <v>25-34</v>
      </c>
      <c r="C939">
        <f>_xlfn.XLOOKUP(A939,'Data Cleaning'!A939:A2408,'Data Cleaning'!K939:K2408)</f>
        <v>0</v>
      </c>
      <c r="D939" t="str">
        <f>_xlfn.XLOOKUP(A939,'Data Cleaning'!A939:A2408, 'Data Cleaning'!D939:D2408)</f>
        <v>Bachelor</v>
      </c>
      <c r="E939" s="3" t="str">
        <f>_xlfn.XLOOKUP(A939,'Data Cleaning'!A939:A2408, 'Data Cleaning'!E939:E2408)</f>
        <v>Single</v>
      </c>
      <c r="F939" t="str">
        <f>_xlfn.XLOOKUP(A939,'Data Cleaning'!A939:A2408, 'Data Cleaning'!F939:F2408)</f>
        <v>None</v>
      </c>
      <c r="G939" s="3" t="str">
        <f>_xlfn.XLOOKUP(A939,'Data Cleaning'!A939:A2408, 'Data Cleaning'!J939:J2408)</f>
        <v>Promoted in 1-3 years</v>
      </c>
    </row>
    <row r="940" spans="1:7" x14ac:dyDescent="0.25">
      <c r="A940" s="3">
        <v>483</v>
      </c>
      <c r="B940" s="3" t="str">
        <f>_xlfn.XLOOKUP(A940,'Data Cleaning'!A940:A2409, 'Data Cleaning'!I940:I2409)</f>
        <v>35-44</v>
      </c>
      <c r="C940">
        <f>_xlfn.XLOOKUP(A940,'Data Cleaning'!A940:A2409,'Data Cleaning'!K940:K2409)</f>
        <v>0</v>
      </c>
      <c r="D940" t="str">
        <f>_xlfn.XLOOKUP(A940,'Data Cleaning'!A940:A2409, 'Data Cleaning'!D940:D2409)</f>
        <v>Master</v>
      </c>
      <c r="E940" s="3" t="str">
        <f>_xlfn.XLOOKUP(A940,'Data Cleaning'!A940:A2409, 'Data Cleaning'!E940:E2409)</f>
        <v>Married</v>
      </c>
      <c r="F940" t="str">
        <f>_xlfn.XLOOKUP(A940,'Data Cleaning'!A940:A2409, 'Data Cleaning'!F940:F2409)</f>
        <v>Low</v>
      </c>
      <c r="G940" s="3" t="str">
        <f>_xlfn.XLOOKUP(A940,'Data Cleaning'!A940:A2409, 'Data Cleaning'!J940:J2409)</f>
        <v>Promoted in 1-3 years</v>
      </c>
    </row>
    <row r="941" spans="1:7" x14ac:dyDescent="0.25">
      <c r="A941" s="3">
        <v>2014</v>
      </c>
      <c r="B941" s="3" t="str">
        <f>_xlfn.XLOOKUP(A941,'Data Cleaning'!A941:A2410, 'Data Cleaning'!I941:I2410)</f>
        <v>35-44</v>
      </c>
      <c r="C941">
        <f>_xlfn.XLOOKUP(A941,'Data Cleaning'!A941:A2410,'Data Cleaning'!K941:K2410)</f>
        <v>0</v>
      </c>
      <c r="D941" t="str">
        <f>_xlfn.XLOOKUP(A941,'Data Cleaning'!A941:A2410, 'Data Cleaning'!D941:D2410)</f>
        <v>Below College</v>
      </c>
      <c r="E941" s="3" t="str">
        <f>_xlfn.XLOOKUP(A941,'Data Cleaning'!A941:A2410, 'Data Cleaning'!E941:E2410)</f>
        <v>Single</v>
      </c>
      <c r="F941" t="str">
        <f>_xlfn.XLOOKUP(A941,'Data Cleaning'!A941:A2410, 'Data Cleaning'!F941:F2410)</f>
        <v>None</v>
      </c>
      <c r="G941" s="3" t="str">
        <f>_xlfn.XLOOKUP(A941,'Data Cleaning'!A941:A2410, 'Data Cleaning'!J941:J2410)</f>
        <v>Promoted in 1-3 years</v>
      </c>
    </row>
    <row r="942" spans="1:7" x14ac:dyDescent="0.25">
      <c r="A942" s="3">
        <v>258</v>
      </c>
      <c r="B942" s="3" t="str">
        <f>_xlfn.XLOOKUP(A942,'Data Cleaning'!A942:A2411, 'Data Cleaning'!I942:I2411)</f>
        <v>45-54</v>
      </c>
      <c r="C942">
        <f>_xlfn.XLOOKUP(A942,'Data Cleaning'!A942:A2411,'Data Cleaning'!K942:K2411)</f>
        <v>0</v>
      </c>
      <c r="D942" t="str">
        <f>_xlfn.XLOOKUP(A942,'Data Cleaning'!A942:A2411, 'Data Cleaning'!D942:D2411)</f>
        <v>Bachelor</v>
      </c>
      <c r="E942" s="3" t="str">
        <f>_xlfn.XLOOKUP(A942,'Data Cleaning'!A942:A2411, 'Data Cleaning'!E942:E2411)</f>
        <v>Single</v>
      </c>
      <c r="F942" t="str">
        <f>_xlfn.XLOOKUP(A942,'Data Cleaning'!A942:A2411, 'Data Cleaning'!F942:F2411)</f>
        <v>None</v>
      </c>
      <c r="G942" s="3" t="str">
        <f>_xlfn.XLOOKUP(A942,'Data Cleaning'!A942:A2411, 'Data Cleaning'!J942:J2411)</f>
        <v>Promoted in 1-3 years</v>
      </c>
    </row>
    <row r="943" spans="1:7" x14ac:dyDescent="0.25">
      <c r="A943" s="3">
        <v>1763</v>
      </c>
      <c r="B943" s="3" t="str">
        <f>_xlfn.XLOOKUP(A943,'Data Cleaning'!A943:A2412, 'Data Cleaning'!I943:I2412)</f>
        <v>25-34</v>
      </c>
      <c r="C943">
        <f>_xlfn.XLOOKUP(A943,'Data Cleaning'!A943:A2412,'Data Cleaning'!K943:K2412)</f>
        <v>0</v>
      </c>
      <c r="D943" t="str">
        <f>_xlfn.XLOOKUP(A943,'Data Cleaning'!A943:A2412, 'Data Cleaning'!D943:D2412)</f>
        <v>Bachelor</v>
      </c>
      <c r="E943" s="3" t="str">
        <f>_xlfn.XLOOKUP(A943,'Data Cleaning'!A943:A2412, 'Data Cleaning'!E943:E2412)</f>
        <v>Married</v>
      </c>
      <c r="F943" t="str">
        <f>_xlfn.XLOOKUP(A943,'Data Cleaning'!A943:A2412, 'Data Cleaning'!F943:F2412)</f>
        <v>Low</v>
      </c>
      <c r="G943" s="3" t="str">
        <f>_xlfn.XLOOKUP(A943,'Data Cleaning'!A943:A2412, 'Data Cleaning'!J943:J2412)</f>
        <v>Promoted in 1-3 years</v>
      </c>
    </row>
    <row r="944" spans="1:7" x14ac:dyDescent="0.25">
      <c r="A944" s="3">
        <v>2062</v>
      </c>
      <c r="B944" s="3" t="str">
        <f>_xlfn.XLOOKUP(A944,'Data Cleaning'!A944:A2413, 'Data Cleaning'!I944:I2413)</f>
        <v>35-44</v>
      </c>
      <c r="C944">
        <f>_xlfn.XLOOKUP(A944,'Data Cleaning'!A944:A2413,'Data Cleaning'!K944:K2413)</f>
        <v>0</v>
      </c>
      <c r="D944" t="str">
        <f>_xlfn.XLOOKUP(A944,'Data Cleaning'!A944:A2413, 'Data Cleaning'!D944:D2413)</f>
        <v>Below College</v>
      </c>
      <c r="E944" s="3" t="str">
        <f>_xlfn.XLOOKUP(A944,'Data Cleaning'!A944:A2413, 'Data Cleaning'!E944:E2413)</f>
        <v>Married</v>
      </c>
      <c r="F944" t="str">
        <f>_xlfn.XLOOKUP(A944,'Data Cleaning'!A944:A2413, 'Data Cleaning'!F944:F2413)</f>
        <v>Low</v>
      </c>
      <c r="G944" s="3" t="str">
        <f>_xlfn.XLOOKUP(A944,'Data Cleaning'!A944:A2413, 'Data Cleaning'!J944:J2413)</f>
        <v>Promoted in 1-3 years</v>
      </c>
    </row>
    <row r="945" spans="1:7" x14ac:dyDescent="0.25">
      <c r="A945" s="3">
        <v>273</v>
      </c>
      <c r="B945" s="3" t="str">
        <f>_xlfn.XLOOKUP(A945,'Data Cleaning'!A945:A2414, 'Data Cleaning'!I945:I2414)</f>
        <v>35-44</v>
      </c>
      <c r="C945">
        <f>_xlfn.XLOOKUP(A945,'Data Cleaning'!A945:A2414,'Data Cleaning'!K945:K2414)</f>
        <v>0</v>
      </c>
      <c r="D945" t="str">
        <f>_xlfn.XLOOKUP(A945,'Data Cleaning'!A945:A2414, 'Data Cleaning'!D945:D2414)</f>
        <v>Bachelor</v>
      </c>
      <c r="E945" s="3" t="str">
        <f>_xlfn.XLOOKUP(A945,'Data Cleaning'!A945:A2414, 'Data Cleaning'!E945:E2414)</f>
        <v>Married</v>
      </c>
      <c r="F945" t="str">
        <f>_xlfn.XLOOKUP(A945,'Data Cleaning'!A945:A2414, 'Data Cleaning'!F945:F2414)</f>
        <v>Low</v>
      </c>
      <c r="G945" s="3" t="str">
        <f>_xlfn.XLOOKUP(A945,'Data Cleaning'!A945:A2414, 'Data Cleaning'!J945:J2414)</f>
        <v>Promoted in 1-3 years</v>
      </c>
    </row>
    <row r="946" spans="1:7" x14ac:dyDescent="0.25">
      <c r="A946" s="3">
        <v>1264</v>
      </c>
      <c r="B946" s="3" t="str">
        <f>_xlfn.XLOOKUP(A946,'Data Cleaning'!A946:A2415, 'Data Cleaning'!I946:I2415)</f>
        <v>25-34</v>
      </c>
      <c r="C946">
        <f>_xlfn.XLOOKUP(A946,'Data Cleaning'!A946:A2415,'Data Cleaning'!K946:K2415)</f>
        <v>0</v>
      </c>
      <c r="D946" t="str">
        <f>_xlfn.XLOOKUP(A946,'Data Cleaning'!A946:A2415, 'Data Cleaning'!D946:D2415)</f>
        <v>Bachelor</v>
      </c>
      <c r="E946" s="3" t="str">
        <f>_xlfn.XLOOKUP(A946,'Data Cleaning'!A946:A2415, 'Data Cleaning'!E946:E2415)</f>
        <v>Divorced</v>
      </c>
      <c r="F946" t="str">
        <f>_xlfn.XLOOKUP(A946,'Data Cleaning'!A946:A2415, 'Data Cleaning'!F946:F2415)</f>
        <v>Mid</v>
      </c>
      <c r="G946" s="3" t="str">
        <f>_xlfn.XLOOKUP(A946,'Data Cleaning'!A946:A2415, 'Data Cleaning'!J946:J2415)</f>
        <v>Promoted in 1-3 years</v>
      </c>
    </row>
    <row r="947" spans="1:7" x14ac:dyDescent="0.25">
      <c r="A947" s="3">
        <v>1312</v>
      </c>
      <c r="B947" s="3" t="str">
        <f>_xlfn.XLOOKUP(A947,'Data Cleaning'!A947:A2416, 'Data Cleaning'!I947:I2416)</f>
        <v>35-44</v>
      </c>
      <c r="C947">
        <f>_xlfn.XLOOKUP(A947,'Data Cleaning'!A947:A2416,'Data Cleaning'!K947:K2416)</f>
        <v>0</v>
      </c>
      <c r="D947" t="str">
        <f>_xlfn.XLOOKUP(A947,'Data Cleaning'!A947:A2416, 'Data Cleaning'!D947:D2416)</f>
        <v>Master</v>
      </c>
      <c r="E947" s="3" t="str">
        <f>_xlfn.XLOOKUP(A947,'Data Cleaning'!A947:A2416, 'Data Cleaning'!E947:E2416)</f>
        <v>Married</v>
      </c>
      <c r="F947" t="str">
        <f>_xlfn.XLOOKUP(A947,'Data Cleaning'!A947:A2416, 'Data Cleaning'!F947:F2416)</f>
        <v>None</v>
      </c>
      <c r="G947" s="3" t="str">
        <f>_xlfn.XLOOKUP(A947,'Data Cleaning'!A947:A2416, 'Data Cleaning'!J947:J2416)</f>
        <v>Promoted in 1-3 years</v>
      </c>
    </row>
    <row r="948" spans="1:7" x14ac:dyDescent="0.25">
      <c r="A948" s="3">
        <v>1830</v>
      </c>
      <c r="B948" s="3" t="str">
        <f>_xlfn.XLOOKUP(A948,'Data Cleaning'!A948:A2417, 'Data Cleaning'!I948:I2417)</f>
        <v>45-54</v>
      </c>
      <c r="C948">
        <f>_xlfn.XLOOKUP(A948,'Data Cleaning'!A948:A2417,'Data Cleaning'!K948:K2417)</f>
        <v>0</v>
      </c>
      <c r="D948" t="str">
        <f>_xlfn.XLOOKUP(A948,'Data Cleaning'!A948:A2417, 'Data Cleaning'!D948:D2417)</f>
        <v>Master</v>
      </c>
      <c r="E948" s="3" t="str">
        <f>_xlfn.XLOOKUP(A948,'Data Cleaning'!A948:A2417, 'Data Cleaning'!E948:E2417)</f>
        <v>Married</v>
      </c>
      <c r="F948" t="str">
        <f>_xlfn.XLOOKUP(A948,'Data Cleaning'!A948:A2417, 'Data Cleaning'!F948:F2417)</f>
        <v>Low</v>
      </c>
      <c r="G948" s="3" t="str">
        <f>_xlfn.XLOOKUP(A948,'Data Cleaning'!A948:A2417, 'Data Cleaning'!J948:J2417)</f>
        <v>Promoted in 1-3 years</v>
      </c>
    </row>
    <row r="949" spans="1:7" x14ac:dyDescent="0.25">
      <c r="A949" s="3">
        <v>1859</v>
      </c>
      <c r="B949" s="3" t="str">
        <f>_xlfn.XLOOKUP(A949,'Data Cleaning'!A949:A2418, 'Data Cleaning'!I949:I2418)</f>
        <v>25-34</v>
      </c>
      <c r="C949">
        <f>_xlfn.XLOOKUP(A949,'Data Cleaning'!A949:A2418,'Data Cleaning'!K949:K2418)</f>
        <v>0</v>
      </c>
      <c r="D949" t="str">
        <f>_xlfn.XLOOKUP(A949,'Data Cleaning'!A949:A2418, 'Data Cleaning'!D949:D2418)</f>
        <v>Below College</v>
      </c>
      <c r="E949" s="3" t="str">
        <f>_xlfn.XLOOKUP(A949,'Data Cleaning'!A949:A2418, 'Data Cleaning'!E949:E2418)</f>
        <v>Divorced</v>
      </c>
      <c r="F949" t="str">
        <f>_xlfn.XLOOKUP(A949,'Data Cleaning'!A949:A2418, 'Data Cleaning'!F949:F2418)</f>
        <v>Mid</v>
      </c>
      <c r="G949" s="3" t="str">
        <f>_xlfn.XLOOKUP(A949,'Data Cleaning'!A949:A2418, 'Data Cleaning'!J949:J2418)</f>
        <v>Promoted in 1-3 years</v>
      </c>
    </row>
    <row r="950" spans="1:7" x14ac:dyDescent="0.25">
      <c r="A950" s="3">
        <v>1221</v>
      </c>
      <c r="B950" s="3" t="str">
        <f>_xlfn.XLOOKUP(A950,'Data Cleaning'!A950:A2419, 'Data Cleaning'!I950:I2419)</f>
        <v>35-44</v>
      </c>
      <c r="C950">
        <f>_xlfn.XLOOKUP(A950,'Data Cleaning'!A950:A2419,'Data Cleaning'!K950:K2419)</f>
        <v>0</v>
      </c>
      <c r="D950" t="str">
        <f>_xlfn.XLOOKUP(A950,'Data Cleaning'!A950:A2419, 'Data Cleaning'!D950:D2419)</f>
        <v>Master</v>
      </c>
      <c r="E950" s="3" t="str">
        <f>_xlfn.XLOOKUP(A950,'Data Cleaning'!A950:A2419, 'Data Cleaning'!E950:E2419)</f>
        <v>Divorced</v>
      </c>
      <c r="F950" t="str">
        <f>_xlfn.XLOOKUP(A950,'Data Cleaning'!A950:A2419, 'Data Cleaning'!F950:F2419)</f>
        <v>Low</v>
      </c>
      <c r="G950" s="3" t="str">
        <f>_xlfn.XLOOKUP(A950,'Data Cleaning'!A950:A2419, 'Data Cleaning'!J950:J2419)</f>
        <v>Promoted in 1-3 years</v>
      </c>
    </row>
    <row r="951" spans="1:7" x14ac:dyDescent="0.25">
      <c r="A951" s="3">
        <v>623</v>
      </c>
      <c r="B951" s="3" t="str">
        <f>_xlfn.XLOOKUP(A951,'Data Cleaning'!A951:A2420, 'Data Cleaning'!I951:I2420)</f>
        <v>35-44</v>
      </c>
      <c r="C951">
        <f>_xlfn.XLOOKUP(A951,'Data Cleaning'!A951:A2420,'Data Cleaning'!K951:K2420)</f>
        <v>0</v>
      </c>
      <c r="D951" t="str">
        <f>_xlfn.XLOOKUP(A951,'Data Cleaning'!A951:A2420, 'Data Cleaning'!D951:D2420)</f>
        <v>Bachelor</v>
      </c>
      <c r="E951" s="3" t="str">
        <f>_xlfn.XLOOKUP(A951,'Data Cleaning'!A951:A2420, 'Data Cleaning'!E951:E2420)</f>
        <v>Single</v>
      </c>
      <c r="F951" t="str">
        <f>_xlfn.XLOOKUP(A951,'Data Cleaning'!A951:A2420, 'Data Cleaning'!F951:F2420)</f>
        <v>None</v>
      </c>
      <c r="G951" s="3" t="str">
        <f>_xlfn.XLOOKUP(A951,'Data Cleaning'!A951:A2420, 'Data Cleaning'!J951:J2420)</f>
        <v>Promoted in 1-3 years</v>
      </c>
    </row>
    <row r="952" spans="1:7" x14ac:dyDescent="0.25">
      <c r="A952" s="3">
        <v>1751</v>
      </c>
      <c r="B952" s="3" t="str">
        <f>_xlfn.XLOOKUP(A952,'Data Cleaning'!A952:A2421, 'Data Cleaning'!I952:I2421)</f>
        <v>25-34</v>
      </c>
      <c r="C952">
        <f>_xlfn.XLOOKUP(A952,'Data Cleaning'!A952:A2421,'Data Cleaning'!K952:K2421)</f>
        <v>0</v>
      </c>
      <c r="D952" t="str">
        <f>_xlfn.XLOOKUP(A952,'Data Cleaning'!A952:A2421, 'Data Cleaning'!D952:D2421)</f>
        <v>Bachelor</v>
      </c>
      <c r="E952" s="3" t="str">
        <f>_xlfn.XLOOKUP(A952,'Data Cleaning'!A952:A2421, 'Data Cleaning'!E952:E2421)</f>
        <v>Single</v>
      </c>
      <c r="F952" t="str">
        <f>_xlfn.XLOOKUP(A952,'Data Cleaning'!A952:A2421, 'Data Cleaning'!F952:F2421)</f>
        <v>None</v>
      </c>
      <c r="G952" s="3" t="str">
        <f>_xlfn.XLOOKUP(A952,'Data Cleaning'!A952:A2421, 'Data Cleaning'!J952:J2421)</f>
        <v>Promoted in 1-3 years</v>
      </c>
    </row>
    <row r="953" spans="1:7" x14ac:dyDescent="0.25">
      <c r="A953" s="3">
        <v>1609</v>
      </c>
      <c r="B953" s="3" t="str">
        <f>_xlfn.XLOOKUP(A953,'Data Cleaning'!A953:A2422, 'Data Cleaning'!I953:I2422)</f>
        <v>25-34</v>
      </c>
      <c r="C953">
        <f>_xlfn.XLOOKUP(A953,'Data Cleaning'!A953:A2422,'Data Cleaning'!K953:K2422)</f>
        <v>0</v>
      </c>
      <c r="D953" t="str">
        <f>_xlfn.XLOOKUP(A953,'Data Cleaning'!A953:A2422, 'Data Cleaning'!D953:D2422)</f>
        <v>Bachelor</v>
      </c>
      <c r="E953" s="3" t="str">
        <f>_xlfn.XLOOKUP(A953,'Data Cleaning'!A953:A2422, 'Data Cleaning'!E953:E2422)</f>
        <v>Married</v>
      </c>
      <c r="F953" t="str">
        <f>_xlfn.XLOOKUP(A953,'Data Cleaning'!A953:A2422, 'Data Cleaning'!F953:F2422)</f>
        <v>Low</v>
      </c>
      <c r="G953" s="3" t="str">
        <f>_xlfn.XLOOKUP(A953,'Data Cleaning'!A953:A2422, 'Data Cleaning'!J953:J2422)</f>
        <v>Promoted in 1-3 years</v>
      </c>
    </row>
    <row r="954" spans="1:7" x14ac:dyDescent="0.25">
      <c r="A954" s="3">
        <v>639</v>
      </c>
      <c r="B954" s="3" t="str">
        <f>_xlfn.XLOOKUP(A954,'Data Cleaning'!A954:A2423, 'Data Cleaning'!I954:I2423)</f>
        <v>18-24</v>
      </c>
      <c r="C954">
        <f>_xlfn.XLOOKUP(A954,'Data Cleaning'!A954:A2423,'Data Cleaning'!K954:K2423)</f>
        <v>0</v>
      </c>
      <c r="D954" t="str">
        <f>_xlfn.XLOOKUP(A954,'Data Cleaning'!A954:A2423, 'Data Cleaning'!D954:D2423)</f>
        <v>Bachelor</v>
      </c>
      <c r="E954" s="3" t="str">
        <f>_xlfn.XLOOKUP(A954,'Data Cleaning'!A954:A2423, 'Data Cleaning'!E954:E2423)</f>
        <v>Married</v>
      </c>
      <c r="F954" t="str">
        <f>_xlfn.XLOOKUP(A954,'Data Cleaning'!A954:A2423, 'Data Cleaning'!F954:F2423)</f>
        <v>Mid</v>
      </c>
      <c r="G954" s="3" t="str">
        <f>_xlfn.XLOOKUP(A954,'Data Cleaning'!A954:A2423, 'Data Cleaning'!J954:J2423)</f>
        <v>Promoted in 1-3 years</v>
      </c>
    </row>
    <row r="955" spans="1:7" x14ac:dyDescent="0.25">
      <c r="A955" s="3">
        <v>856</v>
      </c>
      <c r="B955" s="3" t="str">
        <f>_xlfn.XLOOKUP(A955,'Data Cleaning'!A955:A2424, 'Data Cleaning'!I955:I2424)</f>
        <v>35-44</v>
      </c>
      <c r="C955">
        <f>_xlfn.XLOOKUP(A955,'Data Cleaning'!A955:A2424,'Data Cleaning'!K955:K2424)</f>
        <v>0</v>
      </c>
      <c r="D955" t="str">
        <f>_xlfn.XLOOKUP(A955,'Data Cleaning'!A955:A2424, 'Data Cleaning'!D955:D2424)</f>
        <v>Below College</v>
      </c>
      <c r="E955" s="3" t="str">
        <f>_xlfn.XLOOKUP(A955,'Data Cleaning'!A955:A2424, 'Data Cleaning'!E955:E2424)</f>
        <v>Single</v>
      </c>
      <c r="F955" t="str">
        <f>_xlfn.XLOOKUP(A955,'Data Cleaning'!A955:A2424, 'Data Cleaning'!F955:F2424)</f>
        <v>None</v>
      </c>
      <c r="G955" s="3" t="str">
        <f>_xlfn.XLOOKUP(A955,'Data Cleaning'!A955:A2424, 'Data Cleaning'!J955:J2424)</f>
        <v>Promoted in 1-3 years</v>
      </c>
    </row>
    <row r="956" spans="1:7" x14ac:dyDescent="0.25">
      <c r="A956" s="3">
        <v>649</v>
      </c>
      <c r="B956" s="3" t="str">
        <f>_xlfn.XLOOKUP(A956,'Data Cleaning'!A956:A2425, 'Data Cleaning'!I956:I2425)</f>
        <v>25-34</v>
      </c>
      <c r="C956">
        <f>_xlfn.XLOOKUP(A956,'Data Cleaning'!A956:A2425,'Data Cleaning'!K956:K2425)</f>
        <v>0</v>
      </c>
      <c r="D956" t="str">
        <f>_xlfn.XLOOKUP(A956,'Data Cleaning'!A956:A2425, 'Data Cleaning'!D956:D2425)</f>
        <v>College</v>
      </c>
      <c r="E956" s="3" t="str">
        <f>_xlfn.XLOOKUP(A956,'Data Cleaning'!A956:A2425, 'Data Cleaning'!E956:E2425)</f>
        <v>Married</v>
      </c>
      <c r="F956" t="str">
        <f>_xlfn.XLOOKUP(A956,'Data Cleaning'!A956:A2425, 'Data Cleaning'!F956:F2425)</f>
        <v>Low</v>
      </c>
      <c r="G956" s="3" t="str">
        <f>_xlfn.XLOOKUP(A956,'Data Cleaning'!A956:A2425, 'Data Cleaning'!J956:J2425)</f>
        <v>Promoted in 1-3 years</v>
      </c>
    </row>
    <row r="957" spans="1:7" x14ac:dyDescent="0.25">
      <c r="A957" s="3">
        <v>1161</v>
      </c>
      <c r="B957" s="3" t="str">
        <f>_xlfn.XLOOKUP(A957,'Data Cleaning'!A957:A2426, 'Data Cleaning'!I957:I2426)</f>
        <v>35-44</v>
      </c>
      <c r="C957">
        <f>_xlfn.XLOOKUP(A957,'Data Cleaning'!A957:A2426,'Data Cleaning'!K957:K2426)</f>
        <v>0</v>
      </c>
      <c r="D957" t="str">
        <f>_xlfn.XLOOKUP(A957,'Data Cleaning'!A957:A2426, 'Data Cleaning'!D957:D2426)</f>
        <v>College</v>
      </c>
      <c r="E957" s="3" t="str">
        <f>_xlfn.XLOOKUP(A957,'Data Cleaning'!A957:A2426, 'Data Cleaning'!E957:E2426)</f>
        <v>Divorced</v>
      </c>
      <c r="F957" t="str">
        <f>_xlfn.XLOOKUP(A957,'Data Cleaning'!A957:A2426, 'Data Cleaning'!F957:F2426)</f>
        <v>Mid</v>
      </c>
      <c r="G957" s="3" t="str">
        <f>_xlfn.XLOOKUP(A957,'Data Cleaning'!A957:A2426, 'Data Cleaning'!J957:J2426)</f>
        <v>Promoted in 1-3 years</v>
      </c>
    </row>
    <row r="958" spans="1:7" x14ac:dyDescent="0.25">
      <c r="A958" s="3">
        <v>1438</v>
      </c>
      <c r="B958" s="3" t="str">
        <f>_xlfn.XLOOKUP(A958,'Data Cleaning'!A958:A2427, 'Data Cleaning'!I958:I2427)</f>
        <v>45-54</v>
      </c>
      <c r="C958">
        <f>_xlfn.XLOOKUP(A958,'Data Cleaning'!A958:A2427,'Data Cleaning'!K958:K2427)</f>
        <v>0</v>
      </c>
      <c r="D958" t="str">
        <f>_xlfn.XLOOKUP(A958,'Data Cleaning'!A958:A2427, 'Data Cleaning'!D958:D2427)</f>
        <v>Bachelor</v>
      </c>
      <c r="E958" s="3" t="str">
        <f>_xlfn.XLOOKUP(A958,'Data Cleaning'!A958:A2427, 'Data Cleaning'!E958:E2427)</f>
        <v>Married</v>
      </c>
      <c r="F958" t="str">
        <f>_xlfn.XLOOKUP(A958,'Data Cleaning'!A958:A2427, 'Data Cleaning'!F958:F2427)</f>
        <v>Low</v>
      </c>
      <c r="G958" s="3" t="str">
        <f>_xlfn.XLOOKUP(A958,'Data Cleaning'!A958:A2427, 'Data Cleaning'!J958:J2427)</f>
        <v>Promoted in 1-3 years</v>
      </c>
    </row>
    <row r="959" spans="1:7" x14ac:dyDescent="0.25">
      <c r="A959" s="3">
        <v>346</v>
      </c>
      <c r="B959" s="3" t="str">
        <f>_xlfn.XLOOKUP(A959,'Data Cleaning'!A959:A2428, 'Data Cleaning'!I959:I2428)</f>
        <v>25-34</v>
      </c>
      <c r="C959">
        <f>_xlfn.XLOOKUP(A959,'Data Cleaning'!A959:A2428,'Data Cleaning'!K959:K2428)</f>
        <v>0</v>
      </c>
      <c r="D959" t="str">
        <f>_xlfn.XLOOKUP(A959,'Data Cleaning'!A959:A2428, 'Data Cleaning'!D959:D2428)</f>
        <v>Bachelor</v>
      </c>
      <c r="E959" s="3" t="str">
        <f>_xlfn.XLOOKUP(A959,'Data Cleaning'!A959:A2428, 'Data Cleaning'!E959:E2428)</f>
        <v>Single</v>
      </c>
      <c r="F959" t="str">
        <f>_xlfn.XLOOKUP(A959,'Data Cleaning'!A959:A2428, 'Data Cleaning'!F959:F2428)</f>
        <v>None</v>
      </c>
      <c r="G959" s="3" t="str">
        <f>_xlfn.XLOOKUP(A959,'Data Cleaning'!A959:A2428, 'Data Cleaning'!J959:J2428)</f>
        <v>Promoted in 1-3 years</v>
      </c>
    </row>
    <row r="960" spans="1:7" x14ac:dyDescent="0.25">
      <c r="A960" s="3">
        <v>1725</v>
      </c>
      <c r="B960" s="3" t="str">
        <f>_xlfn.XLOOKUP(A960,'Data Cleaning'!A960:A2429, 'Data Cleaning'!I960:I2429)</f>
        <v>18-24</v>
      </c>
      <c r="C960">
        <f>_xlfn.XLOOKUP(A960,'Data Cleaning'!A960:A2429,'Data Cleaning'!K960:K2429)</f>
        <v>0</v>
      </c>
      <c r="D960" t="str">
        <f>_xlfn.XLOOKUP(A960,'Data Cleaning'!A960:A2429, 'Data Cleaning'!D960:D2429)</f>
        <v>Below College</v>
      </c>
      <c r="E960" s="3" t="str">
        <f>_xlfn.XLOOKUP(A960,'Data Cleaning'!A960:A2429, 'Data Cleaning'!E960:E2429)</f>
        <v>Divorced</v>
      </c>
      <c r="F960" t="str">
        <f>_xlfn.XLOOKUP(A960,'Data Cleaning'!A960:A2429, 'Data Cleaning'!F960:F2429)</f>
        <v>High</v>
      </c>
      <c r="G960" s="3" t="str">
        <f>_xlfn.XLOOKUP(A960,'Data Cleaning'!A960:A2429, 'Data Cleaning'!J960:J2429)</f>
        <v>Promoted in 1-3 years</v>
      </c>
    </row>
    <row r="961" spans="1:7" x14ac:dyDescent="0.25">
      <c r="A961" s="3">
        <v>1260</v>
      </c>
      <c r="B961" s="3" t="str">
        <f>_xlfn.XLOOKUP(A961,'Data Cleaning'!A961:A2430, 'Data Cleaning'!I961:I2430)</f>
        <v>25-34</v>
      </c>
      <c r="C961">
        <f>_xlfn.XLOOKUP(A961,'Data Cleaning'!A961:A2430,'Data Cleaning'!K961:K2430)</f>
        <v>0</v>
      </c>
      <c r="D961" t="str">
        <f>_xlfn.XLOOKUP(A961,'Data Cleaning'!A961:A2430, 'Data Cleaning'!D961:D2430)</f>
        <v>Bachelor</v>
      </c>
      <c r="E961" s="3" t="str">
        <f>_xlfn.XLOOKUP(A961,'Data Cleaning'!A961:A2430, 'Data Cleaning'!E961:E2430)</f>
        <v>Divorced</v>
      </c>
      <c r="F961" t="str">
        <f>_xlfn.XLOOKUP(A961,'Data Cleaning'!A961:A2430, 'Data Cleaning'!F961:F2430)</f>
        <v>Mid</v>
      </c>
      <c r="G961" s="3" t="str">
        <f>_xlfn.XLOOKUP(A961,'Data Cleaning'!A961:A2430, 'Data Cleaning'!J961:J2430)</f>
        <v>Promoted in 1-3 years</v>
      </c>
    </row>
    <row r="962" spans="1:7" x14ac:dyDescent="0.25">
      <c r="A962" s="3">
        <v>1434</v>
      </c>
      <c r="B962" s="3" t="str">
        <f>_xlfn.XLOOKUP(A962,'Data Cleaning'!A962:A2431, 'Data Cleaning'!I962:I2431)</f>
        <v>25-34</v>
      </c>
      <c r="C962">
        <f>_xlfn.XLOOKUP(A962,'Data Cleaning'!A962:A2431,'Data Cleaning'!K962:K2431)</f>
        <v>0</v>
      </c>
      <c r="D962" t="str">
        <f>_xlfn.XLOOKUP(A962,'Data Cleaning'!A962:A2431, 'Data Cleaning'!D962:D2431)</f>
        <v>Below College</v>
      </c>
      <c r="E962" s="3" t="str">
        <f>_xlfn.XLOOKUP(A962,'Data Cleaning'!A962:A2431, 'Data Cleaning'!E962:E2431)</f>
        <v>Married</v>
      </c>
      <c r="F962" t="str">
        <f>_xlfn.XLOOKUP(A962,'Data Cleaning'!A962:A2431, 'Data Cleaning'!F962:F2431)</f>
        <v>None</v>
      </c>
      <c r="G962" s="3" t="str">
        <f>_xlfn.XLOOKUP(A962,'Data Cleaning'!A962:A2431, 'Data Cleaning'!J962:J2431)</f>
        <v>Promoted in 1-3 years</v>
      </c>
    </row>
    <row r="963" spans="1:7" x14ac:dyDescent="0.25">
      <c r="A963" s="3">
        <v>546</v>
      </c>
      <c r="B963" s="3" t="str">
        <f>_xlfn.XLOOKUP(A963,'Data Cleaning'!A963:A2432, 'Data Cleaning'!I963:I2432)</f>
        <v>45-54</v>
      </c>
      <c r="C963">
        <f>_xlfn.XLOOKUP(A963,'Data Cleaning'!A963:A2432,'Data Cleaning'!K963:K2432)</f>
        <v>0</v>
      </c>
      <c r="D963" t="str">
        <f>_xlfn.XLOOKUP(A963,'Data Cleaning'!A963:A2432, 'Data Cleaning'!D963:D2432)</f>
        <v>College</v>
      </c>
      <c r="E963" s="3" t="str">
        <f>_xlfn.XLOOKUP(A963,'Data Cleaning'!A963:A2432, 'Data Cleaning'!E963:E2432)</f>
        <v>Married</v>
      </c>
      <c r="F963" t="str">
        <f>_xlfn.XLOOKUP(A963,'Data Cleaning'!A963:A2432, 'Data Cleaning'!F963:F2432)</f>
        <v>None</v>
      </c>
      <c r="G963" s="3" t="str">
        <f>_xlfn.XLOOKUP(A963,'Data Cleaning'!A963:A2432, 'Data Cleaning'!J963:J2432)</f>
        <v>Promoted in 1-3 years</v>
      </c>
    </row>
    <row r="964" spans="1:7" x14ac:dyDescent="0.25">
      <c r="A964" s="3">
        <v>1709</v>
      </c>
      <c r="B964" s="3" t="str">
        <f>_xlfn.XLOOKUP(A964,'Data Cleaning'!A964:A2433, 'Data Cleaning'!I964:I2433)</f>
        <v>25-34</v>
      </c>
      <c r="C964">
        <f>_xlfn.XLOOKUP(A964,'Data Cleaning'!A964:A2433,'Data Cleaning'!K964:K2433)</f>
        <v>0</v>
      </c>
      <c r="D964" t="str">
        <f>_xlfn.XLOOKUP(A964,'Data Cleaning'!A964:A2433, 'Data Cleaning'!D964:D2433)</f>
        <v>Master</v>
      </c>
      <c r="E964" s="3" t="str">
        <f>_xlfn.XLOOKUP(A964,'Data Cleaning'!A964:A2433, 'Data Cleaning'!E964:E2433)</f>
        <v>Married</v>
      </c>
      <c r="F964" t="str">
        <f>_xlfn.XLOOKUP(A964,'Data Cleaning'!A964:A2433, 'Data Cleaning'!F964:F2433)</f>
        <v>Low</v>
      </c>
      <c r="G964" s="3" t="str">
        <f>_xlfn.XLOOKUP(A964,'Data Cleaning'!A964:A2433, 'Data Cleaning'!J964:J2433)</f>
        <v>Promoted in 1-3 years</v>
      </c>
    </row>
    <row r="965" spans="1:7" x14ac:dyDescent="0.25">
      <c r="A965" s="3">
        <v>730</v>
      </c>
      <c r="B965" s="3" t="str">
        <f>_xlfn.XLOOKUP(A965,'Data Cleaning'!A965:A2434, 'Data Cleaning'!I965:I2434)</f>
        <v>45-54</v>
      </c>
      <c r="C965">
        <f>_xlfn.XLOOKUP(A965,'Data Cleaning'!A965:A2434,'Data Cleaning'!K965:K2434)</f>
        <v>0</v>
      </c>
      <c r="D965" t="str">
        <f>_xlfn.XLOOKUP(A965,'Data Cleaning'!A965:A2434, 'Data Cleaning'!D965:D2434)</f>
        <v>Bachelor</v>
      </c>
      <c r="E965" s="3" t="str">
        <f>_xlfn.XLOOKUP(A965,'Data Cleaning'!A965:A2434, 'Data Cleaning'!E965:E2434)</f>
        <v>Married</v>
      </c>
      <c r="F965" t="str">
        <f>_xlfn.XLOOKUP(A965,'Data Cleaning'!A965:A2434, 'Data Cleaning'!F965:F2434)</f>
        <v>None</v>
      </c>
      <c r="G965" s="3" t="str">
        <f>_xlfn.XLOOKUP(A965,'Data Cleaning'!A965:A2434, 'Data Cleaning'!J965:J2434)</f>
        <v>Promoted in 1-3 years</v>
      </c>
    </row>
    <row r="966" spans="1:7" x14ac:dyDescent="0.25">
      <c r="A966" s="3">
        <v>865</v>
      </c>
      <c r="B966" s="3" t="str">
        <f>_xlfn.XLOOKUP(A966,'Data Cleaning'!A966:A2435, 'Data Cleaning'!I966:I2435)</f>
        <v>25-34</v>
      </c>
      <c r="C966">
        <f>_xlfn.XLOOKUP(A966,'Data Cleaning'!A966:A2435,'Data Cleaning'!K966:K2435)</f>
        <v>0</v>
      </c>
      <c r="D966" t="str">
        <f>_xlfn.XLOOKUP(A966,'Data Cleaning'!A966:A2435, 'Data Cleaning'!D966:D2435)</f>
        <v>College</v>
      </c>
      <c r="E966" s="3" t="str">
        <f>_xlfn.XLOOKUP(A966,'Data Cleaning'!A966:A2435, 'Data Cleaning'!E966:E2435)</f>
        <v>Married</v>
      </c>
      <c r="F966" t="str">
        <f>_xlfn.XLOOKUP(A966,'Data Cleaning'!A966:A2435, 'Data Cleaning'!F966:F2435)</f>
        <v>Low</v>
      </c>
      <c r="G966" s="3" t="str">
        <f>_xlfn.XLOOKUP(A966,'Data Cleaning'!A966:A2435, 'Data Cleaning'!J966:J2435)</f>
        <v>Promoted in 1-3 years</v>
      </c>
    </row>
    <row r="967" spans="1:7" x14ac:dyDescent="0.25">
      <c r="A967" s="3">
        <v>1980</v>
      </c>
      <c r="B967" s="3" t="str">
        <f>_xlfn.XLOOKUP(A967,'Data Cleaning'!A967:A2436, 'Data Cleaning'!I967:I2436)</f>
        <v>45-54</v>
      </c>
      <c r="C967">
        <f>_xlfn.XLOOKUP(A967,'Data Cleaning'!A967:A2436,'Data Cleaning'!K967:K2436)</f>
        <v>0</v>
      </c>
      <c r="D967" t="str">
        <f>_xlfn.XLOOKUP(A967,'Data Cleaning'!A967:A2436, 'Data Cleaning'!D967:D2436)</f>
        <v>Bachelor</v>
      </c>
      <c r="E967" s="3" t="str">
        <f>_xlfn.XLOOKUP(A967,'Data Cleaning'!A967:A2436, 'Data Cleaning'!E967:E2436)</f>
        <v>Single</v>
      </c>
      <c r="F967" t="str">
        <f>_xlfn.XLOOKUP(A967,'Data Cleaning'!A967:A2436, 'Data Cleaning'!F967:F2436)</f>
        <v>None</v>
      </c>
      <c r="G967" s="3" t="str">
        <f>_xlfn.XLOOKUP(A967,'Data Cleaning'!A967:A2436, 'Data Cleaning'!J967:J2436)</f>
        <v>Promoted in 1-3 years</v>
      </c>
    </row>
    <row r="968" spans="1:7" x14ac:dyDescent="0.25">
      <c r="A968" s="3">
        <v>1755</v>
      </c>
      <c r="B968" s="3" t="str">
        <f>_xlfn.XLOOKUP(A968,'Data Cleaning'!A968:A2437, 'Data Cleaning'!I968:I2437)</f>
        <v>25-34</v>
      </c>
      <c r="C968">
        <f>_xlfn.XLOOKUP(A968,'Data Cleaning'!A968:A2437,'Data Cleaning'!K968:K2437)</f>
        <v>0</v>
      </c>
      <c r="D968" t="str">
        <f>_xlfn.XLOOKUP(A968,'Data Cleaning'!A968:A2437, 'Data Cleaning'!D968:D2437)</f>
        <v>Master</v>
      </c>
      <c r="E968" s="3" t="str">
        <f>_xlfn.XLOOKUP(A968,'Data Cleaning'!A968:A2437, 'Data Cleaning'!E968:E2437)</f>
        <v>Married</v>
      </c>
      <c r="F968" t="str">
        <f>_xlfn.XLOOKUP(A968,'Data Cleaning'!A968:A2437, 'Data Cleaning'!F968:F2437)</f>
        <v>High</v>
      </c>
      <c r="G968" s="3" t="str">
        <f>_xlfn.XLOOKUP(A968,'Data Cleaning'!A968:A2437, 'Data Cleaning'!J968:J2437)</f>
        <v>Promoted in 1-3 years</v>
      </c>
    </row>
    <row r="969" spans="1:7" x14ac:dyDescent="0.25">
      <c r="A969" s="3">
        <v>799</v>
      </c>
      <c r="B969" s="3" t="str">
        <f>_xlfn.XLOOKUP(A969,'Data Cleaning'!A969:A2438, 'Data Cleaning'!I969:I2438)</f>
        <v>45-54</v>
      </c>
      <c r="C969">
        <f>_xlfn.XLOOKUP(A969,'Data Cleaning'!A969:A2438,'Data Cleaning'!K969:K2438)</f>
        <v>0</v>
      </c>
      <c r="D969" t="str">
        <f>_xlfn.XLOOKUP(A969,'Data Cleaning'!A969:A2438, 'Data Cleaning'!D969:D2438)</f>
        <v>Master</v>
      </c>
      <c r="E969" s="3" t="str">
        <f>_xlfn.XLOOKUP(A969,'Data Cleaning'!A969:A2438, 'Data Cleaning'!E969:E2438)</f>
        <v>Divorced</v>
      </c>
      <c r="F969" t="str">
        <f>_xlfn.XLOOKUP(A969,'Data Cleaning'!A969:A2438, 'Data Cleaning'!F969:F2438)</f>
        <v>Mid</v>
      </c>
      <c r="G969" s="3" t="str">
        <f>_xlfn.XLOOKUP(A969,'Data Cleaning'!A969:A2438, 'Data Cleaning'!J969:J2438)</f>
        <v>Promoted in 1-3 years</v>
      </c>
    </row>
    <row r="970" spans="1:7" x14ac:dyDescent="0.25">
      <c r="A970" s="3">
        <v>386</v>
      </c>
      <c r="B970" s="3" t="str">
        <f>_xlfn.XLOOKUP(A970,'Data Cleaning'!A970:A2439, 'Data Cleaning'!I970:I2439)</f>
        <v>45-54</v>
      </c>
      <c r="C970">
        <f>_xlfn.XLOOKUP(A970,'Data Cleaning'!A970:A2439,'Data Cleaning'!K970:K2439)</f>
        <v>0</v>
      </c>
      <c r="D970" t="str">
        <f>_xlfn.XLOOKUP(A970,'Data Cleaning'!A970:A2439, 'Data Cleaning'!D970:D2439)</f>
        <v>Master</v>
      </c>
      <c r="E970" s="3" t="str">
        <f>_xlfn.XLOOKUP(A970,'Data Cleaning'!A970:A2439, 'Data Cleaning'!E970:E2439)</f>
        <v>Married</v>
      </c>
      <c r="F970" t="str">
        <f>_xlfn.XLOOKUP(A970,'Data Cleaning'!A970:A2439, 'Data Cleaning'!F970:F2439)</f>
        <v>High</v>
      </c>
      <c r="G970" s="3" t="str">
        <f>_xlfn.XLOOKUP(A970,'Data Cleaning'!A970:A2439, 'Data Cleaning'!J970:J2439)</f>
        <v>Promoted in 1-3 years</v>
      </c>
    </row>
    <row r="971" spans="1:7" x14ac:dyDescent="0.25">
      <c r="A971" s="3">
        <v>223</v>
      </c>
      <c r="B971" s="3" t="str">
        <f>_xlfn.XLOOKUP(A971,'Data Cleaning'!A971:A2440, 'Data Cleaning'!I971:I2440)</f>
        <v>55-60</v>
      </c>
      <c r="C971">
        <f>_xlfn.XLOOKUP(A971,'Data Cleaning'!A971:A2440,'Data Cleaning'!K971:K2440)</f>
        <v>0</v>
      </c>
      <c r="D971" t="str">
        <f>_xlfn.XLOOKUP(A971,'Data Cleaning'!A971:A2440, 'Data Cleaning'!D971:D2440)</f>
        <v>College</v>
      </c>
      <c r="E971" s="3" t="str">
        <f>_xlfn.XLOOKUP(A971,'Data Cleaning'!A971:A2440, 'Data Cleaning'!E971:E2440)</f>
        <v>Divorced</v>
      </c>
      <c r="F971" t="str">
        <f>_xlfn.XLOOKUP(A971,'Data Cleaning'!A971:A2440, 'Data Cleaning'!F971:F2440)</f>
        <v>Low</v>
      </c>
      <c r="G971" s="3" t="str">
        <f>_xlfn.XLOOKUP(A971,'Data Cleaning'!A971:A2440, 'Data Cleaning'!J971:J2440)</f>
        <v>Promoted in 1-3 years</v>
      </c>
    </row>
    <row r="972" spans="1:7" x14ac:dyDescent="0.25">
      <c r="A972" s="3">
        <v>1475</v>
      </c>
      <c r="B972" s="3" t="str">
        <f>_xlfn.XLOOKUP(A972,'Data Cleaning'!A972:A2441, 'Data Cleaning'!I972:I2441)</f>
        <v>35-44</v>
      </c>
      <c r="C972">
        <f>_xlfn.XLOOKUP(A972,'Data Cleaning'!A972:A2441,'Data Cleaning'!K972:K2441)</f>
        <v>0</v>
      </c>
      <c r="D972" t="str">
        <f>_xlfn.XLOOKUP(A972,'Data Cleaning'!A972:A2441, 'Data Cleaning'!D972:D2441)</f>
        <v>Bachelor</v>
      </c>
      <c r="E972" s="3" t="str">
        <f>_xlfn.XLOOKUP(A972,'Data Cleaning'!A972:A2441, 'Data Cleaning'!E972:E2441)</f>
        <v>Single</v>
      </c>
      <c r="F972" t="str">
        <f>_xlfn.XLOOKUP(A972,'Data Cleaning'!A972:A2441, 'Data Cleaning'!F972:F2441)</f>
        <v>None</v>
      </c>
      <c r="G972" s="3" t="str">
        <f>_xlfn.XLOOKUP(A972,'Data Cleaning'!A972:A2441, 'Data Cleaning'!J972:J2441)</f>
        <v>Promoted in 1-3 years</v>
      </c>
    </row>
    <row r="973" spans="1:7" x14ac:dyDescent="0.25">
      <c r="A973" s="3">
        <v>46</v>
      </c>
      <c r="B973" s="3" t="str">
        <f>_xlfn.XLOOKUP(A973,'Data Cleaning'!A973:A2442, 'Data Cleaning'!I973:I2442)</f>
        <v>35-44</v>
      </c>
      <c r="C973">
        <f>_xlfn.XLOOKUP(A973,'Data Cleaning'!A973:A2442,'Data Cleaning'!K973:K2442)</f>
        <v>0</v>
      </c>
      <c r="D973" t="str">
        <f>_xlfn.XLOOKUP(A973,'Data Cleaning'!A973:A2442, 'Data Cleaning'!D973:D2442)</f>
        <v>College</v>
      </c>
      <c r="E973" s="3" t="str">
        <f>_xlfn.XLOOKUP(A973,'Data Cleaning'!A973:A2442, 'Data Cleaning'!E973:E2442)</f>
        <v>Divorced</v>
      </c>
      <c r="F973" t="str">
        <f>_xlfn.XLOOKUP(A973,'Data Cleaning'!A973:A2442, 'Data Cleaning'!F973:F2442)</f>
        <v>Mid</v>
      </c>
      <c r="G973" s="3" t="str">
        <f>_xlfn.XLOOKUP(A973,'Data Cleaning'!A973:A2442, 'Data Cleaning'!J973:J2442)</f>
        <v>Promoted in 1-3 years</v>
      </c>
    </row>
    <row r="974" spans="1:7" x14ac:dyDescent="0.25">
      <c r="A974" s="3">
        <v>233</v>
      </c>
      <c r="B974" s="3" t="str">
        <f>_xlfn.XLOOKUP(A974,'Data Cleaning'!A974:A2443, 'Data Cleaning'!I974:I2443)</f>
        <v>25-34</v>
      </c>
      <c r="C974">
        <f>_xlfn.XLOOKUP(A974,'Data Cleaning'!A974:A2443,'Data Cleaning'!K974:K2443)</f>
        <v>0</v>
      </c>
      <c r="D974" t="str">
        <f>_xlfn.XLOOKUP(A974,'Data Cleaning'!A974:A2443, 'Data Cleaning'!D974:D2443)</f>
        <v>Bachelor</v>
      </c>
      <c r="E974" s="3" t="str">
        <f>_xlfn.XLOOKUP(A974,'Data Cleaning'!A974:A2443, 'Data Cleaning'!E974:E2443)</f>
        <v>Married</v>
      </c>
      <c r="F974" t="str">
        <f>_xlfn.XLOOKUP(A974,'Data Cleaning'!A974:A2443, 'Data Cleaning'!F974:F2443)</f>
        <v>Low</v>
      </c>
      <c r="G974" s="3" t="str">
        <f>_xlfn.XLOOKUP(A974,'Data Cleaning'!A974:A2443, 'Data Cleaning'!J974:J2443)</f>
        <v>Promoted in 1-3 years</v>
      </c>
    </row>
    <row r="975" spans="1:7" x14ac:dyDescent="0.25">
      <c r="A975" s="3">
        <v>1982</v>
      </c>
      <c r="B975" s="3" t="str">
        <f>_xlfn.XLOOKUP(A975,'Data Cleaning'!A975:A2444, 'Data Cleaning'!I975:I2444)</f>
        <v>18-24</v>
      </c>
      <c r="C975">
        <f>_xlfn.XLOOKUP(A975,'Data Cleaning'!A975:A2444,'Data Cleaning'!K975:K2444)</f>
        <v>0</v>
      </c>
      <c r="D975" t="str">
        <f>_xlfn.XLOOKUP(A975,'Data Cleaning'!A975:A2444, 'Data Cleaning'!D975:D2444)</f>
        <v>College</v>
      </c>
      <c r="E975" s="3" t="str">
        <f>_xlfn.XLOOKUP(A975,'Data Cleaning'!A975:A2444, 'Data Cleaning'!E975:E2444)</f>
        <v>Single</v>
      </c>
      <c r="F975" t="str">
        <f>_xlfn.XLOOKUP(A975,'Data Cleaning'!A975:A2444, 'Data Cleaning'!F975:F2444)</f>
        <v>None</v>
      </c>
      <c r="G975" s="3" t="str">
        <f>_xlfn.XLOOKUP(A975,'Data Cleaning'!A975:A2444, 'Data Cleaning'!J975:J2444)</f>
        <v>Promoted in 1-3 years</v>
      </c>
    </row>
    <row r="976" spans="1:7" x14ac:dyDescent="0.25">
      <c r="A976" s="3">
        <v>198</v>
      </c>
      <c r="B976" s="3" t="str">
        <f>_xlfn.XLOOKUP(A976,'Data Cleaning'!A976:A2445, 'Data Cleaning'!I976:I2445)</f>
        <v>25-34</v>
      </c>
      <c r="C976">
        <f>_xlfn.XLOOKUP(A976,'Data Cleaning'!A976:A2445,'Data Cleaning'!K976:K2445)</f>
        <v>0</v>
      </c>
      <c r="D976" t="str">
        <f>_xlfn.XLOOKUP(A976,'Data Cleaning'!A976:A2445, 'Data Cleaning'!D976:D2445)</f>
        <v>Below College</v>
      </c>
      <c r="E976" s="3" t="str">
        <f>_xlfn.XLOOKUP(A976,'Data Cleaning'!A976:A2445, 'Data Cleaning'!E976:E2445)</f>
        <v>Single</v>
      </c>
      <c r="F976" t="str">
        <f>_xlfn.XLOOKUP(A976,'Data Cleaning'!A976:A2445, 'Data Cleaning'!F976:F2445)</f>
        <v>None</v>
      </c>
      <c r="G976" s="3" t="str">
        <f>_xlfn.XLOOKUP(A976,'Data Cleaning'!A976:A2445, 'Data Cleaning'!J976:J2445)</f>
        <v>Promoted in 1-3 years</v>
      </c>
    </row>
    <row r="977" spans="1:7" x14ac:dyDescent="0.25">
      <c r="A977" s="3">
        <v>517</v>
      </c>
      <c r="B977" s="3" t="str">
        <f>_xlfn.XLOOKUP(A977,'Data Cleaning'!A977:A2446, 'Data Cleaning'!I977:I2446)</f>
        <v>35-44</v>
      </c>
      <c r="C977">
        <f>_xlfn.XLOOKUP(A977,'Data Cleaning'!A977:A2446,'Data Cleaning'!K977:K2446)</f>
        <v>0</v>
      </c>
      <c r="D977" t="str">
        <f>_xlfn.XLOOKUP(A977,'Data Cleaning'!A977:A2446, 'Data Cleaning'!D977:D2446)</f>
        <v>Master</v>
      </c>
      <c r="E977" s="3" t="str">
        <f>_xlfn.XLOOKUP(A977,'Data Cleaning'!A977:A2446, 'Data Cleaning'!E977:E2446)</f>
        <v>Divorced</v>
      </c>
      <c r="F977" t="str">
        <f>_xlfn.XLOOKUP(A977,'Data Cleaning'!A977:A2446, 'Data Cleaning'!F977:F2446)</f>
        <v>Low</v>
      </c>
      <c r="G977" s="3" t="str">
        <f>_xlfn.XLOOKUP(A977,'Data Cleaning'!A977:A2446, 'Data Cleaning'!J977:J2446)</f>
        <v>Promoted in 1-3 years</v>
      </c>
    </row>
    <row r="978" spans="1:7" x14ac:dyDescent="0.25">
      <c r="A978" s="3">
        <v>1083</v>
      </c>
      <c r="B978" s="3" t="str">
        <f>_xlfn.XLOOKUP(A978,'Data Cleaning'!A978:A2447, 'Data Cleaning'!I978:I2447)</f>
        <v>25-34</v>
      </c>
      <c r="C978">
        <f>_xlfn.XLOOKUP(A978,'Data Cleaning'!A978:A2447,'Data Cleaning'!K978:K2447)</f>
        <v>0</v>
      </c>
      <c r="D978" t="str">
        <f>_xlfn.XLOOKUP(A978,'Data Cleaning'!A978:A2447, 'Data Cleaning'!D978:D2447)</f>
        <v>College</v>
      </c>
      <c r="E978" s="3" t="str">
        <f>_xlfn.XLOOKUP(A978,'Data Cleaning'!A978:A2447, 'Data Cleaning'!E978:E2447)</f>
        <v>Married</v>
      </c>
      <c r="F978" t="str">
        <f>_xlfn.XLOOKUP(A978,'Data Cleaning'!A978:A2447, 'Data Cleaning'!F978:F2447)</f>
        <v>Mid</v>
      </c>
      <c r="G978" s="3" t="str">
        <f>_xlfn.XLOOKUP(A978,'Data Cleaning'!A978:A2447, 'Data Cleaning'!J978:J2447)</f>
        <v>Promoted in 1-3 years</v>
      </c>
    </row>
    <row r="979" spans="1:7" x14ac:dyDescent="0.25">
      <c r="A979" s="3">
        <v>1202</v>
      </c>
      <c r="B979" s="3" t="str">
        <f>_xlfn.XLOOKUP(A979,'Data Cleaning'!A979:A2448, 'Data Cleaning'!I979:I2448)</f>
        <v>25-34</v>
      </c>
      <c r="C979">
        <f>_xlfn.XLOOKUP(A979,'Data Cleaning'!A979:A2448,'Data Cleaning'!K979:K2448)</f>
        <v>0</v>
      </c>
      <c r="D979" t="str">
        <f>_xlfn.XLOOKUP(A979,'Data Cleaning'!A979:A2448, 'Data Cleaning'!D979:D2448)</f>
        <v>Below College</v>
      </c>
      <c r="E979" s="3" t="str">
        <f>_xlfn.XLOOKUP(A979,'Data Cleaning'!A979:A2448, 'Data Cleaning'!E979:E2448)</f>
        <v>Married</v>
      </c>
      <c r="F979" t="str">
        <f>_xlfn.XLOOKUP(A979,'Data Cleaning'!A979:A2448, 'Data Cleaning'!F979:F2448)</f>
        <v>Low</v>
      </c>
      <c r="G979" s="3" t="str">
        <f>_xlfn.XLOOKUP(A979,'Data Cleaning'!A979:A2448, 'Data Cleaning'!J979:J2448)</f>
        <v>Promoted in 1-3 years</v>
      </c>
    </row>
    <row r="980" spans="1:7" x14ac:dyDescent="0.25">
      <c r="A980" s="3">
        <v>505</v>
      </c>
      <c r="B980" s="3" t="str">
        <f>_xlfn.XLOOKUP(A980,'Data Cleaning'!A980:A2449, 'Data Cleaning'!I980:I2449)</f>
        <v>55-60</v>
      </c>
      <c r="C980">
        <f>_xlfn.XLOOKUP(A980,'Data Cleaning'!A980:A2449,'Data Cleaning'!K980:K2449)</f>
        <v>0</v>
      </c>
      <c r="D980" t="str">
        <f>_xlfn.XLOOKUP(A980,'Data Cleaning'!A980:A2449, 'Data Cleaning'!D980:D2449)</f>
        <v>Bachelor</v>
      </c>
      <c r="E980" s="3" t="str">
        <f>_xlfn.XLOOKUP(A980,'Data Cleaning'!A980:A2449, 'Data Cleaning'!E980:E2449)</f>
        <v>Single</v>
      </c>
      <c r="F980" t="str">
        <f>_xlfn.XLOOKUP(A980,'Data Cleaning'!A980:A2449, 'Data Cleaning'!F980:F2449)</f>
        <v>None</v>
      </c>
      <c r="G980" s="3" t="str">
        <f>_xlfn.XLOOKUP(A980,'Data Cleaning'!A980:A2449, 'Data Cleaning'!J980:J2449)</f>
        <v>Promoted in 1-3 years</v>
      </c>
    </row>
    <row r="981" spans="1:7" x14ac:dyDescent="0.25">
      <c r="A981" s="3">
        <v>466</v>
      </c>
      <c r="B981" s="3" t="str">
        <f>_xlfn.XLOOKUP(A981,'Data Cleaning'!A981:A2450, 'Data Cleaning'!I981:I2450)</f>
        <v>35-44</v>
      </c>
      <c r="C981">
        <f>_xlfn.XLOOKUP(A981,'Data Cleaning'!A981:A2450,'Data Cleaning'!K981:K2450)</f>
        <v>0</v>
      </c>
      <c r="D981" t="str">
        <f>_xlfn.XLOOKUP(A981,'Data Cleaning'!A981:A2450, 'Data Cleaning'!D981:D2450)</f>
        <v>Bachelor</v>
      </c>
      <c r="E981" s="3" t="str">
        <f>_xlfn.XLOOKUP(A981,'Data Cleaning'!A981:A2450, 'Data Cleaning'!E981:E2450)</f>
        <v>Single</v>
      </c>
      <c r="F981" t="str">
        <f>_xlfn.XLOOKUP(A981,'Data Cleaning'!A981:A2450, 'Data Cleaning'!F981:F2450)</f>
        <v>None</v>
      </c>
      <c r="G981" s="3" t="str">
        <f>_xlfn.XLOOKUP(A981,'Data Cleaning'!A981:A2450, 'Data Cleaning'!J981:J2450)</f>
        <v>Promoted in 1-3 years</v>
      </c>
    </row>
    <row r="982" spans="1:7" x14ac:dyDescent="0.25">
      <c r="A982" s="3">
        <v>110</v>
      </c>
      <c r="B982" s="3" t="str">
        <f>_xlfn.XLOOKUP(A982,'Data Cleaning'!A982:A2451, 'Data Cleaning'!I982:I2451)</f>
        <v>25-34</v>
      </c>
      <c r="C982">
        <f>_xlfn.XLOOKUP(A982,'Data Cleaning'!A982:A2451,'Data Cleaning'!K982:K2451)</f>
        <v>0</v>
      </c>
      <c r="D982" t="str">
        <f>_xlfn.XLOOKUP(A982,'Data Cleaning'!A982:A2451, 'Data Cleaning'!D982:D2451)</f>
        <v>College</v>
      </c>
      <c r="E982" s="3" t="str">
        <f>_xlfn.XLOOKUP(A982,'Data Cleaning'!A982:A2451, 'Data Cleaning'!E982:E2451)</f>
        <v>Married</v>
      </c>
      <c r="F982" t="str">
        <f>_xlfn.XLOOKUP(A982,'Data Cleaning'!A982:A2451, 'Data Cleaning'!F982:F2451)</f>
        <v>None</v>
      </c>
      <c r="G982" s="3" t="str">
        <f>_xlfn.XLOOKUP(A982,'Data Cleaning'!A982:A2451, 'Data Cleaning'!J982:J2451)</f>
        <v>Promoted in 1-3 years</v>
      </c>
    </row>
    <row r="983" spans="1:7" x14ac:dyDescent="0.25">
      <c r="A983" s="3">
        <v>969</v>
      </c>
      <c r="B983" s="3" t="str">
        <f>_xlfn.XLOOKUP(A983,'Data Cleaning'!A983:A2452, 'Data Cleaning'!I983:I2452)</f>
        <v>25-34</v>
      </c>
      <c r="C983">
        <f>_xlfn.XLOOKUP(A983,'Data Cleaning'!A983:A2452,'Data Cleaning'!K983:K2452)</f>
        <v>0</v>
      </c>
      <c r="D983" t="str">
        <f>_xlfn.XLOOKUP(A983,'Data Cleaning'!A983:A2452, 'Data Cleaning'!D983:D2452)</f>
        <v>Bachelor</v>
      </c>
      <c r="E983" s="3" t="str">
        <f>_xlfn.XLOOKUP(A983,'Data Cleaning'!A983:A2452, 'Data Cleaning'!E983:E2452)</f>
        <v>Single</v>
      </c>
      <c r="F983" t="str">
        <f>_xlfn.XLOOKUP(A983,'Data Cleaning'!A983:A2452, 'Data Cleaning'!F983:F2452)</f>
        <v>None</v>
      </c>
      <c r="G983" s="3" t="str">
        <f>_xlfn.XLOOKUP(A983,'Data Cleaning'!A983:A2452, 'Data Cleaning'!J983:J2452)</f>
        <v>Promoted in 1-3 years</v>
      </c>
    </row>
    <row r="984" spans="1:7" x14ac:dyDescent="0.25">
      <c r="A984" s="3">
        <v>1931</v>
      </c>
      <c r="B984" s="3" t="str">
        <f>_xlfn.XLOOKUP(A984,'Data Cleaning'!A984:A2453, 'Data Cleaning'!I984:I2453)</f>
        <v>25-34</v>
      </c>
      <c r="C984">
        <f>_xlfn.XLOOKUP(A984,'Data Cleaning'!A984:A2453,'Data Cleaning'!K984:K2453)</f>
        <v>0</v>
      </c>
      <c r="D984" t="str">
        <f>_xlfn.XLOOKUP(A984,'Data Cleaning'!A984:A2453, 'Data Cleaning'!D984:D2453)</f>
        <v>Master</v>
      </c>
      <c r="E984" s="3" t="str">
        <f>_xlfn.XLOOKUP(A984,'Data Cleaning'!A984:A2453, 'Data Cleaning'!E984:E2453)</f>
        <v>Married</v>
      </c>
      <c r="F984" t="str">
        <f>_xlfn.XLOOKUP(A984,'Data Cleaning'!A984:A2453, 'Data Cleaning'!F984:F2453)</f>
        <v>Low</v>
      </c>
      <c r="G984" s="3" t="str">
        <f>_xlfn.XLOOKUP(A984,'Data Cleaning'!A984:A2453, 'Data Cleaning'!J984:J2453)</f>
        <v>Promoted in 1-3 years</v>
      </c>
    </row>
    <row r="985" spans="1:7" x14ac:dyDescent="0.25">
      <c r="A985" s="3">
        <v>1689</v>
      </c>
      <c r="B985" s="3" t="str">
        <f>_xlfn.XLOOKUP(A985,'Data Cleaning'!A985:A2454, 'Data Cleaning'!I985:I2454)</f>
        <v>45-54</v>
      </c>
      <c r="C985">
        <f>_xlfn.XLOOKUP(A985,'Data Cleaning'!A985:A2454,'Data Cleaning'!K985:K2454)</f>
        <v>0</v>
      </c>
      <c r="D985" t="str">
        <f>_xlfn.XLOOKUP(A985,'Data Cleaning'!A985:A2454, 'Data Cleaning'!D985:D2454)</f>
        <v>Master</v>
      </c>
      <c r="E985" s="3" t="str">
        <f>_xlfn.XLOOKUP(A985,'Data Cleaning'!A985:A2454, 'Data Cleaning'!E985:E2454)</f>
        <v>Married</v>
      </c>
      <c r="F985" t="str">
        <f>_xlfn.XLOOKUP(A985,'Data Cleaning'!A985:A2454, 'Data Cleaning'!F985:F2454)</f>
        <v>None</v>
      </c>
      <c r="G985" s="3" t="str">
        <f>_xlfn.XLOOKUP(A985,'Data Cleaning'!A985:A2454, 'Data Cleaning'!J985:J2454)</f>
        <v>Promoted in 1-3 years</v>
      </c>
    </row>
    <row r="986" spans="1:7" x14ac:dyDescent="0.25">
      <c r="A986" s="3">
        <v>491</v>
      </c>
      <c r="B986" s="3" t="str">
        <f>_xlfn.XLOOKUP(A986,'Data Cleaning'!A986:A2455, 'Data Cleaning'!I986:I2455)</f>
        <v>45-54</v>
      </c>
      <c r="C986">
        <f>_xlfn.XLOOKUP(A986,'Data Cleaning'!A986:A2455,'Data Cleaning'!K986:K2455)</f>
        <v>0</v>
      </c>
      <c r="D986" t="str">
        <f>_xlfn.XLOOKUP(A986,'Data Cleaning'!A986:A2455, 'Data Cleaning'!D986:D2455)</f>
        <v>Bachelor</v>
      </c>
      <c r="E986" s="3" t="str">
        <f>_xlfn.XLOOKUP(A986,'Data Cleaning'!A986:A2455, 'Data Cleaning'!E986:E2455)</f>
        <v>Single</v>
      </c>
      <c r="F986" t="str">
        <f>_xlfn.XLOOKUP(A986,'Data Cleaning'!A986:A2455, 'Data Cleaning'!F986:F2455)</f>
        <v>None</v>
      </c>
      <c r="G986" s="3" t="str">
        <f>_xlfn.XLOOKUP(A986,'Data Cleaning'!A986:A2455, 'Data Cleaning'!J986:J2455)</f>
        <v>Promoted in 1-3 years</v>
      </c>
    </row>
    <row r="987" spans="1:7" x14ac:dyDescent="0.25">
      <c r="A987" s="3">
        <v>2038</v>
      </c>
      <c r="B987" s="3" t="str">
        <f>_xlfn.XLOOKUP(A987,'Data Cleaning'!A987:A2456, 'Data Cleaning'!I987:I2456)</f>
        <v>25-34</v>
      </c>
      <c r="C987">
        <f>_xlfn.XLOOKUP(A987,'Data Cleaning'!A987:A2456,'Data Cleaning'!K987:K2456)</f>
        <v>0</v>
      </c>
      <c r="D987" t="str">
        <f>_xlfn.XLOOKUP(A987,'Data Cleaning'!A987:A2456, 'Data Cleaning'!D987:D2456)</f>
        <v>Bachelor</v>
      </c>
      <c r="E987" s="3" t="str">
        <f>_xlfn.XLOOKUP(A987,'Data Cleaning'!A987:A2456, 'Data Cleaning'!E987:E2456)</f>
        <v>Single</v>
      </c>
      <c r="F987" t="str">
        <f>_xlfn.XLOOKUP(A987,'Data Cleaning'!A987:A2456, 'Data Cleaning'!F987:F2456)</f>
        <v>None</v>
      </c>
      <c r="G987" s="3" t="str">
        <f>_xlfn.XLOOKUP(A987,'Data Cleaning'!A987:A2456, 'Data Cleaning'!J987:J2456)</f>
        <v>Promoted in 1-3 years</v>
      </c>
    </row>
    <row r="988" spans="1:7" x14ac:dyDescent="0.25">
      <c r="A988" s="3">
        <v>1019</v>
      </c>
      <c r="B988" s="3" t="str">
        <f>_xlfn.XLOOKUP(A988,'Data Cleaning'!A988:A2457, 'Data Cleaning'!I988:I2457)</f>
        <v>18-24</v>
      </c>
      <c r="C988">
        <f>_xlfn.XLOOKUP(A988,'Data Cleaning'!A988:A2457,'Data Cleaning'!K988:K2457)</f>
        <v>0</v>
      </c>
      <c r="D988" t="str">
        <f>_xlfn.XLOOKUP(A988,'Data Cleaning'!A988:A2457, 'Data Cleaning'!D988:D2457)</f>
        <v>Below College</v>
      </c>
      <c r="E988" s="3" t="str">
        <f>_xlfn.XLOOKUP(A988,'Data Cleaning'!A988:A2457, 'Data Cleaning'!E988:E2457)</f>
        <v>Married</v>
      </c>
      <c r="F988" t="str">
        <f>_xlfn.XLOOKUP(A988,'Data Cleaning'!A988:A2457, 'Data Cleaning'!F988:F2457)</f>
        <v>Low</v>
      </c>
      <c r="G988" s="3" t="str">
        <f>_xlfn.XLOOKUP(A988,'Data Cleaning'!A988:A2457, 'Data Cleaning'!J988:J2457)</f>
        <v>Promoted in 1-3 years</v>
      </c>
    </row>
    <row r="989" spans="1:7" x14ac:dyDescent="0.25">
      <c r="A989" s="3">
        <v>1407</v>
      </c>
      <c r="B989" s="3" t="str">
        <f>_xlfn.XLOOKUP(A989,'Data Cleaning'!A989:A2458, 'Data Cleaning'!I989:I2458)</f>
        <v>25-34</v>
      </c>
      <c r="C989">
        <f>_xlfn.XLOOKUP(A989,'Data Cleaning'!A989:A2458,'Data Cleaning'!K989:K2458)</f>
        <v>0</v>
      </c>
      <c r="D989" t="str">
        <f>_xlfn.XLOOKUP(A989,'Data Cleaning'!A989:A2458, 'Data Cleaning'!D989:D2458)</f>
        <v>Below College</v>
      </c>
      <c r="E989" s="3" t="str">
        <f>_xlfn.XLOOKUP(A989,'Data Cleaning'!A989:A2458, 'Data Cleaning'!E989:E2458)</f>
        <v>Single</v>
      </c>
      <c r="F989" t="str">
        <f>_xlfn.XLOOKUP(A989,'Data Cleaning'!A989:A2458, 'Data Cleaning'!F989:F2458)</f>
        <v>None</v>
      </c>
      <c r="G989" s="3" t="str">
        <f>_xlfn.XLOOKUP(A989,'Data Cleaning'!A989:A2458, 'Data Cleaning'!J989:J2458)</f>
        <v>Promoted in 1-3 years</v>
      </c>
    </row>
    <row r="990" spans="1:7" x14ac:dyDescent="0.25">
      <c r="A990" s="3">
        <v>250</v>
      </c>
      <c r="B990" s="3" t="str">
        <f>_xlfn.XLOOKUP(A990,'Data Cleaning'!A990:A2459, 'Data Cleaning'!I990:I2459)</f>
        <v>45-54</v>
      </c>
      <c r="C990">
        <f>_xlfn.XLOOKUP(A990,'Data Cleaning'!A990:A2459,'Data Cleaning'!K990:K2459)</f>
        <v>0</v>
      </c>
      <c r="D990" t="str">
        <f>_xlfn.XLOOKUP(A990,'Data Cleaning'!A990:A2459, 'Data Cleaning'!D990:D2459)</f>
        <v>College</v>
      </c>
      <c r="E990" s="3" t="str">
        <f>_xlfn.XLOOKUP(A990,'Data Cleaning'!A990:A2459, 'Data Cleaning'!E990:E2459)</f>
        <v>Divorced</v>
      </c>
      <c r="F990" t="str">
        <f>_xlfn.XLOOKUP(A990,'Data Cleaning'!A990:A2459, 'Data Cleaning'!F990:F2459)</f>
        <v>Mid</v>
      </c>
      <c r="G990" s="3" t="str">
        <f>_xlfn.XLOOKUP(A990,'Data Cleaning'!A990:A2459, 'Data Cleaning'!J990:J2459)</f>
        <v>Promoted in 1-3 years</v>
      </c>
    </row>
    <row r="991" spans="1:7" x14ac:dyDescent="0.25">
      <c r="A991" s="3">
        <v>797</v>
      </c>
      <c r="B991" s="3" t="str">
        <f>_xlfn.XLOOKUP(A991,'Data Cleaning'!A991:A2460, 'Data Cleaning'!I991:I2460)</f>
        <v>25-34</v>
      </c>
      <c r="C991">
        <f>_xlfn.XLOOKUP(A991,'Data Cleaning'!A991:A2460,'Data Cleaning'!K991:K2460)</f>
        <v>0</v>
      </c>
      <c r="D991" t="str">
        <f>_xlfn.XLOOKUP(A991,'Data Cleaning'!A991:A2460, 'Data Cleaning'!D991:D2460)</f>
        <v>Master</v>
      </c>
      <c r="E991" s="3" t="str">
        <f>_xlfn.XLOOKUP(A991,'Data Cleaning'!A991:A2460, 'Data Cleaning'!E991:E2460)</f>
        <v>Single</v>
      </c>
      <c r="F991" t="str">
        <f>_xlfn.XLOOKUP(A991,'Data Cleaning'!A991:A2460, 'Data Cleaning'!F991:F2460)</f>
        <v>None</v>
      </c>
      <c r="G991" s="3" t="str">
        <f>_xlfn.XLOOKUP(A991,'Data Cleaning'!A991:A2460, 'Data Cleaning'!J991:J2460)</f>
        <v>Promoted in 1-3 years</v>
      </c>
    </row>
    <row r="992" spans="1:7" x14ac:dyDescent="0.25">
      <c r="A992" s="3">
        <v>2068</v>
      </c>
      <c r="B992" s="3" t="str">
        <f>_xlfn.XLOOKUP(A992,'Data Cleaning'!A992:A2461, 'Data Cleaning'!I992:I2461)</f>
        <v>25-34</v>
      </c>
      <c r="C992">
        <f>_xlfn.XLOOKUP(A992,'Data Cleaning'!A992:A2461,'Data Cleaning'!K992:K2461)</f>
        <v>0</v>
      </c>
      <c r="D992" t="str">
        <f>_xlfn.XLOOKUP(A992,'Data Cleaning'!A992:A2461, 'Data Cleaning'!D992:D2461)</f>
        <v>Bachelor</v>
      </c>
      <c r="E992" s="3" t="str">
        <f>_xlfn.XLOOKUP(A992,'Data Cleaning'!A992:A2461, 'Data Cleaning'!E992:E2461)</f>
        <v>Married</v>
      </c>
      <c r="F992" t="str">
        <f>_xlfn.XLOOKUP(A992,'Data Cleaning'!A992:A2461, 'Data Cleaning'!F992:F2461)</f>
        <v>None</v>
      </c>
      <c r="G992" s="3" t="str">
        <f>_xlfn.XLOOKUP(A992,'Data Cleaning'!A992:A2461, 'Data Cleaning'!J992:J2461)</f>
        <v>Promoted in 1-3 years</v>
      </c>
    </row>
    <row r="993" spans="1:7" x14ac:dyDescent="0.25">
      <c r="A993" s="3">
        <v>350</v>
      </c>
      <c r="B993" s="3" t="str">
        <f>_xlfn.XLOOKUP(A993,'Data Cleaning'!A993:A2462, 'Data Cleaning'!I993:I2462)</f>
        <v>25-34</v>
      </c>
      <c r="C993">
        <f>_xlfn.XLOOKUP(A993,'Data Cleaning'!A993:A2462,'Data Cleaning'!K993:K2462)</f>
        <v>0</v>
      </c>
      <c r="D993" t="str">
        <f>_xlfn.XLOOKUP(A993,'Data Cleaning'!A993:A2462, 'Data Cleaning'!D993:D2462)</f>
        <v>Bachelor</v>
      </c>
      <c r="E993" s="3" t="str">
        <f>_xlfn.XLOOKUP(A993,'Data Cleaning'!A993:A2462, 'Data Cleaning'!E993:E2462)</f>
        <v>Married</v>
      </c>
      <c r="F993" t="str">
        <f>_xlfn.XLOOKUP(A993,'Data Cleaning'!A993:A2462, 'Data Cleaning'!F993:F2462)</f>
        <v>Mid</v>
      </c>
      <c r="G993" s="3" t="str">
        <f>_xlfn.XLOOKUP(A993,'Data Cleaning'!A993:A2462, 'Data Cleaning'!J993:J2462)</f>
        <v>Promoted in 1-3 years</v>
      </c>
    </row>
    <row r="994" spans="1:7" x14ac:dyDescent="0.25">
      <c r="A994" s="3">
        <v>40</v>
      </c>
      <c r="B994" s="3" t="str">
        <f>_xlfn.XLOOKUP(A994,'Data Cleaning'!A994:A2463, 'Data Cleaning'!I994:I2463)</f>
        <v>35-44</v>
      </c>
      <c r="C994">
        <f>_xlfn.XLOOKUP(A994,'Data Cleaning'!A994:A2463,'Data Cleaning'!K994:K2463)</f>
        <v>0</v>
      </c>
      <c r="D994" t="str">
        <f>_xlfn.XLOOKUP(A994,'Data Cleaning'!A994:A2463, 'Data Cleaning'!D994:D2463)</f>
        <v>Master</v>
      </c>
      <c r="E994" s="3" t="str">
        <f>_xlfn.XLOOKUP(A994,'Data Cleaning'!A994:A2463, 'Data Cleaning'!E994:E2463)</f>
        <v>Married</v>
      </c>
      <c r="F994" t="str">
        <f>_xlfn.XLOOKUP(A994,'Data Cleaning'!A994:A2463, 'Data Cleaning'!F994:F2463)</f>
        <v>None</v>
      </c>
      <c r="G994" s="3" t="str">
        <f>_xlfn.XLOOKUP(A994,'Data Cleaning'!A994:A2463, 'Data Cleaning'!J994:J2463)</f>
        <v>Promoted in 1-3 years</v>
      </c>
    </row>
    <row r="995" spans="1:7" x14ac:dyDescent="0.25">
      <c r="A995" s="3">
        <v>1998</v>
      </c>
      <c r="B995" s="3" t="str">
        <f>_xlfn.XLOOKUP(A995,'Data Cleaning'!A995:A2464, 'Data Cleaning'!I995:I2464)</f>
        <v>35-44</v>
      </c>
      <c r="C995">
        <f>_xlfn.XLOOKUP(A995,'Data Cleaning'!A995:A2464,'Data Cleaning'!K995:K2464)</f>
        <v>0</v>
      </c>
      <c r="D995" t="str">
        <f>_xlfn.XLOOKUP(A995,'Data Cleaning'!A995:A2464, 'Data Cleaning'!D995:D2464)</f>
        <v>Master</v>
      </c>
      <c r="E995" s="3" t="str">
        <f>_xlfn.XLOOKUP(A995,'Data Cleaning'!A995:A2464, 'Data Cleaning'!E995:E2464)</f>
        <v>Divorced</v>
      </c>
      <c r="F995" t="str">
        <f>_xlfn.XLOOKUP(A995,'Data Cleaning'!A995:A2464, 'Data Cleaning'!F995:F2464)</f>
        <v>Low</v>
      </c>
      <c r="G995" s="3" t="str">
        <f>_xlfn.XLOOKUP(A995,'Data Cleaning'!A995:A2464, 'Data Cleaning'!J995:J2464)</f>
        <v>Promoted in 1-3 years</v>
      </c>
    </row>
    <row r="996" spans="1:7" x14ac:dyDescent="0.25">
      <c r="A996" s="3">
        <v>408</v>
      </c>
      <c r="B996" s="3" t="str">
        <f>_xlfn.XLOOKUP(A996,'Data Cleaning'!A996:A2465, 'Data Cleaning'!I996:I2465)</f>
        <v>45-54</v>
      </c>
      <c r="C996">
        <f>_xlfn.XLOOKUP(A996,'Data Cleaning'!A996:A2465,'Data Cleaning'!K996:K2465)</f>
        <v>0</v>
      </c>
      <c r="D996" t="str">
        <f>_xlfn.XLOOKUP(A996,'Data Cleaning'!A996:A2465, 'Data Cleaning'!D996:D2465)</f>
        <v>Bachelor</v>
      </c>
      <c r="E996" s="3" t="str">
        <f>_xlfn.XLOOKUP(A996,'Data Cleaning'!A996:A2465, 'Data Cleaning'!E996:E2465)</f>
        <v>Divorced</v>
      </c>
      <c r="F996" t="str">
        <f>_xlfn.XLOOKUP(A996,'Data Cleaning'!A996:A2465, 'Data Cleaning'!F996:F2465)</f>
        <v>Low</v>
      </c>
      <c r="G996" s="3" t="str">
        <f>_xlfn.XLOOKUP(A996,'Data Cleaning'!A996:A2465, 'Data Cleaning'!J996:J2465)</f>
        <v>Promoted in 1-3 years</v>
      </c>
    </row>
    <row r="997" spans="1:7" x14ac:dyDescent="0.25">
      <c r="A997" s="3">
        <v>522</v>
      </c>
      <c r="B997" s="3" t="str">
        <f>_xlfn.XLOOKUP(A997,'Data Cleaning'!A997:A2466, 'Data Cleaning'!I997:I2466)</f>
        <v>45-54</v>
      </c>
      <c r="C997">
        <f>_xlfn.XLOOKUP(A997,'Data Cleaning'!A997:A2466,'Data Cleaning'!K997:K2466)</f>
        <v>0</v>
      </c>
      <c r="D997" t="str">
        <f>_xlfn.XLOOKUP(A997,'Data Cleaning'!A997:A2466, 'Data Cleaning'!D997:D2466)</f>
        <v>College</v>
      </c>
      <c r="E997" s="3" t="str">
        <f>_xlfn.XLOOKUP(A997,'Data Cleaning'!A997:A2466, 'Data Cleaning'!E997:E2466)</f>
        <v>Married</v>
      </c>
      <c r="F997" t="str">
        <f>_xlfn.XLOOKUP(A997,'Data Cleaning'!A997:A2466, 'Data Cleaning'!F997:F2466)</f>
        <v>Low</v>
      </c>
      <c r="G997" s="3" t="str">
        <f>_xlfn.XLOOKUP(A997,'Data Cleaning'!A997:A2466, 'Data Cleaning'!J997:J2466)</f>
        <v>Promoted in 1-3 years</v>
      </c>
    </row>
    <row r="998" spans="1:7" x14ac:dyDescent="0.25">
      <c r="A998" s="3">
        <v>1655</v>
      </c>
      <c r="B998" s="3" t="str">
        <f>_xlfn.XLOOKUP(A998,'Data Cleaning'!A998:A2467, 'Data Cleaning'!I998:I2467)</f>
        <v>45-54</v>
      </c>
      <c r="C998">
        <f>_xlfn.XLOOKUP(A998,'Data Cleaning'!A998:A2467,'Data Cleaning'!K998:K2467)</f>
        <v>0</v>
      </c>
      <c r="D998" t="str">
        <f>_xlfn.XLOOKUP(A998,'Data Cleaning'!A998:A2467, 'Data Cleaning'!D998:D2467)</f>
        <v>Master</v>
      </c>
      <c r="E998" s="3" t="str">
        <f>_xlfn.XLOOKUP(A998,'Data Cleaning'!A998:A2467, 'Data Cleaning'!E998:E2467)</f>
        <v>Married</v>
      </c>
      <c r="F998" t="str">
        <f>_xlfn.XLOOKUP(A998,'Data Cleaning'!A998:A2467, 'Data Cleaning'!F998:F2467)</f>
        <v>Mid</v>
      </c>
      <c r="G998" s="3" t="str">
        <f>_xlfn.XLOOKUP(A998,'Data Cleaning'!A998:A2467, 'Data Cleaning'!J998:J2467)</f>
        <v>Promoted in 1-3 years</v>
      </c>
    </row>
    <row r="999" spans="1:7" x14ac:dyDescent="0.25">
      <c r="A999" s="3">
        <v>1533</v>
      </c>
      <c r="B999" s="3" t="str">
        <f>_xlfn.XLOOKUP(A999,'Data Cleaning'!A999:A2468, 'Data Cleaning'!I999:I2468)</f>
        <v>18-24</v>
      </c>
      <c r="C999">
        <f>_xlfn.XLOOKUP(A999,'Data Cleaning'!A999:A2468,'Data Cleaning'!K999:K2468)</f>
        <v>0</v>
      </c>
      <c r="D999" t="str">
        <f>_xlfn.XLOOKUP(A999,'Data Cleaning'!A999:A2468, 'Data Cleaning'!D999:D2468)</f>
        <v>Below College</v>
      </c>
      <c r="E999" s="3" t="str">
        <f>_xlfn.XLOOKUP(A999,'Data Cleaning'!A999:A2468, 'Data Cleaning'!E999:E2468)</f>
        <v>Single</v>
      </c>
      <c r="F999" t="str">
        <f>_xlfn.XLOOKUP(A999,'Data Cleaning'!A999:A2468, 'Data Cleaning'!F999:F2468)</f>
        <v>None</v>
      </c>
      <c r="G999" s="3" t="str">
        <f>_xlfn.XLOOKUP(A999,'Data Cleaning'!A999:A2468, 'Data Cleaning'!J999:J2468)</f>
        <v>Promoted in 1-3 years</v>
      </c>
    </row>
    <row r="1000" spans="1:7" x14ac:dyDescent="0.25">
      <c r="A1000" s="3">
        <v>1981</v>
      </c>
      <c r="B1000" s="3" t="str">
        <f>_xlfn.XLOOKUP(A1000,'Data Cleaning'!A1000:A2469, 'Data Cleaning'!I1000:I2469)</f>
        <v>18-24</v>
      </c>
      <c r="C1000">
        <f>_xlfn.XLOOKUP(A1000,'Data Cleaning'!A1000:A2469,'Data Cleaning'!K1000:K2469)</f>
        <v>0</v>
      </c>
      <c r="D1000" t="str">
        <f>_xlfn.XLOOKUP(A1000,'Data Cleaning'!A1000:A2469, 'Data Cleaning'!D1000:D2469)</f>
        <v>College</v>
      </c>
      <c r="E1000" s="3" t="str">
        <f>_xlfn.XLOOKUP(A1000,'Data Cleaning'!A1000:A2469, 'Data Cleaning'!E1000:E2469)</f>
        <v>Single</v>
      </c>
      <c r="F1000" t="str">
        <f>_xlfn.XLOOKUP(A1000,'Data Cleaning'!A1000:A2469, 'Data Cleaning'!F1000:F2469)</f>
        <v>None</v>
      </c>
      <c r="G1000" s="3" t="str">
        <f>_xlfn.XLOOKUP(A1000,'Data Cleaning'!A1000:A2469, 'Data Cleaning'!J1000:J2469)</f>
        <v>Promoted in 1-3 years</v>
      </c>
    </row>
    <row r="1001" spans="1:7" x14ac:dyDescent="0.25">
      <c r="A1001" s="3">
        <v>700</v>
      </c>
      <c r="B1001" s="3" t="str">
        <f>_xlfn.XLOOKUP(A1001,'Data Cleaning'!A1001:A2470, 'Data Cleaning'!I1001:I2470)</f>
        <v>25-34</v>
      </c>
      <c r="C1001">
        <f>_xlfn.XLOOKUP(A1001,'Data Cleaning'!A1001:A2470,'Data Cleaning'!K1001:K2470)</f>
        <v>0</v>
      </c>
      <c r="D1001" t="str">
        <f>_xlfn.XLOOKUP(A1001,'Data Cleaning'!A1001:A2470, 'Data Cleaning'!D1001:D2470)</f>
        <v>Master</v>
      </c>
      <c r="E1001" s="3" t="str">
        <f>_xlfn.XLOOKUP(A1001,'Data Cleaning'!A1001:A2470, 'Data Cleaning'!E1001:E2470)</f>
        <v>Single</v>
      </c>
      <c r="F1001" t="str">
        <f>_xlfn.XLOOKUP(A1001,'Data Cleaning'!A1001:A2470, 'Data Cleaning'!F1001:F2470)</f>
        <v>None</v>
      </c>
      <c r="G1001" s="3" t="str">
        <f>_xlfn.XLOOKUP(A1001,'Data Cleaning'!A1001:A2470, 'Data Cleaning'!J1001:J2470)</f>
        <v>Promoted in 1-3 years</v>
      </c>
    </row>
    <row r="1002" spans="1:7" x14ac:dyDescent="0.25">
      <c r="A1002" s="3">
        <v>1694</v>
      </c>
      <c r="B1002" s="3" t="str">
        <f>_xlfn.XLOOKUP(A1002,'Data Cleaning'!A1002:A2471, 'Data Cleaning'!I1002:I2471)</f>
        <v>55-60</v>
      </c>
      <c r="C1002">
        <f>_xlfn.XLOOKUP(A1002,'Data Cleaning'!A1002:A2471,'Data Cleaning'!K1002:K2471)</f>
        <v>0</v>
      </c>
      <c r="D1002" t="str">
        <f>_xlfn.XLOOKUP(A1002,'Data Cleaning'!A1002:A2471, 'Data Cleaning'!D1002:D2471)</f>
        <v>Bachelor</v>
      </c>
      <c r="E1002" s="3" t="str">
        <f>_xlfn.XLOOKUP(A1002,'Data Cleaning'!A1002:A2471, 'Data Cleaning'!E1002:E2471)</f>
        <v>Divorced</v>
      </c>
      <c r="F1002" t="str">
        <f>_xlfn.XLOOKUP(A1002,'Data Cleaning'!A1002:A2471, 'Data Cleaning'!F1002:F2471)</f>
        <v>Low</v>
      </c>
      <c r="G1002" s="3" t="str">
        <f>_xlfn.XLOOKUP(A1002,'Data Cleaning'!A1002:A2471, 'Data Cleaning'!J1002:J2471)</f>
        <v>Promoted in 1-3 years</v>
      </c>
    </row>
    <row r="1003" spans="1:7" x14ac:dyDescent="0.25">
      <c r="A1003" s="3">
        <v>2020</v>
      </c>
      <c r="B1003" s="3" t="str">
        <f>_xlfn.XLOOKUP(A1003,'Data Cleaning'!A1003:A2472, 'Data Cleaning'!I1003:I2472)</f>
        <v>35-44</v>
      </c>
      <c r="C1003">
        <f>_xlfn.XLOOKUP(A1003,'Data Cleaning'!A1003:A2472,'Data Cleaning'!K1003:K2472)</f>
        <v>0</v>
      </c>
      <c r="D1003" t="str">
        <f>_xlfn.XLOOKUP(A1003,'Data Cleaning'!A1003:A2472, 'Data Cleaning'!D1003:D2472)</f>
        <v>Bachelor</v>
      </c>
      <c r="E1003" s="3" t="str">
        <f>_xlfn.XLOOKUP(A1003,'Data Cleaning'!A1003:A2472, 'Data Cleaning'!E1003:E2472)</f>
        <v>Single</v>
      </c>
      <c r="F1003" t="str">
        <f>_xlfn.XLOOKUP(A1003,'Data Cleaning'!A1003:A2472, 'Data Cleaning'!F1003:F2472)</f>
        <v>None</v>
      </c>
      <c r="G1003" s="3" t="str">
        <f>_xlfn.XLOOKUP(A1003,'Data Cleaning'!A1003:A2472, 'Data Cleaning'!J1003:J2472)</f>
        <v>Promoted in 1-3 years</v>
      </c>
    </row>
    <row r="1004" spans="1:7" x14ac:dyDescent="0.25">
      <c r="A1004" s="3">
        <v>434</v>
      </c>
      <c r="B1004" s="3" t="str">
        <f>_xlfn.XLOOKUP(A1004,'Data Cleaning'!A1004:A2473, 'Data Cleaning'!I1004:I2473)</f>
        <v>25-34</v>
      </c>
      <c r="C1004">
        <f>_xlfn.XLOOKUP(A1004,'Data Cleaning'!A1004:A2473,'Data Cleaning'!K1004:K2473)</f>
        <v>0</v>
      </c>
      <c r="D1004" t="str">
        <f>_xlfn.XLOOKUP(A1004,'Data Cleaning'!A1004:A2473, 'Data Cleaning'!D1004:D2473)</f>
        <v>Bachelor</v>
      </c>
      <c r="E1004" s="3" t="str">
        <f>_xlfn.XLOOKUP(A1004,'Data Cleaning'!A1004:A2473, 'Data Cleaning'!E1004:E2473)</f>
        <v>Single</v>
      </c>
      <c r="F1004" t="str">
        <f>_xlfn.XLOOKUP(A1004,'Data Cleaning'!A1004:A2473, 'Data Cleaning'!F1004:F2473)</f>
        <v>None</v>
      </c>
      <c r="G1004" s="3" t="str">
        <f>_xlfn.XLOOKUP(A1004,'Data Cleaning'!A1004:A2473, 'Data Cleaning'!J1004:J2473)</f>
        <v>Promoted in 1-3 years</v>
      </c>
    </row>
    <row r="1005" spans="1:7" x14ac:dyDescent="0.25">
      <c r="A1005" s="3">
        <v>2052</v>
      </c>
      <c r="B1005" s="3" t="str">
        <f>_xlfn.XLOOKUP(A1005,'Data Cleaning'!A1005:A2474, 'Data Cleaning'!I1005:I2474)</f>
        <v>35-44</v>
      </c>
      <c r="C1005">
        <f>_xlfn.XLOOKUP(A1005,'Data Cleaning'!A1005:A2474,'Data Cleaning'!K1005:K2474)</f>
        <v>0</v>
      </c>
      <c r="D1005" t="str">
        <f>_xlfn.XLOOKUP(A1005,'Data Cleaning'!A1005:A2474, 'Data Cleaning'!D1005:D2474)</f>
        <v>Master</v>
      </c>
      <c r="E1005" s="3" t="str">
        <f>_xlfn.XLOOKUP(A1005,'Data Cleaning'!A1005:A2474, 'Data Cleaning'!E1005:E2474)</f>
        <v>Married</v>
      </c>
      <c r="F1005" t="str">
        <f>_xlfn.XLOOKUP(A1005,'Data Cleaning'!A1005:A2474, 'Data Cleaning'!F1005:F2474)</f>
        <v>Low</v>
      </c>
      <c r="G1005" s="3" t="str">
        <f>_xlfn.XLOOKUP(A1005,'Data Cleaning'!A1005:A2474, 'Data Cleaning'!J1005:J2474)</f>
        <v>Promoted in 1-3 years</v>
      </c>
    </row>
    <row r="1006" spans="1:7" x14ac:dyDescent="0.25">
      <c r="A1006" s="3">
        <v>1358</v>
      </c>
      <c r="B1006" s="3" t="str">
        <f>_xlfn.XLOOKUP(A1006,'Data Cleaning'!A1006:A2475, 'Data Cleaning'!I1006:I2475)</f>
        <v>25-34</v>
      </c>
      <c r="C1006">
        <f>_xlfn.XLOOKUP(A1006,'Data Cleaning'!A1006:A2475,'Data Cleaning'!K1006:K2475)</f>
        <v>0</v>
      </c>
      <c r="D1006" t="str">
        <f>_xlfn.XLOOKUP(A1006,'Data Cleaning'!A1006:A2475, 'Data Cleaning'!D1006:D2475)</f>
        <v>Below College</v>
      </c>
      <c r="E1006" s="3" t="str">
        <f>_xlfn.XLOOKUP(A1006,'Data Cleaning'!A1006:A2475, 'Data Cleaning'!E1006:E2475)</f>
        <v>Married</v>
      </c>
      <c r="F1006" t="str">
        <f>_xlfn.XLOOKUP(A1006,'Data Cleaning'!A1006:A2475, 'Data Cleaning'!F1006:F2475)</f>
        <v>High</v>
      </c>
      <c r="G1006" s="3" t="str">
        <f>_xlfn.XLOOKUP(A1006,'Data Cleaning'!A1006:A2475, 'Data Cleaning'!J1006:J2475)</f>
        <v>Promoted in 1-3 years</v>
      </c>
    </row>
    <row r="1007" spans="1:7" x14ac:dyDescent="0.25">
      <c r="A1007" s="3">
        <v>1735</v>
      </c>
      <c r="B1007" s="3" t="str">
        <f>_xlfn.XLOOKUP(A1007,'Data Cleaning'!A1007:A2476, 'Data Cleaning'!I1007:I2476)</f>
        <v>18-24</v>
      </c>
      <c r="C1007">
        <f>_xlfn.XLOOKUP(A1007,'Data Cleaning'!A1007:A2476,'Data Cleaning'!K1007:K2476)</f>
        <v>0</v>
      </c>
      <c r="D1007" t="str">
        <f>_xlfn.XLOOKUP(A1007,'Data Cleaning'!A1007:A2476, 'Data Cleaning'!D1007:D2476)</f>
        <v>Below College</v>
      </c>
      <c r="E1007" s="3" t="str">
        <f>_xlfn.XLOOKUP(A1007,'Data Cleaning'!A1007:A2476, 'Data Cleaning'!E1007:E2476)</f>
        <v>Single</v>
      </c>
      <c r="F1007" t="str">
        <f>_xlfn.XLOOKUP(A1007,'Data Cleaning'!A1007:A2476, 'Data Cleaning'!F1007:F2476)</f>
        <v>None</v>
      </c>
      <c r="G1007" s="3" t="str">
        <f>_xlfn.XLOOKUP(A1007,'Data Cleaning'!A1007:A2476, 'Data Cleaning'!J1007:J2476)</f>
        <v>Promoted in 1-3 years</v>
      </c>
    </row>
    <row r="1008" spans="1:7" x14ac:dyDescent="0.25">
      <c r="A1008" s="3">
        <v>379</v>
      </c>
      <c r="B1008" s="3" t="str">
        <f>_xlfn.XLOOKUP(A1008,'Data Cleaning'!A1008:A2477, 'Data Cleaning'!I1008:I2477)</f>
        <v>18-24</v>
      </c>
      <c r="C1008">
        <f>_xlfn.XLOOKUP(A1008,'Data Cleaning'!A1008:A2477,'Data Cleaning'!K1008:K2477)</f>
        <v>0</v>
      </c>
      <c r="D1008" t="str">
        <f>_xlfn.XLOOKUP(A1008,'Data Cleaning'!A1008:A2477, 'Data Cleaning'!D1008:D2477)</f>
        <v>College</v>
      </c>
      <c r="E1008" s="3" t="str">
        <f>_xlfn.XLOOKUP(A1008,'Data Cleaning'!A1008:A2477, 'Data Cleaning'!E1008:E2477)</f>
        <v>Single</v>
      </c>
      <c r="F1008" t="str">
        <f>_xlfn.XLOOKUP(A1008,'Data Cleaning'!A1008:A2477, 'Data Cleaning'!F1008:F2477)</f>
        <v>None</v>
      </c>
      <c r="G1008" s="3" t="str">
        <f>_xlfn.XLOOKUP(A1008,'Data Cleaning'!A1008:A2477, 'Data Cleaning'!J1008:J2477)</f>
        <v>Promoted in 1-3 years</v>
      </c>
    </row>
    <row r="1009" spans="1:7" x14ac:dyDescent="0.25">
      <c r="A1009" s="3">
        <v>332</v>
      </c>
      <c r="B1009" s="3" t="str">
        <f>_xlfn.XLOOKUP(A1009,'Data Cleaning'!A1009:A2478, 'Data Cleaning'!I1009:I2478)</f>
        <v>35-44</v>
      </c>
      <c r="C1009">
        <f>_xlfn.XLOOKUP(A1009,'Data Cleaning'!A1009:A2478,'Data Cleaning'!K1009:K2478)</f>
        <v>0</v>
      </c>
      <c r="D1009" t="str">
        <f>_xlfn.XLOOKUP(A1009,'Data Cleaning'!A1009:A2478, 'Data Cleaning'!D1009:D2478)</f>
        <v>Master</v>
      </c>
      <c r="E1009" s="3" t="str">
        <f>_xlfn.XLOOKUP(A1009,'Data Cleaning'!A1009:A2478, 'Data Cleaning'!E1009:E2478)</f>
        <v>Divorced</v>
      </c>
      <c r="F1009" t="str">
        <f>_xlfn.XLOOKUP(A1009,'Data Cleaning'!A1009:A2478, 'Data Cleaning'!F1009:F2478)</f>
        <v>High</v>
      </c>
      <c r="G1009" s="3" t="str">
        <f>_xlfn.XLOOKUP(A1009,'Data Cleaning'!A1009:A2478, 'Data Cleaning'!J1009:J2478)</f>
        <v>Promoted in 1-3 years</v>
      </c>
    </row>
    <row r="1010" spans="1:7" x14ac:dyDescent="0.25">
      <c r="A1010" s="3">
        <v>1474</v>
      </c>
      <c r="B1010" s="3" t="str">
        <f>_xlfn.XLOOKUP(A1010,'Data Cleaning'!A1010:A2479, 'Data Cleaning'!I1010:I2479)</f>
        <v>35-44</v>
      </c>
      <c r="C1010">
        <f>_xlfn.XLOOKUP(A1010,'Data Cleaning'!A1010:A2479,'Data Cleaning'!K1010:K2479)</f>
        <v>0</v>
      </c>
      <c r="D1010" t="str">
        <f>_xlfn.XLOOKUP(A1010,'Data Cleaning'!A1010:A2479, 'Data Cleaning'!D1010:D2479)</f>
        <v>Bachelor</v>
      </c>
      <c r="E1010" s="3" t="str">
        <f>_xlfn.XLOOKUP(A1010,'Data Cleaning'!A1010:A2479, 'Data Cleaning'!E1010:E2479)</f>
        <v>Divorced</v>
      </c>
      <c r="F1010" t="str">
        <f>_xlfn.XLOOKUP(A1010,'Data Cleaning'!A1010:A2479, 'Data Cleaning'!F1010:F2479)</f>
        <v>Low</v>
      </c>
      <c r="G1010" s="3" t="str">
        <f>_xlfn.XLOOKUP(A1010,'Data Cleaning'!A1010:A2479, 'Data Cleaning'!J1010:J2479)</f>
        <v>Promoted in 1-3 years</v>
      </c>
    </row>
    <row r="1011" spans="1:7" x14ac:dyDescent="0.25">
      <c r="A1011" s="3">
        <v>482</v>
      </c>
      <c r="B1011" s="3" t="str">
        <f>_xlfn.XLOOKUP(A1011,'Data Cleaning'!A1011:A2480, 'Data Cleaning'!I1011:I2480)</f>
        <v>55-60</v>
      </c>
      <c r="C1011">
        <f>_xlfn.XLOOKUP(A1011,'Data Cleaning'!A1011:A2480,'Data Cleaning'!K1011:K2480)</f>
        <v>0</v>
      </c>
      <c r="D1011" t="str">
        <f>_xlfn.XLOOKUP(A1011,'Data Cleaning'!A1011:A2480, 'Data Cleaning'!D1011:D2480)</f>
        <v>Master</v>
      </c>
      <c r="E1011" s="3" t="str">
        <f>_xlfn.XLOOKUP(A1011,'Data Cleaning'!A1011:A2480, 'Data Cleaning'!E1011:E2480)</f>
        <v>Married</v>
      </c>
      <c r="F1011" t="str">
        <f>_xlfn.XLOOKUP(A1011,'Data Cleaning'!A1011:A2480, 'Data Cleaning'!F1011:F2480)</f>
        <v>None</v>
      </c>
      <c r="G1011" s="3" t="str">
        <f>_xlfn.XLOOKUP(A1011,'Data Cleaning'!A1011:A2480, 'Data Cleaning'!J1011:J2480)</f>
        <v>Promoted in 1-3 years</v>
      </c>
    </row>
    <row r="1012" spans="1:7" x14ac:dyDescent="0.25">
      <c r="A1012" s="3">
        <v>1430</v>
      </c>
      <c r="B1012" s="3" t="str">
        <f>_xlfn.XLOOKUP(A1012,'Data Cleaning'!A1012:A2481, 'Data Cleaning'!I1012:I2481)</f>
        <v>25-34</v>
      </c>
      <c r="C1012">
        <f>_xlfn.XLOOKUP(A1012,'Data Cleaning'!A1012:A2481,'Data Cleaning'!K1012:K2481)</f>
        <v>0</v>
      </c>
      <c r="D1012" t="str">
        <f>_xlfn.XLOOKUP(A1012,'Data Cleaning'!A1012:A2481, 'Data Cleaning'!D1012:D2481)</f>
        <v>Doctor</v>
      </c>
      <c r="E1012" s="3" t="str">
        <f>_xlfn.XLOOKUP(A1012,'Data Cleaning'!A1012:A2481, 'Data Cleaning'!E1012:E2481)</f>
        <v>Single</v>
      </c>
      <c r="F1012" t="str">
        <f>_xlfn.XLOOKUP(A1012,'Data Cleaning'!A1012:A2481, 'Data Cleaning'!F1012:F2481)</f>
        <v>None</v>
      </c>
      <c r="G1012" s="3" t="str">
        <f>_xlfn.XLOOKUP(A1012,'Data Cleaning'!A1012:A2481, 'Data Cleaning'!J1012:J2481)</f>
        <v>Promoted in 1-3 years</v>
      </c>
    </row>
    <row r="1013" spans="1:7" x14ac:dyDescent="0.25">
      <c r="A1013" s="3">
        <v>1614</v>
      </c>
      <c r="B1013" s="3" t="str">
        <f>_xlfn.XLOOKUP(A1013,'Data Cleaning'!A1013:A2482, 'Data Cleaning'!I1013:I2482)</f>
        <v>35-44</v>
      </c>
      <c r="C1013">
        <f>_xlfn.XLOOKUP(A1013,'Data Cleaning'!A1013:A2482,'Data Cleaning'!K1013:K2482)</f>
        <v>0</v>
      </c>
      <c r="D1013" t="str">
        <f>_xlfn.XLOOKUP(A1013,'Data Cleaning'!A1013:A2482, 'Data Cleaning'!D1013:D2482)</f>
        <v>Master</v>
      </c>
      <c r="E1013" s="3" t="str">
        <f>_xlfn.XLOOKUP(A1013,'Data Cleaning'!A1013:A2482, 'Data Cleaning'!E1013:E2482)</f>
        <v>Married</v>
      </c>
      <c r="F1013" t="str">
        <f>_xlfn.XLOOKUP(A1013,'Data Cleaning'!A1013:A2482, 'Data Cleaning'!F1013:F2482)</f>
        <v>Mid</v>
      </c>
      <c r="G1013" s="3" t="str">
        <f>_xlfn.XLOOKUP(A1013,'Data Cleaning'!A1013:A2482, 'Data Cleaning'!J1013:J2482)</f>
        <v>Promoted in 1-3 years</v>
      </c>
    </row>
    <row r="1014" spans="1:7" x14ac:dyDescent="0.25">
      <c r="A1014" s="3">
        <v>1465</v>
      </c>
      <c r="B1014" s="3" t="str">
        <f>_xlfn.XLOOKUP(A1014,'Data Cleaning'!A1014:A2483, 'Data Cleaning'!I1014:I2483)</f>
        <v>45-54</v>
      </c>
      <c r="C1014">
        <f>_xlfn.XLOOKUP(A1014,'Data Cleaning'!A1014:A2483,'Data Cleaning'!K1014:K2483)</f>
        <v>0</v>
      </c>
      <c r="D1014" t="str">
        <f>_xlfn.XLOOKUP(A1014,'Data Cleaning'!A1014:A2483, 'Data Cleaning'!D1014:D2483)</f>
        <v>Bachelor</v>
      </c>
      <c r="E1014" s="3" t="str">
        <f>_xlfn.XLOOKUP(A1014,'Data Cleaning'!A1014:A2483, 'Data Cleaning'!E1014:E2483)</f>
        <v>Married</v>
      </c>
      <c r="F1014" t="str">
        <f>_xlfn.XLOOKUP(A1014,'Data Cleaning'!A1014:A2483, 'Data Cleaning'!F1014:F2483)</f>
        <v>Mid</v>
      </c>
      <c r="G1014" s="3" t="str">
        <f>_xlfn.XLOOKUP(A1014,'Data Cleaning'!A1014:A2483, 'Data Cleaning'!J1014:J2483)</f>
        <v>Promoted in 1-3 years</v>
      </c>
    </row>
    <row r="1015" spans="1:7" x14ac:dyDescent="0.25">
      <c r="A1015" s="3">
        <v>1099</v>
      </c>
      <c r="B1015" s="3" t="str">
        <f>_xlfn.XLOOKUP(A1015,'Data Cleaning'!A1015:A2484, 'Data Cleaning'!I1015:I2484)</f>
        <v>25-34</v>
      </c>
      <c r="C1015">
        <f>_xlfn.XLOOKUP(A1015,'Data Cleaning'!A1015:A2484,'Data Cleaning'!K1015:K2484)</f>
        <v>0</v>
      </c>
      <c r="D1015" t="str">
        <f>_xlfn.XLOOKUP(A1015,'Data Cleaning'!A1015:A2484, 'Data Cleaning'!D1015:D2484)</f>
        <v>Bachelor</v>
      </c>
      <c r="E1015" s="3" t="str">
        <f>_xlfn.XLOOKUP(A1015,'Data Cleaning'!A1015:A2484, 'Data Cleaning'!E1015:E2484)</f>
        <v>Divorced</v>
      </c>
      <c r="F1015" t="str">
        <f>_xlfn.XLOOKUP(A1015,'Data Cleaning'!A1015:A2484, 'Data Cleaning'!F1015:F2484)</f>
        <v>Low</v>
      </c>
      <c r="G1015" s="3" t="str">
        <f>_xlfn.XLOOKUP(A1015,'Data Cleaning'!A1015:A2484, 'Data Cleaning'!J1015:J2484)</f>
        <v>Promoted in 1-3 years</v>
      </c>
    </row>
    <row r="1016" spans="1:7" x14ac:dyDescent="0.25">
      <c r="A1016" s="3">
        <v>447</v>
      </c>
      <c r="B1016" s="3" t="str">
        <f>_xlfn.XLOOKUP(A1016,'Data Cleaning'!A1016:A2485, 'Data Cleaning'!I1016:I2485)</f>
        <v>45-54</v>
      </c>
      <c r="C1016">
        <f>_xlfn.XLOOKUP(A1016,'Data Cleaning'!A1016:A2485,'Data Cleaning'!K1016:K2485)</f>
        <v>0</v>
      </c>
      <c r="D1016" t="str">
        <f>_xlfn.XLOOKUP(A1016,'Data Cleaning'!A1016:A2485, 'Data Cleaning'!D1016:D2485)</f>
        <v>Doctor</v>
      </c>
      <c r="E1016" s="3" t="str">
        <f>_xlfn.XLOOKUP(A1016,'Data Cleaning'!A1016:A2485, 'Data Cleaning'!E1016:E2485)</f>
        <v>Married</v>
      </c>
      <c r="F1016" t="str">
        <f>_xlfn.XLOOKUP(A1016,'Data Cleaning'!A1016:A2485, 'Data Cleaning'!F1016:F2485)</f>
        <v>Low</v>
      </c>
      <c r="G1016" s="3" t="str">
        <f>_xlfn.XLOOKUP(A1016,'Data Cleaning'!A1016:A2485, 'Data Cleaning'!J1016:J2485)</f>
        <v>Promoted in 1-3 years</v>
      </c>
    </row>
    <row r="1017" spans="1:7" x14ac:dyDescent="0.25">
      <c r="A1017" s="3">
        <v>495</v>
      </c>
      <c r="B1017" s="3" t="str">
        <f>_xlfn.XLOOKUP(A1017,'Data Cleaning'!A1017:A2486, 'Data Cleaning'!I1017:I2486)</f>
        <v>25-34</v>
      </c>
      <c r="C1017">
        <f>_xlfn.XLOOKUP(A1017,'Data Cleaning'!A1017:A2486,'Data Cleaning'!K1017:K2486)</f>
        <v>0</v>
      </c>
      <c r="D1017" t="str">
        <f>_xlfn.XLOOKUP(A1017,'Data Cleaning'!A1017:A2486, 'Data Cleaning'!D1017:D2486)</f>
        <v>Bachelor</v>
      </c>
      <c r="E1017" s="3" t="str">
        <f>_xlfn.XLOOKUP(A1017,'Data Cleaning'!A1017:A2486, 'Data Cleaning'!E1017:E2486)</f>
        <v>Single</v>
      </c>
      <c r="F1017" t="str">
        <f>_xlfn.XLOOKUP(A1017,'Data Cleaning'!A1017:A2486, 'Data Cleaning'!F1017:F2486)</f>
        <v>None</v>
      </c>
      <c r="G1017" s="3" t="str">
        <f>_xlfn.XLOOKUP(A1017,'Data Cleaning'!A1017:A2486, 'Data Cleaning'!J1017:J2486)</f>
        <v>Promoted in 1-3 years</v>
      </c>
    </row>
    <row r="1018" spans="1:7" x14ac:dyDescent="0.25">
      <c r="A1018" s="3">
        <v>1501</v>
      </c>
      <c r="B1018" s="3" t="str">
        <f>_xlfn.XLOOKUP(A1018,'Data Cleaning'!A1018:A2487, 'Data Cleaning'!I1018:I2487)</f>
        <v>55-60</v>
      </c>
      <c r="C1018">
        <f>_xlfn.XLOOKUP(A1018,'Data Cleaning'!A1018:A2487,'Data Cleaning'!K1018:K2487)</f>
        <v>0</v>
      </c>
      <c r="D1018" t="str">
        <f>_xlfn.XLOOKUP(A1018,'Data Cleaning'!A1018:A2487, 'Data Cleaning'!D1018:D2487)</f>
        <v>Master</v>
      </c>
      <c r="E1018" s="3" t="str">
        <f>_xlfn.XLOOKUP(A1018,'Data Cleaning'!A1018:A2487, 'Data Cleaning'!E1018:E2487)</f>
        <v>Married</v>
      </c>
      <c r="F1018" t="str">
        <f>_xlfn.XLOOKUP(A1018,'Data Cleaning'!A1018:A2487, 'Data Cleaning'!F1018:F2487)</f>
        <v>None</v>
      </c>
      <c r="G1018" s="3" t="str">
        <f>_xlfn.XLOOKUP(A1018,'Data Cleaning'!A1018:A2487, 'Data Cleaning'!J1018:J2487)</f>
        <v>Promoted in 1-3 years</v>
      </c>
    </row>
    <row r="1019" spans="1:7" x14ac:dyDescent="0.25">
      <c r="A1019" s="3">
        <v>1317</v>
      </c>
      <c r="B1019" s="3" t="str">
        <f>_xlfn.XLOOKUP(A1019,'Data Cleaning'!A1019:A2488, 'Data Cleaning'!I1019:I2488)</f>
        <v>45-54</v>
      </c>
      <c r="C1019">
        <f>_xlfn.XLOOKUP(A1019,'Data Cleaning'!A1019:A2488,'Data Cleaning'!K1019:K2488)</f>
        <v>0</v>
      </c>
      <c r="D1019" t="str">
        <f>_xlfn.XLOOKUP(A1019,'Data Cleaning'!A1019:A2488, 'Data Cleaning'!D1019:D2488)</f>
        <v>Bachelor</v>
      </c>
      <c r="E1019" s="3" t="str">
        <f>_xlfn.XLOOKUP(A1019,'Data Cleaning'!A1019:A2488, 'Data Cleaning'!E1019:E2488)</f>
        <v>Married</v>
      </c>
      <c r="F1019" t="str">
        <f>_xlfn.XLOOKUP(A1019,'Data Cleaning'!A1019:A2488, 'Data Cleaning'!F1019:F2488)</f>
        <v>None</v>
      </c>
      <c r="G1019" s="3" t="str">
        <f>_xlfn.XLOOKUP(A1019,'Data Cleaning'!A1019:A2488, 'Data Cleaning'!J1019:J2488)</f>
        <v>Promoted in 1-3 years</v>
      </c>
    </row>
    <row r="1020" spans="1:7" x14ac:dyDescent="0.25">
      <c r="A1020" s="3">
        <v>1301</v>
      </c>
      <c r="B1020" s="3" t="str">
        <f>_xlfn.XLOOKUP(A1020,'Data Cleaning'!A1020:A2489, 'Data Cleaning'!I1020:I2489)</f>
        <v>25-34</v>
      </c>
      <c r="C1020">
        <f>_xlfn.XLOOKUP(A1020,'Data Cleaning'!A1020:A2489,'Data Cleaning'!K1020:K2489)</f>
        <v>0</v>
      </c>
      <c r="D1020" t="str">
        <f>_xlfn.XLOOKUP(A1020,'Data Cleaning'!A1020:A2489, 'Data Cleaning'!D1020:D2489)</f>
        <v>Bachelor</v>
      </c>
      <c r="E1020" s="3" t="str">
        <f>_xlfn.XLOOKUP(A1020,'Data Cleaning'!A1020:A2489, 'Data Cleaning'!E1020:E2489)</f>
        <v>Single</v>
      </c>
      <c r="F1020" t="str">
        <f>_xlfn.XLOOKUP(A1020,'Data Cleaning'!A1020:A2489, 'Data Cleaning'!F1020:F2489)</f>
        <v>None</v>
      </c>
      <c r="G1020" s="3" t="str">
        <f>_xlfn.XLOOKUP(A1020,'Data Cleaning'!A1020:A2489, 'Data Cleaning'!J1020:J2489)</f>
        <v>Promoted in 1-3 years</v>
      </c>
    </row>
    <row r="1021" spans="1:7" x14ac:dyDescent="0.25">
      <c r="A1021" s="3">
        <v>24</v>
      </c>
      <c r="B1021" s="3" t="str">
        <f>_xlfn.XLOOKUP(A1021,'Data Cleaning'!A1021:A2490, 'Data Cleaning'!I1021:I2490)</f>
        <v>35-44</v>
      </c>
      <c r="C1021">
        <f>_xlfn.XLOOKUP(A1021,'Data Cleaning'!A1021:A2490,'Data Cleaning'!K1021:K2490)</f>
        <v>0</v>
      </c>
      <c r="D1021" t="str">
        <f>_xlfn.XLOOKUP(A1021,'Data Cleaning'!A1021:A2490, 'Data Cleaning'!D1021:D2490)</f>
        <v>Bachelor</v>
      </c>
      <c r="E1021" s="3" t="str">
        <f>_xlfn.XLOOKUP(A1021,'Data Cleaning'!A1021:A2490, 'Data Cleaning'!E1021:E2490)</f>
        <v>Single</v>
      </c>
      <c r="F1021" t="str">
        <f>_xlfn.XLOOKUP(A1021,'Data Cleaning'!A1021:A2490, 'Data Cleaning'!F1021:F2490)</f>
        <v>None</v>
      </c>
      <c r="G1021" s="3" t="str">
        <f>_xlfn.XLOOKUP(A1021,'Data Cleaning'!A1021:A2490, 'Data Cleaning'!J1021:J2490)</f>
        <v>Promoted in 1-3 years</v>
      </c>
    </row>
    <row r="1022" spans="1:7" x14ac:dyDescent="0.25">
      <c r="A1022" s="3">
        <v>247</v>
      </c>
      <c r="B1022" s="3" t="str">
        <f>_xlfn.XLOOKUP(A1022,'Data Cleaning'!A1022:A2491, 'Data Cleaning'!I1022:I2491)</f>
        <v>25-34</v>
      </c>
      <c r="C1022">
        <f>_xlfn.XLOOKUP(A1022,'Data Cleaning'!A1022:A2491,'Data Cleaning'!K1022:K2491)</f>
        <v>0</v>
      </c>
      <c r="D1022" t="str">
        <f>_xlfn.XLOOKUP(A1022,'Data Cleaning'!A1022:A2491, 'Data Cleaning'!D1022:D2491)</f>
        <v>College</v>
      </c>
      <c r="E1022" s="3" t="str">
        <f>_xlfn.XLOOKUP(A1022,'Data Cleaning'!A1022:A2491, 'Data Cleaning'!E1022:E2491)</f>
        <v>Single</v>
      </c>
      <c r="F1022" t="str">
        <f>_xlfn.XLOOKUP(A1022,'Data Cleaning'!A1022:A2491, 'Data Cleaning'!F1022:F2491)</f>
        <v>None</v>
      </c>
      <c r="G1022" s="3" t="str">
        <f>_xlfn.XLOOKUP(A1022,'Data Cleaning'!A1022:A2491, 'Data Cleaning'!J1022:J2491)</f>
        <v>Promoted in 1-3 years</v>
      </c>
    </row>
    <row r="1023" spans="1:7" x14ac:dyDescent="0.25">
      <c r="A1023" s="3">
        <v>1249</v>
      </c>
      <c r="B1023" s="3" t="str">
        <f>_xlfn.XLOOKUP(A1023,'Data Cleaning'!A1023:A2492, 'Data Cleaning'!I1023:I2492)</f>
        <v>25-34</v>
      </c>
      <c r="C1023">
        <f>_xlfn.XLOOKUP(A1023,'Data Cleaning'!A1023:A2492,'Data Cleaning'!K1023:K2492)</f>
        <v>0</v>
      </c>
      <c r="D1023" t="str">
        <f>_xlfn.XLOOKUP(A1023,'Data Cleaning'!A1023:A2492, 'Data Cleaning'!D1023:D2492)</f>
        <v>Bachelor</v>
      </c>
      <c r="E1023" s="3" t="str">
        <f>_xlfn.XLOOKUP(A1023,'Data Cleaning'!A1023:A2492, 'Data Cleaning'!E1023:E2492)</f>
        <v>Divorced</v>
      </c>
      <c r="F1023" t="str">
        <f>_xlfn.XLOOKUP(A1023,'Data Cleaning'!A1023:A2492, 'Data Cleaning'!F1023:F2492)</f>
        <v>High</v>
      </c>
      <c r="G1023" s="3" t="str">
        <f>_xlfn.XLOOKUP(A1023,'Data Cleaning'!A1023:A2492, 'Data Cleaning'!J1023:J2492)</f>
        <v>Promoted in 1-3 years</v>
      </c>
    </row>
    <row r="1024" spans="1:7" x14ac:dyDescent="0.25">
      <c r="A1024" s="3">
        <v>1564</v>
      </c>
      <c r="B1024" s="3" t="str">
        <f>_xlfn.XLOOKUP(A1024,'Data Cleaning'!A1024:A2493, 'Data Cleaning'!I1024:I2493)</f>
        <v>35-44</v>
      </c>
      <c r="C1024">
        <f>_xlfn.XLOOKUP(A1024,'Data Cleaning'!A1024:A2493,'Data Cleaning'!K1024:K2493)</f>
        <v>0</v>
      </c>
      <c r="D1024" t="str">
        <f>_xlfn.XLOOKUP(A1024,'Data Cleaning'!A1024:A2493, 'Data Cleaning'!D1024:D2493)</f>
        <v>Bachelor</v>
      </c>
      <c r="E1024" s="3" t="str">
        <f>_xlfn.XLOOKUP(A1024,'Data Cleaning'!A1024:A2493, 'Data Cleaning'!E1024:E2493)</f>
        <v>Single</v>
      </c>
      <c r="F1024" t="str">
        <f>_xlfn.XLOOKUP(A1024,'Data Cleaning'!A1024:A2493, 'Data Cleaning'!F1024:F2493)</f>
        <v>None</v>
      </c>
      <c r="G1024" s="3" t="str">
        <f>_xlfn.XLOOKUP(A1024,'Data Cleaning'!A1024:A2493, 'Data Cleaning'!J1024:J2493)</f>
        <v>Promoted in 1-3 years</v>
      </c>
    </row>
    <row r="1025" spans="1:7" x14ac:dyDescent="0.25">
      <c r="A1025" s="3">
        <v>611</v>
      </c>
      <c r="B1025" s="3" t="str">
        <f>_xlfn.XLOOKUP(A1025,'Data Cleaning'!A1025:A2494, 'Data Cleaning'!I1025:I2494)</f>
        <v>25-34</v>
      </c>
      <c r="C1025">
        <f>_xlfn.XLOOKUP(A1025,'Data Cleaning'!A1025:A2494,'Data Cleaning'!K1025:K2494)</f>
        <v>0</v>
      </c>
      <c r="D1025" t="str">
        <f>_xlfn.XLOOKUP(A1025,'Data Cleaning'!A1025:A2494, 'Data Cleaning'!D1025:D2494)</f>
        <v>Bachelor</v>
      </c>
      <c r="E1025" s="3" t="str">
        <f>_xlfn.XLOOKUP(A1025,'Data Cleaning'!A1025:A2494, 'Data Cleaning'!E1025:E2494)</f>
        <v>Divorced</v>
      </c>
      <c r="F1025" t="str">
        <f>_xlfn.XLOOKUP(A1025,'Data Cleaning'!A1025:A2494, 'Data Cleaning'!F1025:F2494)</f>
        <v>Mid</v>
      </c>
      <c r="G1025" s="3" t="str">
        <f>_xlfn.XLOOKUP(A1025,'Data Cleaning'!A1025:A2494, 'Data Cleaning'!J1025:J2494)</f>
        <v>Promoted in 1-3 years</v>
      </c>
    </row>
    <row r="1026" spans="1:7" x14ac:dyDescent="0.25">
      <c r="A1026" s="3">
        <v>2007</v>
      </c>
      <c r="B1026" s="3" t="str">
        <f>_xlfn.XLOOKUP(A1026,'Data Cleaning'!A1026:A2495, 'Data Cleaning'!I1026:I2495)</f>
        <v>18-24</v>
      </c>
      <c r="C1026">
        <f>_xlfn.XLOOKUP(A1026,'Data Cleaning'!A1026:A2495,'Data Cleaning'!K1026:K2495)</f>
        <v>0</v>
      </c>
      <c r="D1026" t="str">
        <f>_xlfn.XLOOKUP(A1026,'Data Cleaning'!A1026:A2495, 'Data Cleaning'!D1026:D2495)</f>
        <v>College</v>
      </c>
      <c r="E1026" s="3" t="str">
        <f>_xlfn.XLOOKUP(A1026,'Data Cleaning'!A1026:A2495, 'Data Cleaning'!E1026:E2495)</f>
        <v>Single</v>
      </c>
      <c r="F1026" t="str">
        <f>_xlfn.XLOOKUP(A1026,'Data Cleaning'!A1026:A2495, 'Data Cleaning'!F1026:F2495)</f>
        <v>None</v>
      </c>
      <c r="G1026" s="3" t="str">
        <f>_xlfn.XLOOKUP(A1026,'Data Cleaning'!A1026:A2495, 'Data Cleaning'!J1026:J2495)</f>
        <v>Promoted in 1-3 years</v>
      </c>
    </row>
    <row r="1027" spans="1:7" x14ac:dyDescent="0.25">
      <c r="A1027" s="3">
        <v>511</v>
      </c>
      <c r="B1027" s="3" t="str">
        <f>_xlfn.XLOOKUP(A1027,'Data Cleaning'!A1027:A2496, 'Data Cleaning'!I1027:I2496)</f>
        <v>18-24</v>
      </c>
      <c r="C1027">
        <f>_xlfn.XLOOKUP(A1027,'Data Cleaning'!A1027:A2496,'Data Cleaning'!K1027:K2496)</f>
        <v>0</v>
      </c>
      <c r="D1027" t="str">
        <f>_xlfn.XLOOKUP(A1027,'Data Cleaning'!A1027:A2496, 'Data Cleaning'!D1027:D2496)</f>
        <v>Bachelor</v>
      </c>
      <c r="E1027" s="3" t="str">
        <f>_xlfn.XLOOKUP(A1027,'Data Cleaning'!A1027:A2496, 'Data Cleaning'!E1027:E2496)</f>
        <v>Married</v>
      </c>
      <c r="F1027" t="str">
        <f>_xlfn.XLOOKUP(A1027,'Data Cleaning'!A1027:A2496, 'Data Cleaning'!F1027:F2496)</f>
        <v>Low</v>
      </c>
      <c r="G1027" s="3" t="str">
        <f>_xlfn.XLOOKUP(A1027,'Data Cleaning'!A1027:A2496, 'Data Cleaning'!J1027:J2496)</f>
        <v>Promoted in 1-3 years</v>
      </c>
    </row>
    <row r="1028" spans="1:7" x14ac:dyDescent="0.25">
      <c r="A1028" s="3">
        <v>1198</v>
      </c>
      <c r="B1028" s="3" t="str">
        <f>_xlfn.XLOOKUP(A1028,'Data Cleaning'!A1028:A2497, 'Data Cleaning'!I1028:I2497)</f>
        <v>18-24</v>
      </c>
      <c r="C1028">
        <f>_xlfn.XLOOKUP(A1028,'Data Cleaning'!A1028:A2497,'Data Cleaning'!K1028:K2497)</f>
        <v>0</v>
      </c>
      <c r="D1028" t="str">
        <f>_xlfn.XLOOKUP(A1028,'Data Cleaning'!A1028:A2497, 'Data Cleaning'!D1028:D2497)</f>
        <v>Bachelor</v>
      </c>
      <c r="E1028" s="3" t="str">
        <f>_xlfn.XLOOKUP(A1028,'Data Cleaning'!A1028:A2497, 'Data Cleaning'!E1028:E2497)</f>
        <v>Single</v>
      </c>
      <c r="F1028" t="str">
        <f>_xlfn.XLOOKUP(A1028,'Data Cleaning'!A1028:A2497, 'Data Cleaning'!F1028:F2497)</f>
        <v>None</v>
      </c>
      <c r="G1028" s="3" t="str">
        <f>_xlfn.XLOOKUP(A1028,'Data Cleaning'!A1028:A2497, 'Data Cleaning'!J1028:J2497)</f>
        <v>Promoted in 1-3 years</v>
      </c>
    </row>
    <row r="1029" spans="1:7" x14ac:dyDescent="0.25">
      <c r="A1029" s="3">
        <v>393</v>
      </c>
      <c r="B1029" s="3" t="str">
        <f>_xlfn.XLOOKUP(A1029,'Data Cleaning'!A1029:A2498, 'Data Cleaning'!I1029:I2498)</f>
        <v>35-44</v>
      </c>
      <c r="C1029">
        <f>_xlfn.XLOOKUP(A1029,'Data Cleaning'!A1029:A2498,'Data Cleaning'!K1029:K2498)</f>
        <v>0</v>
      </c>
      <c r="D1029" t="str">
        <f>_xlfn.XLOOKUP(A1029,'Data Cleaning'!A1029:A2498, 'Data Cleaning'!D1029:D2498)</f>
        <v>Master</v>
      </c>
      <c r="E1029" s="3" t="str">
        <f>_xlfn.XLOOKUP(A1029,'Data Cleaning'!A1029:A2498, 'Data Cleaning'!E1029:E2498)</f>
        <v>Divorced</v>
      </c>
      <c r="F1029" t="str">
        <f>_xlfn.XLOOKUP(A1029,'Data Cleaning'!A1029:A2498, 'Data Cleaning'!F1029:F2498)</f>
        <v>Low</v>
      </c>
      <c r="G1029" s="3" t="str">
        <f>_xlfn.XLOOKUP(A1029,'Data Cleaning'!A1029:A2498, 'Data Cleaning'!J1029:J2498)</f>
        <v>Promoted in 1-3 years</v>
      </c>
    </row>
    <row r="1030" spans="1:7" x14ac:dyDescent="0.25">
      <c r="A1030" s="3">
        <v>426</v>
      </c>
      <c r="B1030" s="3" t="str">
        <f>_xlfn.XLOOKUP(A1030,'Data Cleaning'!A1030:A2499, 'Data Cleaning'!I1030:I2499)</f>
        <v>25-34</v>
      </c>
      <c r="C1030">
        <f>_xlfn.XLOOKUP(A1030,'Data Cleaning'!A1030:A2499,'Data Cleaning'!K1030:K2499)</f>
        <v>0</v>
      </c>
      <c r="D1030" t="str">
        <f>_xlfn.XLOOKUP(A1030,'Data Cleaning'!A1030:A2499, 'Data Cleaning'!D1030:D2499)</f>
        <v>Master</v>
      </c>
      <c r="E1030" s="3" t="str">
        <f>_xlfn.XLOOKUP(A1030,'Data Cleaning'!A1030:A2499, 'Data Cleaning'!E1030:E2499)</f>
        <v>Divorced</v>
      </c>
      <c r="F1030" t="str">
        <f>_xlfn.XLOOKUP(A1030,'Data Cleaning'!A1030:A2499, 'Data Cleaning'!F1030:F2499)</f>
        <v>Low</v>
      </c>
      <c r="G1030" s="3" t="str">
        <f>_xlfn.XLOOKUP(A1030,'Data Cleaning'!A1030:A2499, 'Data Cleaning'!J1030:J2499)</f>
        <v>Promoted in 1-3 years</v>
      </c>
    </row>
    <row r="1031" spans="1:7" x14ac:dyDescent="0.25">
      <c r="A1031" s="3">
        <v>18</v>
      </c>
      <c r="B1031" s="3" t="str">
        <f>_xlfn.XLOOKUP(A1031,'Data Cleaning'!A1031:A2500, 'Data Cleaning'!I1031:I2500)</f>
        <v>25-34</v>
      </c>
      <c r="C1031">
        <f>_xlfn.XLOOKUP(A1031,'Data Cleaning'!A1031:A2500,'Data Cleaning'!K1031:K2500)</f>
        <v>0</v>
      </c>
      <c r="D1031" t="str">
        <f>_xlfn.XLOOKUP(A1031,'Data Cleaning'!A1031:A2500, 'Data Cleaning'!D1031:D2500)</f>
        <v>College</v>
      </c>
      <c r="E1031" s="3" t="str">
        <f>_xlfn.XLOOKUP(A1031,'Data Cleaning'!A1031:A2500, 'Data Cleaning'!E1031:E2500)</f>
        <v>Divorced</v>
      </c>
      <c r="F1031" t="str">
        <f>_xlfn.XLOOKUP(A1031,'Data Cleaning'!A1031:A2500, 'Data Cleaning'!F1031:F2500)</f>
        <v>Low</v>
      </c>
      <c r="G1031" s="3" t="str">
        <f>_xlfn.XLOOKUP(A1031,'Data Cleaning'!A1031:A2500, 'Data Cleaning'!J1031:J2500)</f>
        <v>Promoted in 1-3 years</v>
      </c>
    </row>
    <row r="1032" spans="1:7" x14ac:dyDescent="0.25">
      <c r="A1032" s="3">
        <v>241</v>
      </c>
      <c r="B1032" s="3" t="str">
        <f>_xlfn.XLOOKUP(A1032,'Data Cleaning'!A1032:A2501, 'Data Cleaning'!I1032:I2501)</f>
        <v>55-60</v>
      </c>
      <c r="C1032">
        <f>_xlfn.XLOOKUP(A1032,'Data Cleaning'!A1032:A2501,'Data Cleaning'!K1032:K2501)</f>
        <v>0</v>
      </c>
      <c r="D1032" t="str">
        <f>_xlfn.XLOOKUP(A1032,'Data Cleaning'!A1032:A2501, 'Data Cleaning'!D1032:D2501)</f>
        <v>Bachelor</v>
      </c>
      <c r="E1032" s="3" t="str">
        <f>_xlfn.XLOOKUP(A1032,'Data Cleaning'!A1032:A2501, 'Data Cleaning'!E1032:E2501)</f>
        <v>Divorced</v>
      </c>
      <c r="F1032" t="str">
        <f>_xlfn.XLOOKUP(A1032,'Data Cleaning'!A1032:A2501, 'Data Cleaning'!F1032:F2501)</f>
        <v>Low</v>
      </c>
      <c r="G1032" s="3" t="str">
        <f>_xlfn.XLOOKUP(A1032,'Data Cleaning'!A1032:A2501, 'Data Cleaning'!J1032:J2501)</f>
        <v>Promoted in 1-3 years</v>
      </c>
    </row>
    <row r="1033" spans="1:7" x14ac:dyDescent="0.25">
      <c r="A1033" s="3">
        <v>7</v>
      </c>
      <c r="B1033" s="3" t="str">
        <f>_xlfn.XLOOKUP(A1033,'Data Cleaning'!A1033:A2502, 'Data Cleaning'!I1033:I2502)</f>
        <v>25-34</v>
      </c>
      <c r="C1033">
        <f>_xlfn.XLOOKUP(A1033,'Data Cleaning'!A1033:A2502,'Data Cleaning'!K1033:K2502)</f>
        <v>0</v>
      </c>
      <c r="D1033" t="str">
        <f>_xlfn.XLOOKUP(A1033,'Data Cleaning'!A1033:A2502, 'Data Cleaning'!D1033:D2502)</f>
        <v>Below College</v>
      </c>
      <c r="E1033" s="3" t="str">
        <f>_xlfn.XLOOKUP(A1033,'Data Cleaning'!A1033:A2502, 'Data Cleaning'!E1033:E2502)</f>
        <v>Married</v>
      </c>
      <c r="F1033" t="str">
        <f>_xlfn.XLOOKUP(A1033,'Data Cleaning'!A1033:A2502, 'Data Cleaning'!F1033:F2502)</f>
        <v>Low</v>
      </c>
      <c r="G1033" s="3" t="str">
        <f>_xlfn.XLOOKUP(A1033,'Data Cleaning'!A1033:A2502, 'Data Cleaning'!J1033:J2502)</f>
        <v>Promoted in 1-3 years</v>
      </c>
    </row>
    <row r="1034" spans="1:7" x14ac:dyDescent="0.25">
      <c r="A1034" s="3">
        <v>1308</v>
      </c>
      <c r="B1034" s="3" t="str">
        <f>_xlfn.XLOOKUP(A1034,'Data Cleaning'!A1034:A2503, 'Data Cleaning'!I1034:I2503)</f>
        <v>55-60</v>
      </c>
      <c r="C1034">
        <f>_xlfn.XLOOKUP(A1034,'Data Cleaning'!A1034:A2503,'Data Cleaning'!K1034:K2503)</f>
        <v>0</v>
      </c>
      <c r="D1034" t="str">
        <f>_xlfn.XLOOKUP(A1034,'Data Cleaning'!A1034:A2503, 'Data Cleaning'!D1034:D2503)</f>
        <v>Master</v>
      </c>
      <c r="E1034" s="3" t="str">
        <f>_xlfn.XLOOKUP(A1034,'Data Cleaning'!A1034:A2503, 'Data Cleaning'!E1034:E2503)</f>
        <v>Divorced</v>
      </c>
      <c r="F1034" t="str">
        <f>_xlfn.XLOOKUP(A1034,'Data Cleaning'!A1034:A2503, 'Data Cleaning'!F1034:F2503)</f>
        <v>Mid</v>
      </c>
      <c r="G1034" s="3" t="str">
        <f>_xlfn.XLOOKUP(A1034,'Data Cleaning'!A1034:A2503, 'Data Cleaning'!J1034:J2503)</f>
        <v>Promoted in 1-3 years</v>
      </c>
    </row>
    <row r="1035" spans="1:7" x14ac:dyDescent="0.25">
      <c r="A1035" s="3">
        <v>769</v>
      </c>
      <c r="B1035" s="3" t="str">
        <f>_xlfn.XLOOKUP(A1035,'Data Cleaning'!A1035:A2504, 'Data Cleaning'!I1035:I2504)</f>
        <v>45-54</v>
      </c>
      <c r="C1035">
        <f>_xlfn.XLOOKUP(A1035,'Data Cleaning'!A1035:A2504,'Data Cleaning'!K1035:K2504)</f>
        <v>0</v>
      </c>
      <c r="D1035" t="str">
        <f>_xlfn.XLOOKUP(A1035,'Data Cleaning'!A1035:A2504, 'Data Cleaning'!D1035:D2504)</f>
        <v>Bachelor</v>
      </c>
      <c r="E1035" s="3" t="str">
        <f>_xlfn.XLOOKUP(A1035,'Data Cleaning'!A1035:A2504, 'Data Cleaning'!E1035:E2504)</f>
        <v>Single</v>
      </c>
      <c r="F1035" t="str">
        <f>_xlfn.XLOOKUP(A1035,'Data Cleaning'!A1035:A2504, 'Data Cleaning'!F1035:F2504)</f>
        <v>None</v>
      </c>
      <c r="G1035" s="3" t="str">
        <f>_xlfn.XLOOKUP(A1035,'Data Cleaning'!A1035:A2504, 'Data Cleaning'!J1035:J2504)</f>
        <v>Promoted in 1-3 years</v>
      </c>
    </row>
    <row r="1036" spans="1:7" x14ac:dyDescent="0.25">
      <c r="A1036" s="3">
        <v>1623</v>
      </c>
      <c r="B1036" s="3" t="str">
        <f>_xlfn.XLOOKUP(A1036,'Data Cleaning'!A1036:A2505, 'Data Cleaning'!I1036:I2505)</f>
        <v>18-24</v>
      </c>
      <c r="C1036">
        <f>_xlfn.XLOOKUP(A1036,'Data Cleaning'!A1036:A2505,'Data Cleaning'!K1036:K2505)</f>
        <v>0</v>
      </c>
      <c r="D1036" t="str">
        <f>_xlfn.XLOOKUP(A1036,'Data Cleaning'!A1036:A2505, 'Data Cleaning'!D1036:D2505)</f>
        <v>Below College</v>
      </c>
      <c r="E1036" s="3" t="str">
        <f>_xlfn.XLOOKUP(A1036,'Data Cleaning'!A1036:A2505, 'Data Cleaning'!E1036:E2505)</f>
        <v>Single</v>
      </c>
      <c r="F1036" t="str">
        <f>_xlfn.XLOOKUP(A1036,'Data Cleaning'!A1036:A2505, 'Data Cleaning'!F1036:F2505)</f>
        <v>None</v>
      </c>
      <c r="G1036" s="3" t="str">
        <f>_xlfn.XLOOKUP(A1036,'Data Cleaning'!A1036:A2505, 'Data Cleaning'!J1036:J2505)</f>
        <v>Promoted in 1-3 years</v>
      </c>
    </row>
    <row r="1037" spans="1:7" x14ac:dyDescent="0.25">
      <c r="A1037" s="3">
        <v>1022</v>
      </c>
      <c r="B1037" s="3" t="str">
        <f>_xlfn.XLOOKUP(A1037,'Data Cleaning'!A1037:A2506, 'Data Cleaning'!I1037:I2506)</f>
        <v>45-54</v>
      </c>
      <c r="C1037">
        <f>_xlfn.XLOOKUP(A1037,'Data Cleaning'!A1037:A2506,'Data Cleaning'!K1037:K2506)</f>
        <v>0</v>
      </c>
      <c r="D1037" t="str">
        <f>_xlfn.XLOOKUP(A1037,'Data Cleaning'!A1037:A2506, 'Data Cleaning'!D1037:D2506)</f>
        <v>Bachelor</v>
      </c>
      <c r="E1037" s="3" t="str">
        <f>_xlfn.XLOOKUP(A1037,'Data Cleaning'!A1037:A2506, 'Data Cleaning'!E1037:E2506)</f>
        <v>Single</v>
      </c>
      <c r="F1037" t="str">
        <f>_xlfn.XLOOKUP(A1037,'Data Cleaning'!A1037:A2506, 'Data Cleaning'!F1037:F2506)</f>
        <v>None</v>
      </c>
      <c r="G1037" s="3" t="str">
        <f>_xlfn.XLOOKUP(A1037,'Data Cleaning'!A1037:A2506, 'Data Cleaning'!J1037:J2506)</f>
        <v>Promoted in 1-3 years</v>
      </c>
    </row>
    <row r="1038" spans="1:7" x14ac:dyDescent="0.25">
      <c r="A1038" s="3">
        <v>1674</v>
      </c>
      <c r="B1038" s="3" t="str">
        <f>_xlfn.XLOOKUP(A1038,'Data Cleaning'!A1038:A2507, 'Data Cleaning'!I1038:I2507)</f>
        <v>45-54</v>
      </c>
      <c r="C1038">
        <f>_xlfn.XLOOKUP(A1038,'Data Cleaning'!A1038:A2507,'Data Cleaning'!K1038:K2507)</f>
        <v>0</v>
      </c>
      <c r="D1038" t="str">
        <f>_xlfn.XLOOKUP(A1038,'Data Cleaning'!A1038:A2507, 'Data Cleaning'!D1038:D2507)</f>
        <v>Bachelor</v>
      </c>
      <c r="E1038" s="3" t="str">
        <f>_xlfn.XLOOKUP(A1038,'Data Cleaning'!A1038:A2507, 'Data Cleaning'!E1038:E2507)</f>
        <v>Divorced</v>
      </c>
      <c r="F1038" t="str">
        <f>_xlfn.XLOOKUP(A1038,'Data Cleaning'!A1038:A2507, 'Data Cleaning'!F1038:F2507)</f>
        <v>Low</v>
      </c>
      <c r="G1038" s="3" t="str">
        <f>_xlfn.XLOOKUP(A1038,'Data Cleaning'!A1038:A2507, 'Data Cleaning'!J1038:J2507)</f>
        <v>Promoted in 1-3 years</v>
      </c>
    </row>
    <row r="1039" spans="1:7" x14ac:dyDescent="0.25">
      <c r="A1039" s="3">
        <v>1903</v>
      </c>
      <c r="B1039" s="3" t="str">
        <f>_xlfn.XLOOKUP(A1039,'Data Cleaning'!A1039:A2508, 'Data Cleaning'!I1039:I2508)</f>
        <v>35-44</v>
      </c>
      <c r="C1039">
        <f>_xlfn.XLOOKUP(A1039,'Data Cleaning'!A1039:A2508,'Data Cleaning'!K1039:K2508)</f>
        <v>0</v>
      </c>
      <c r="D1039" t="str">
        <f>_xlfn.XLOOKUP(A1039,'Data Cleaning'!A1039:A2508, 'Data Cleaning'!D1039:D2508)</f>
        <v>Master</v>
      </c>
      <c r="E1039" s="3" t="str">
        <f>_xlfn.XLOOKUP(A1039,'Data Cleaning'!A1039:A2508, 'Data Cleaning'!E1039:E2508)</f>
        <v>Married</v>
      </c>
      <c r="F1039" t="str">
        <f>_xlfn.XLOOKUP(A1039,'Data Cleaning'!A1039:A2508, 'Data Cleaning'!F1039:F2508)</f>
        <v>Low</v>
      </c>
      <c r="G1039" s="3" t="str">
        <f>_xlfn.XLOOKUP(A1039,'Data Cleaning'!A1039:A2508, 'Data Cleaning'!J1039:J2508)</f>
        <v>Promoted in 1-3 years</v>
      </c>
    </row>
    <row r="1040" spans="1:7" x14ac:dyDescent="0.25">
      <c r="A1040" s="3">
        <v>1580</v>
      </c>
      <c r="B1040" s="3" t="str">
        <f>_xlfn.XLOOKUP(A1040,'Data Cleaning'!A1040:A2509, 'Data Cleaning'!I1040:I2509)</f>
        <v>25-34</v>
      </c>
      <c r="C1040">
        <f>_xlfn.XLOOKUP(A1040,'Data Cleaning'!A1040:A2509,'Data Cleaning'!K1040:K2509)</f>
        <v>0</v>
      </c>
      <c r="D1040" t="str">
        <f>_xlfn.XLOOKUP(A1040,'Data Cleaning'!A1040:A2509, 'Data Cleaning'!D1040:D2509)</f>
        <v>Master</v>
      </c>
      <c r="E1040" s="3" t="str">
        <f>_xlfn.XLOOKUP(A1040,'Data Cleaning'!A1040:A2509, 'Data Cleaning'!E1040:E2509)</f>
        <v>Married</v>
      </c>
      <c r="F1040" t="str">
        <f>_xlfn.XLOOKUP(A1040,'Data Cleaning'!A1040:A2509, 'Data Cleaning'!F1040:F2509)</f>
        <v>Low</v>
      </c>
      <c r="G1040" s="3" t="str">
        <f>_xlfn.XLOOKUP(A1040,'Data Cleaning'!A1040:A2509, 'Data Cleaning'!J1040:J2509)</f>
        <v>Promoted in 1-3 years</v>
      </c>
    </row>
    <row r="1041" spans="1:7" x14ac:dyDescent="0.25">
      <c r="A1041" s="3">
        <v>1025</v>
      </c>
      <c r="B1041" s="3" t="str">
        <f>_xlfn.XLOOKUP(A1041,'Data Cleaning'!A1041:A2510, 'Data Cleaning'!I1041:I2510)</f>
        <v>35-44</v>
      </c>
      <c r="C1041">
        <f>_xlfn.XLOOKUP(A1041,'Data Cleaning'!A1041:A2510,'Data Cleaning'!K1041:K2510)</f>
        <v>0</v>
      </c>
      <c r="D1041" t="str">
        <f>_xlfn.XLOOKUP(A1041,'Data Cleaning'!A1041:A2510, 'Data Cleaning'!D1041:D2510)</f>
        <v>College</v>
      </c>
      <c r="E1041" s="3" t="str">
        <f>_xlfn.XLOOKUP(A1041,'Data Cleaning'!A1041:A2510, 'Data Cleaning'!E1041:E2510)</f>
        <v>Single</v>
      </c>
      <c r="F1041" t="str">
        <f>_xlfn.XLOOKUP(A1041,'Data Cleaning'!A1041:A2510, 'Data Cleaning'!F1041:F2510)</f>
        <v>None</v>
      </c>
      <c r="G1041" s="3" t="str">
        <f>_xlfn.XLOOKUP(A1041,'Data Cleaning'!A1041:A2510, 'Data Cleaning'!J1041:J2510)</f>
        <v>Promoted in 1-3 years</v>
      </c>
    </row>
    <row r="1042" spans="1:7" x14ac:dyDescent="0.25">
      <c r="A1042" s="3">
        <v>1856</v>
      </c>
      <c r="B1042" s="3" t="str">
        <f>_xlfn.XLOOKUP(A1042,'Data Cleaning'!A1042:A2511, 'Data Cleaning'!I1042:I2511)</f>
        <v>45-54</v>
      </c>
      <c r="C1042">
        <f>_xlfn.XLOOKUP(A1042,'Data Cleaning'!A1042:A2511,'Data Cleaning'!K1042:K2511)</f>
        <v>0</v>
      </c>
      <c r="D1042" t="str">
        <f>_xlfn.XLOOKUP(A1042,'Data Cleaning'!A1042:A2511, 'Data Cleaning'!D1042:D2511)</f>
        <v>Master</v>
      </c>
      <c r="E1042" s="3" t="str">
        <f>_xlfn.XLOOKUP(A1042,'Data Cleaning'!A1042:A2511, 'Data Cleaning'!E1042:E2511)</f>
        <v>Single</v>
      </c>
      <c r="F1042" t="str">
        <f>_xlfn.XLOOKUP(A1042,'Data Cleaning'!A1042:A2511, 'Data Cleaning'!F1042:F2511)</f>
        <v>None</v>
      </c>
      <c r="G1042" s="3" t="str">
        <f>_xlfn.XLOOKUP(A1042,'Data Cleaning'!A1042:A2511, 'Data Cleaning'!J1042:J2511)</f>
        <v>Promoted in 1-3 years</v>
      </c>
    </row>
    <row r="1043" spans="1:7" x14ac:dyDescent="0.25">
      <c r="A1043" s="3">
        <v>1766</v>
      </c>
      <c r="B1043" s="3" t="str">
        <f>_xlfn.XLOOKUP(A1043,'Data Cleaning'!A1043:A2512, 'Data Cleaning'!I1043:I2512)</f>
        <v>35-44</v>
      </c>
      <c r="C1043">
        <f>_xlfn.XLOOKUP(A1043,'Data Cleaning'!A1043:A2512,'Data Cleaning'!K1043:K2512)</f>
        <v>0</v>
      </c>
      <c r="D1043" t="str">
        <f>_xlfn.XLOOKUP(A1043,'Data Cleaning'!A1043:A2512, 'Data Cleaning'!D1043:D2512)</f>
        <v>Bachelor</v>
      </c>
      <c r="E1043" s="3" t="str">
        <f>_xlfn.XLOOKUP(A1043,'Data Cleaning'!A1043:A2512, 'Data Cleaning'!E1043:E2512)</f>
        <v>Married</v>
      </c>
      <c r="F1043" t="str">
        <f>_xlfn.XLOOKUP(A1043,'Data Cleaning'!A1043:A2512, 'Data Cleaning'!F1043:F2512)</f>
        <v>Low</v>
      </c>
      <c r="G1043" s="3" t="str">
        <f>_xlfn.XLOOKUP(A1043,'Data Cleaning'!A1043:A2512, 'Data Cleaning'!J1043:J2512)</f>
        <v>Promoted in 1-3 years</v>
      </c>
    </row>
    <row r="1044" spans="1:7" x14ac:dyDescent="0.25">
      <c r="A1044" s="3">
        <v>1578</v>
      </c>
      <c r="B1044" s="3" t="str">
        <f>_xlfn.XLOOKUP(A1044,'Data Cleaning'!A1044:A2513, 'Data Cleaning'!I1044:I2513)</f>
        <v>55-60</v>
      </c>
      <c r="C1044">
        <f>_xlfn.XLOOKUP(A1044,'Data Cleaning'!A1044:A2513,'Data Cleaning'!K1044:K2513)</f>
        <v>0</v>
      </c>
      <c r="D1044" t="str">
        <f>_xlfn.XLOOKUP(A1044,'Data Cleaning'!A1044:A2513, 'Data Cleaning'!D1044:D2513)</f>
        <v>Doctor</v>
      </c>
      <c r="E1044" s="3" t="str">
        <f>_xlfn.XLOOKUP(A1044,'Data Cleaning'!A1044:A2513, 'Data Cleaning'!E1044:E2513)</f>
        <v>Married</v>
      </c>
      <c r="F1044" t="str">
        <f>_xlfn.XLOOKUP(A1044,'Data Cleaning'!A1044:A2513, 'Data Cleaning'!F1044:F2513)</f>
        <v>Low</v>
      </c>
      <c r="G1044" s="3" t="str">
        <f>_xlfn.XLOOKUP(A1044,'Data Cleaning'!A1044:A2513, 'Data Cleaning'!J1044:J2513)</f>
        <v>Promoted in 1-3 years</v>
      </c>
    </row>
    <row r="1045" spans="1:7" x14ac:dyDescent="0.25">
      <c r="A1045" s="3">
        <v>1282</v>
      </c>
      <c r="B1045" s="3" t="str">
        <f>_xlfn.XLOOKUP(A1045,'Data Cleaning'!A1045:A2514, 'Data Cleaning'!I1045:I2514)</f>
        <v>45-54</v>
      </c>
      <c r="C1045">
        <f>_xlfn.XLOOKUP(A1045,'Data Cleaning'!A1045:A2514,'Data Cleaning'!K1045:K2514)</f>
        <v>0</v>
      </c>
      <c r="D1045" t="str">
        <f>_xlfn.XLOOKUP(A1045,'Data Cleaning'!A1045:A2514, 'Data Cleaning'!D1045:D2514)</f>
        <v>Bachelor</v>
      </c>
      <c r="E1045" s="3" t="str">
        <f>_xlfn.XLOOKUP(A1045,'Data Cleaning'!A1045:A2514, 'Data Cleaning'!E1045:E2514)</f>
        <v>Divorced</v>
      </c>
      <c r="F1045" t="str">
        <f>_xlfn.XLOOKUP(A1045,'Data Cleaning'!A1045:A2514, 'Data Cleaning'!F1045:F2514)</f>
        <v>Low</v>
      </c>
      <c r="G1045" s="3" t="str">
        <f>_xlfn.XLOOKUP(A1045,'Data Cleaning'!A1045:A2514, 'Data Cleaning'!J1045:J2514)</f>
        <v>Long Promotion gap</v>
      </c>
    </row>
    <row r="1046" spans="1:7" x14ac:dyDescent="0.25">
      <c r="A1046" s="3">
        <v>1204</v>
      </c>
      <c r="B1046" s="3" t="str">
        <f>_xlfn.XLOOKUP(A1046,'Data Cleaning'!A1046:A2515, 'Data Cleaning'!I1046:I2515)</f>
        <v>45-54</v>
      </c>
      <c r="C1046">
        <f>_xlfn.XLOOKUP(A1046,'Data Cleaning'!A1046:A2515,'Data Cleaning'!K1046:K2515)</f>
        <v>0</v>
      </c>
      <c r="D1046" t="str">
        <f>_xlfn.XLOOKUP(A1046,'Data Cleaning'!A1046:A2515, 'Data Cleaning'!D1046:D2515)</f>
        <v>Bachelor</v>
      </c>
      <c r="E1046" s="3" t="str">
        <f>_xlfn.XLOOKUP(A1046,'Data Cleaning'!A1046:A2515, 'Data Cleaning'!E1046:E2515)</f>
        <v>Married</v>
      </c>
      <c r="F1046" t="str">
        <f>_xlfn.XLOOKUP(A1046,'Data Cleaning'!A1046:A2515, 'Data Cleaning'!F1046:F2515)</f>
        <v>None</v>
      </c>
      <c r="G1046" s="3" t="str">
        <f>_xlfn.XLOOKUP(A1046,'Data Cleaning'!A1046:A2515, 'Data Cleaning'!J1046:J2515)</f>
        <v>Long Promotion gap</v>
      </c>
    </row>
    <row r="1047" spans="1:7" x14ac:dyDescent="0.25">
      <c r="A1047" s="3">
        <v>244</v>
      </c>
      <c r="B1047" s="3" t="str">
        <f>_xlfn.XLOOKUP(A1047,'Data Cleaning'!A1047:A2516, 'Data Cleaning'!I1047:I2516)</f>
        <v>45-54</v>
      </c>
      <c r="C1047">
        <f>_xlfn.XLOOKUP(A1047,'Data Cleaning'!A1047:A2516,'Data Cleaning'!K1047:K2516)</f>
        <v>0</v>
      </c>
      <c r="D1047" t="str">
        <f>_xlfn.XLOOKUP(A1047,'Data Cleaning'!A1047:A2516, 'Data Cleaning'!D1047:D2516)</f>
        <v>College</v>
      </c>
      <c r="E1047" s="3" t="str">
        <f>_xlfn.XLOOKUP(A1047,'Data Cleaning'!A1047:A2516, 'Data Cleaning'!E1047:E2516)</f>
        <v>Divorced</v>
      </c>
      <c r="F1047" t="str">
        <f>_xlfn.XLOOKUP(A1047,'Data Cleaning'!A1047:A2516, 'Data Cleaning'!F1047:F2516)</f>
        <v>High</v>
      </c>
      <c r="G1047" s="3" t="str">
        <f>_xlfn.XLOOKUP(A1047,'Data Cleaning'!A1047:A2516, 'Data Cleaning'!J1047:J2516)</f>
        <v>Long Promotion gap</v>
      </c>
    </row>
    <row r="1048" spans="1:7" x14ac:dyDescent="0.25">
      <c r="A1048" s="3">
        <v>1712</v>
      </c>
      <c r="B1048" s="3" t="str">
        <f>_xlfn.XLOOKUP(A1048,'Data Cleaning'!A1048:A2517, 'Data Cleaning'!I1048:I2517)</f>
        <v>45-54</v>
      </c>
      <c r="C1048">
        <f>_xlfn.XLOOKUP(A1048,'Data Cleaning'!A1048:A2517,'Data Cleaning'!K1048:K2517)</f>
        <v>0</v>
      </c>
      <c r="D1048" t="str">
        <f>_xlfn.XLOOKUP(A1048,'Data Cleaning'!A1048:A2517, 'Data Cleaning'!D1048:D2517)</f>
        <v>Below College</v>
      </c>
      <c r="E1048" s="3" t="str">
        <f>_xlfn.XLOOKUP(A1048,'Data Cleaning'!A1048:A2517, 'Data Cleaning'!E1048:E2517)</f>
        <v>Married</v>
      </c>
      <c r="F1048" t="str">
        <f>_xlfn.XLOOKUP(A1048,'Data Cleaning'!A1048:A2517, 'Data Cleaning'!F1048:F2517)</f>
        <v>Low</v>
      </c>
      <c r="G1048" s="3" t="str">
        <f>_xlfn.XLOOKUP(A1048,'Data Cleaning'!A1048:A2517, 'Data Cleaning'!J1048:J2517)</f>
        <v>Long Promotion gap</v>
      </c>
    </row>
    <row r="1049" spans="1:7" x14ac:dyDescent="0.25">
      <c r="A1049" s="3">
        <v>119</v>
      </c>
      <c r="B1049" s="3" t="str">
        <f>_xlfn.XLOOKUP(A1049,'Data Cleaning'!A1049:A2518, 'Data Cleaning'!I1049:I2518)</f>
        <v>35-44</v>
      </c>
      <c r="C1049">
        <f>_xlfn.XLOOKUP(A1049,'Data Cleaning'!A1049:A2518,'Data Cleaning'!K1049:K2518)</f>
        <v>0</v>
      </c>
      <c r="D1049" t="str">
        <f>_xlfn.XLOOKUP(A1049,'Data Cleaning'!A1049:A2518, 'Data Cleaning'!D1049:D2518)</f>
        <v>Master</v>
      </c>
      <c r="E1049" s="3" t="str">
        <f>_xlfn.XLOOKUP(A1049,'Data Cleaning'!A1049:A2518, 'Data Cleaning'!E1049:E2518)</f>
        <v>Married</v>
      </c>
      <c r="F1049" t="str">
        <f>_xlfn.XLOOKUP(A1049,'Data Cleaning'!A1049:A2518, 'Data Cleaning'!F1049:F2518)</f>
        <v>Low</v>
      </c>
      <c r="G1049" s="3" t="str">
        <f>_xlfn.XLOOKUP(A1049,'Data Cleaning'!A1049:A2518, 'Data Cleaning'!J1049:J2518)</f>
        <v>Long Promotion gap</v>
      </c>
    </row>
    <row r="1050" spans="1:7" x14ac:dyDescent="0.25">
      <c r="A1050" s="3">
        <v>1035</v>
      </c>
      <c r="B1050" s="3" t="str">
        <f>_xlfn.XLOOKUP(A1050,'Data Cleaning'!A1050:A2519, 'Data Cleaning'!I1050:I2519)</f>
        <v>35-44</v>
      </c>
      <c r="C1050">
        <f>_xlfn.XLOOKUP(A1050,'Data Cleaning'!A1050:A2519,'Data Cleaning'!K1050:K2519)</f>
        <v>0</v>
      </c>
      <c r="D1050" t="str">
        <f>_xlfn.XLOOKUP(A1050,'Data Cleaning'!A1050:A2519, 'Data Cleaning'!D1050:D2519)</f>
        <v>Below College</v>
      </c>
      <c r="E1050" s="3" t="str">
        <f>_xlfn.XLOOKUP(A1050,'Data Cleaning'!A1050:A2519, 'Data Cleaning'!E1050:E2519)</f>
        <v>Divorced</v>
      </c>
      <c r="F1050" t="str">
        <f>_xlfn.XLOOKUP(A1050,'Data Cleaning'!A1050:A2519, 'Data Cleaning'!F1050:F2519)</f>
        <v>Mid</v>
      </c>
      <c r="G1050" s="3" t="str">
        <f>_xlfn.XLOOKUP(A1050,'Data Cleaning'!A1050:A2519, 'Data Cleaning'!J1050:J2519)</f>
        <v>Long Promotion gap</v>
      </c>
    </row>
    <row r="1051" spans="1:7" x14ac:dyDescent="0.25">
      <c r="A1051" s="3">
        <v>1550</v>
      </c>
      <c r="B1051" s="3" t="str">
        <f>_xlfn.XLOOKUP(A1051,'Data Cleaning'!A1051:A2520, 'Data Cleaning'!I1051:I2520)</f>
        <v>35-44</v>
      </c>
      <c r="C1051">
        <f>_xlfn.XLOOKUP(A1051,'Data Cleaning'!A1051:A2520,'Data Cleaning'!K1051:K2520)</f>
        <v>0</v>
      </c>
      <c r="D1051" t="str">
        <f>_xlfn.XLOOKUP(A1051,'Data Cleaning'!A1051:A2520, 'Data Cleaning'!D1051:D2520)</f>
        <v>College</v>
      </c>
      <c r="E1051" s="3" t="str">
        <f>_xlfn.XLOOKUP(A1051,'Data Cleaning'!A1051:A2520, 'Data Cleaning'!E1051:E2520)</f>
        <v>Single</v>
      </c>
      <c r="F1051" t="str">
        <f>_xlfn.XLOOKUP(A1051,'Data Cleaning'!A1051:A2520, 'Data Cleaning'!F1051:F2520)</f>
        <v>None</v>
      </c>
      <c r="G1051" s="3" t="str">
        <f>_xlfn.XLOOKUP(A1051,'Data Cleaning'!A1051:A2520, 'Data Cleaning'!J1051:J2520)</f>
        <v>Long Promotion gap</v>
      </c>
    </row>
    <row r="1052" spans="1:7" x14ac:dyDescent="0.25">
      <c r="A1052" s="3">
        <v>264</v>
      </c>
      <c r="B1052" s="3" t="str">
        <f>_xlfn.XLOOKUP(A1052,'Data Cleaning'!A1052:A2521, 'Data Cleaning'!I1052:I2521)</f>
        <v>45-54</v>
      </c>
      <c r="C1052">
        <f>_xlfn.XLOOKUP(A1052,'Data Cleaning'!A1052:A2521,'Data Cleaning'!K1052:K2521)</f>
        <v>0</v>
      </c>
      <c r="D1052" t="str">
        <f>_xlfn.XLOOKUP(A1052,'Data Cleaning'!A1052:A2521, 'Data Cleaning'!D1052:D2521)</f>
        <v>College</v>
      </c>
      <c r="E1052" s="3" t="str">
        <f>_xlfn.XLOOKUP(A1052,'Data Cleaning'!A1052:A2521, 'Data Cleaning'!E1052:E2521)</f>
        <v>Married</v>
      </c>
      <c r="F1052" t="str">
        <f>_xlfn.XLOOKUP(A1052,'Data Cleaning'!A1052:A2521, 'Data Cleaning'!F1052:F2521)</f>
        <v>Low</v>
      </c>
      <c r="G1052" s="3" t="str">
        <f>_xlfn.XLOOKUP(A1052,'Data Cleaning'!A1052:A2521, 'Data Cleaning'!J1052:J2521)</f>
        <v>Long Promotion gap</v>
      </c>
    </row>
    <row r="1053" spans="1:7" x14ac:dyDescent="0.25">
      <c r="A1053" s="3">
        <v>1225</v>
      </c>
      <c r="B1053" s="3" t="str">
        <f>_xlfn.XLOOKUP(A1053,'Data Cleaning'!A1053:A2522, 'Data Cleaning'!I1053:I2522)</f>
        <v>35-44</v>
      </c>
      <c r="C1053">
        <f>_xlfn.XLOOKUP(A1053,'Data Cleaning'!A1053:A2522,'Data Cleaning'!K1053:K2522)</f>
        <v>0</v>
      </c>
      <c r="D1053" t="str">
        <f>_xlfn.XLOOKUP(A1053,'Data Cleaning'!A1053:A2522, 'Data Cleaning'!D1053:D2522)</f>
        <v>Master</v>
      </c>
      <c r="E1053" s="3" t="str">
        <f>_xlfn.XLOOKUP(A1053,'Data Cleaning'!A1053:A2522, 'Data Cleaning'!E1053:E2522)</f>
        <v>Single</v>
      </c>
      <c r="F1053" t="str">
        <f>_xlfn.XLOOKUP(A1053,'Data Cleaning'!A1053:A2522, 'Data Cleaning'!F1053:F2522)</f>
        <v>None</v>
      </c>
      <c r="G1053" s="3" t="str">
        <f>_xlfn.XLOOKUP(A1053,'Data Cleaning'!A1053:A2522, 'Data Cleaning'!J1053:J2522)</f>
        <v>Long Promotion gap</v>
      </c>
    </row>
    <row r="1054" spans="1:7" x14ac:dyDescent="0.25">
      <c r="A1054" s="3">
        <v>387</v>
      </c>
      <c r="B1054" s="3" t="str">
        <f>_xlfn.XLOOKUP(A1054,'Data Cleaning'!A1054:A2523, 'Data Cleaning'!I1054:I2523)</f>
        <v>35-44</v>
      </c>
      <c r="C1054">
        <f>_xlfn.XLOOKUP(A1054,'Data Cleaning'!A1054:A2523,'Data Cleaning'!K1054:K2523)</f>
        <v>0</v>
      </c>
      <c r="D1054" t="str">
        <f>_xlfn.XLOOKUP(A1054,'Data Cleaning'!A1054:A2523, 'Data Cleaning'!D1054:D2523)</f>
        <v>Below College</v>
      </c>
      <c r="E1054" s="3" t="str">
        <f>_xlfn.XLOOKUP(A1054,'Data Cleaning'!A1054:A2523, 'Data Cleaning'!E1054:E2523)</f>
        <v>Married</v>
      </c>
      <c r="F1054" t="str">
        <f>_xlfn.XLOOKUP(A1054,'Data Cleaning'!A1054:A2523, 'Data Cleaning'!F1054:F2523)</f>
        <v>None</v>
      </c>
      <c r="G1054" s="3" t="str">
        <f>_xlfn.XLOOKUP(A1054,'Data Cleaning'!A1054:A2523, 'Data Cleaning'!J1054:J2523)</f>
        <v>Long Promotion gap</v>
      </c>
    </row>
    <row r="1055" spans="1:7" x14ac:dyDescent="0.25">
      <c r="A1055" s="3">
        <v>343</v>
      </c>
      <c r="B1055" s="3" t="str">
        <f>_xlfn.XLOOKUP(A1055,'Data Cleaning'!A1055:A2524, 'Data Cleaning'!I1055:I2524)</f>
        <v>35-44</v>
      </c>
      <c r="C1055">
        <f>_xlfn.XLOOKUP(A1055,'Data Cleaning'!A1055:A2524,'Data Cleaning'!K1055:K2524)</f>
        <v>0</v>
      </c>
      <c r="D1055" t="str">
        <f>_xlfn.XLOOKUP(A1055,'Data Cleaning'!A1055:A2524, 'Data Cleaning'!D1055:D2524)</f>
        <v>Master</v>
      </c>
      <c r="E1055" s="3" t="str">
        <f>_xlfn.XLOOKUP(A1055,'Data Cleaning'!A1055:A2524, 'Data Cleaning'!E1055:E2524)</f>
        <v>Single</v>
      </c>
      <c r="F1055" t="str">
        <f>_xlfn.XLOOKUP(A1055,'Data Cleaning'!A1055:A2524, 'Data Cleaning'!F1055:F2524)</f>
        <v>None</v>
      </c>
      <c r="G1055" s="3" t="str">
        <f>_xlfn.XLOOKUP(A1055,'Data Cleaning'!A1055:A2524, 'Data Cleaning'!J1055:J2524)</f>
        <v>Long Promotion gap</v>
      </c>
    </row>
    <row r="1056" spans="1:7" x14ac:dyDescent="0.25">
      <c r="A1056" s="3">
        <v>880</v>
      </c>
      <c r="B1056" s="3" t="str">
        <f>_xlfn.XLOOKUP(A1056,'Data Cleaning'!A1056:A2525, 'Data Cleaning'!I1056:I2525)</f>
        <v>35-44</v>
      </c>
      <c r="C1056">
        <f>_xlfn.XLOOKUP(A1056,'Data Cleaning'!A1056:A2525,'Data Cleaning'!K1056:K2525)</f>
        <v>0</v>
      </c>
      <c r="D1056" t="str">
        <f>_xlfn.XLOOKUP(A1056,'Data Cleaning'!A1056:A2525, 'Data Cleaning'!D1056:D2525)</f>
        <v>Bachelor</v>
      </c>
      <c r="E1056" s="3" t="str">
        <f>_xlfn.XLOOKUP(A1056,'Data Cleaning'!A1056:A2525, 'Data Cleaning'!E1056:E2525)</f>
        <v>Married</v>
      </c>
      <c r="F1056" t="str">
        <f>_xlfn.XLOOKUP(A1056,'Data Cleaning'!A1056:A2525, 'Data Cleaning'!F1056:F2525)</f>
        <v>Low</v>
      </c>
      <c r="G1056" s="3" t="str">
        <f>_xlfn.XLOOKUP(A1056,'Data Cleaning'!A1056:A2525, 'Data Cleaning'!J1056:J2525)</f>
        <v>Long Promotion gap</v>
      </c>
    </row>
    <row r="1057" spans="1:7" x14ac:dyDescent="0.25">
      <c r="A1057" s="3">
        <v>1993</v>
      </c>
      <c r="B1057" s="3" t="str">
        <f>_xlfn.XLOOKUP(A1057,'Data Cleaning'!A1057:A2526, 'Data Cleaning'!I1057:I2526)</f>
        <v>45-54</v>
      </c>
      <c r="C1057">
        <f>_xlfn.XLOOKUP(A1057,'Data Cleaning'!A1057:A2526,'Data Cleaning'!K1057:K2526)</f>
        <v>0</v>
      </c>
      <c r="D1057" t="str">
        <f>_xlfn.XLOOKUP(A1057,'Data Cleaning'!A1057:A2526, 'Data Cleaning'!D1057:D2526)</f>
        <v>Bachelor</v>
      </c>
      <c r="E1057" s="3" t="str">
        <f>_xlfn.XLOOKUP(A1057,'Data Cleaning'!A1057:A2526, 'Data Cleaning'!E1057:E2526)</f>
        <v>Single</v>
      </c>
      <c r="F1057" t="str">
        <f>_xlfn.XLOOKUP(A1057,'Data Cleaning'!A1057:A2526, 'Data Cleaning'!F1057:F2526)</f>
        <v>None</v>
      </c>
      <c r="G1057" s="3" t="str">
        <f>_xlfn.XLOOKUP(A1057,'Data Cleaning'!A1057:A2526, 'Data Cleaning'!J1057:J2526)</f>
        <v>Long Promotion gap</v>
      </c>
    </row>
    <row r="1058" spans="1:7" x14ac:dyDescent="0.25">
      <c r="A1058" s="3">
        <v>1824</v>
      </c>
      <c r="B1058" s="3" t="str">
        <f>_xlfn.XLOOKUP(A1058,'Data Cleaning'!A1058:A2527, 'Data Cleaning'!I1058:I2527)</f>
        <v>55-60</v>
      </c>
      <c r="C1058">
        <f>_xlfn.XLOOKUP(A1058,'Data Cleaning'!A1058:A2527,'Data Cleaning'!K1058:K2527)</f>
        <v>0</v>
      </c>
      <c r="D1058" t="str">
        <f>_xlfn.XLOOKUP(A1058,'Data Cleaning'!A1058:A2527, 'Data Cleaning'!D1058:D2527)</f>
        <v>Bachelor</v>
      </c>
      <c r="E1058" s="3" t="str">
        <f>_xlfn.XLOOKUP(A1058,'Data Cleaning'!A1058:A2527, 'Data Cleaning'!E1058:E2527)</f>
        <v>Divorced</v>
      </c>
      <c r="F1058" t="str">
        <f>_xlfn.XLOOKUP(A1058,'Data Cleaning'!A1058:A2527, 'Data Cleaning'!F1058:F2527)</f>
        <v>Low</v>
      </c>
      <c r="G1058" s="3" t="str">
        <f>_xlfn.XLOOKUP(A1058,'Data Cleaning'!A1058:A2527, 'Data Cleaning'!J1058:J2527)</f>
        <v>Long Promotion gap</v>
      </c>
    </row>
    <row r="1059" spans="1:7" x14ac:dyDescent="0.25">
      <c r="A1059" s="3">
        <v>2017</v>
      </c>
      <c r="B1059" s="3" t="str">
        <f>_xlfn.XLOOKUP(A1059,'Data Cleaning'!A1059:A2528, 'Data Cleaning'!I1059:I2528)</f>
        <v>35-44</v>
      </c>
      <c r="C1059">
        <f>_xlfn.XLOOKUP(A1059,'Data Cleaning'!A1059:A2528,'Data Cleaning'!K1059:K2528)</f>
        <v>0</v>
      </c>
      <c r="D1059" t="str">
        <f>_xlfn.XLOOKUP(A1059,'Data Cleaning'!A1059:A2528, 'Data Cleaning'!D1059:D2528)</f>
        <v>Bachelor</v>
      </c>
      <c r="E1059" s="3" t="str">
        <f>_xlfn.XLOOKUP(A1059,'Data Cleaning'!A1059:A2528, 'Data Cleaning'!E1059:E2528)</f>
        <v>Married</v>
      </c>
      <c r="F1059" t="str">
        <f>_xlfn.XLOOKUP(A1059,'Data Cleaning'!A1059:A2528, 'Data Cleaning'!F1059:F2528)</f>
        <v>Low</v>
      </c>
      <c r="G1059" s="3" t="str">
        <f>_xlfn.XLOOKUP(A1059,'Data Cleaning'!A1059:A2528, 'Data Cleaning'!J1059:J2528)</f>
        <v>Long Promotion gap</v>
      </c>
    </row>
    <row r="1060" spans="1:7" x14ac:dyDescent="0.25">
      <c r="A1060" s="3">
        <v>2036</v>
      </c>
      <c r="B1060" s="3" t="str">
        <f>_xlfn.XLOOKUP(A1060,'Data Cleaning'!A1060:A2529, 'Data Cleaning'!I1060:I2529)</f>
        <v>35-44</v>
      </c>
      <c r="C1060">
        <f>_xlfn.XLOOKUP(A1060,'Data Cleaning'!A1060:A2529,'Data Cleaning'!K1060:K2529)</f>
        <v>0</v>
      </c>
      <c r="D1060" t="str">
        <f>_xlfn.XLOOKUP(A1060,'Data Cleaning'!A1060:A2529, 'Data Cleaning'!D1060:D2529)</f>
        <v>Master</v>
      </c>
      <c r="E1060" s="3" t="str">
        <f>_xlfn.XLOOKUP(A1060,'Data Cleaning'!A1060:A2529, 'Data Cleaning'!E1060:E2529)</f>
        <v>Divorced</v>
      </c>
      <c r="F1060" t="str">
        <f>_xlfn.XLOOKUP(A1060,'Data Cleaning'!A1060:A2529, 'Data Cleaning'!F1060:F2529)</f>
        <v>Low</v>
      </c>
      <c r="G1060" s="3" t="str">
        <f>_xlfn.XLOOKUP(A1060,'Data Cleaning'!A1060:A2529, 'Data Cleaning'!J1060:J2529)</f>
        <v>Long Promotion gap</v>
      </c>
    </row>
    <row r="1061" spans="1:7" x14ac:dyDescent="0.25">
      <c r="A1061" s="3">
        <v>1666</v>
      </c>
      <c r="B1061" s="3" t="str">
        <f>_xlfn.XLOOKUP(A1061,'Data Cleaning'!A1061:A2530, 'Data Cleaning'!I1061:I2530)</f>
        <v>35-44</v>
      </c>
      <c r="C1061">
        <f>_xlfn.XLOOKUP(A1061,'Data Cleaning'!A1061:A2530,'Data Cleaning'!K1061:K2530)</f>
        <v>0</v>
      </c>
      <c r="D1061" t="str">
        <f>_xlfn.XLOOKUP(A1061,'Data Cleaning'!A1061:A2530, 'Data Cleaning'!D1061:D2530)</f>
        <v>College</v>
      </c>
      <c r="E1061" s="3" t="str">
        <f>_xlfn.XLOOKUP(A1061,'Data Cleaning'!A1061:A2530, 'Data Cleaning'!E1061:E2530)</f>
        <v>Married</v>
      </c>
      <c r="F1061" t="str">
        <f>_xlfn.XLOOKUP(A1061,'Data Cleaning'!A1061:A2530, 'Data Cleaning'!F1061:F2530)</f>
        <v>Low</v>
      </c>
      <c r="G1061" s="3" t="str">
        <f>_xlfn.XLOOKUP(A1061,'Data Cleaning'!A1061:A2530, 'Data Cleaning'!J1061:J2530)</f>
        <v>Long Promotion gap</v>
      </c>
    </row>
    <row r="1062" spans="1:7" x14ac:dyDescent="0.25">
      <c r="A1062" s="3">
        <v>1950</v>
      </c>
      <c r="B1062" s="3" t="str">
        <f>_xlfn.XLOOKUP(A1062,'Data Cleaning'!A1062:A2531, 'Data Cleaning'!I1062:I2531)</f>
        <v>25-34</v>
      </c>
      <c r="C1062">
        <f>_xlfn.XLOOKUP(A1062,'Data Cleaning'!A1062:A2531,'Data Cleaning'!K1062:K2531)</f>
        <v>0</v>
      </c>
      <c r="D1062" t="str">
        <f>_xlfn.XLOOKUP(A1062,'Data Cleaning'!A1062:A2531, 'Data Cleaning'!D1062:D2531)</f>
        <v>Bachelor</v>
      </c>
      <c r="E1062" s="3" t="str">
        <f>_xlfn.XLOOKUP(A1062,'Data Cleaning'!A1062:A2531, 'Data Cleaning'!E1062:E2531)</f>
        <v>Single</v>
      </c>
      <c r="F1062" t="str">
        <f>_xlfn.XLOOKUP(A1062,'Data Cleaning'!A1062:A2531, 'Data Cleaning'!F1062:F2531)</f>
        <v>None</v>
      </c>
      <c r="G1062" s="3" t="str">
        <f>_xlfn.XLOOKUP(A1062,'Data Cleaning'!A1062:A2531, 'Data Cleaning'!J1062:J2531)</f>
        <v>Promoted in 1-3 years</v>
      </c>
    </row>
    <row r="1063" spans="1:7" x14ac:dyDescent="0.25">
      <c r="A1063" s="3">
        <v>682</v>
      </c>
      <c r="B1063" s="3" t="str">
        <f>_xlfn.XLOOKUP(A1063,'Data Cleaning'!A1063:A2532, 'Data Cleaning'!I1063:I2532)</f>
        <v>45-54</v>
      </c>
      <c r="C1063">
        <f>_xlfn.XLOOKUP(A1063,'Data Cleaning'!A1063:A2532,'Data Cleaning'!K1063:K2532)</f>
        <v>0</v>
      </c>
      <c r="D1063" t="str">
        <f>_xlfn.XLOOKUP(A1063,'Data Cleaning'!A1063:A2532, 'Data Cleaning'!D1063:D2532)</f>
        <v>Below College</v>
      </c>
      <c r="E1063" s="3" t="str">
        <f>_xlfn.XLOOKUP(A1063,'Data Cleaning'!A1063:A2532, 'Data Cleaning'!E1063:E2532)</f>
        <v>Single</v>
      </c>
      <c r="F1063" t="str">
        <f>_xlfn.XLOOKUP(A1063,'Data Cleaning'!A1063:A2532, 'Data Cleaning'!F1063:F2532)</f>
        <v>None</v>
      </c>
      <c r="G1063" s="3" t="str">
        <f>_xlfn.XLOOKUP(A1063,'Data Cleaning'!A1063:A2532, 'Data Cleaning'!J1063:J2532)</f>
        <v>Long Promotion gap</v>
      </c>
    </row>
    <row r="1064" spans="1:7" x14ac:dyDescent="0.25">
      <c r="A1064" s="3">
        <v>145</v>
      </c>
      <c r="B1064" s="3" t="str">
        <f>_xlfn.XLOOKUP(A1064,'Data Cleaning'!A1064:A2533, 'Data Cleaning'!I1064:I2533)</f>
        <v>45-54</v>
      </c>
      <c r="C1064">
        <f>_xlfn.XLOOKUP(A1064,'Data Cleaning'!A1064:A2533,'Data Cleaning'!K1064:K2533)</f>
        <v>0</v>
      </c>
      <c r="D1064" t="str">
        <f>_xlfn.XLOOKUP(A1064,'Data Cleaning'!A1064:A2533, 'Data Cleaning'!D1064:D2533)</f>
        <v>Master</v>
      </c>
      <c r="E1064" s="3" t="str">
        <f>_xlfn.XLOOKUP(A1064,'Data Cleaning'!A1064:A2533, 'Data Cleaning'!E1064:E2533)</f>
        <v>Single</v>
      </c>
      <c r="F1064" t="str">
        <f>_xlfn.XLOOKUP(A1064,'Data Cleaning'!A1064:A2533, 'Data Cleaning'!F1064:F2533)</f>
        <v>None</v>
      </c>
      <c r="G1064" s="3" t="str">
        <f>_xlfn.XLOOKUP(A1064,'Data Cleaning'!A1064:A2533, 'Data Cleaning'!J1064:J2533)</f>
        <v>Long Promotion gap</v>
      </c>
    </row>
    <row r="1065" spans="1:7" x14ac:dyDescent="0.25">
      <c r="A1065" s="3">
        <v>1184</v>
      </c>
      <c r="B1065" s="3" t="str">
        <f>_xlfn.XLOOKUP(A1065,'Data Cleaning'!A1065:A2534, 'Data Cleaning'!I1065:I2534)</f>
        <v>25-34</v>
      </c>
      <c r="C1065">
        <f>_xlfn.XLOOKUP(A1065,'Data Cleaning'!A1065:A2534,'Data Cleaning'!K1065:K2534)</f>
        <v>0</v>
      </c>
      <c r="D1065" t="str">
        <f>_xlfn.XLOOKUP(A1065,'Data Cleaning'!A1065:A2534, 'Data Cleaning'!D1065:D2534)</f>
        <v>Bachelor</v>
      </c>
      <c r="E1065" s="3" t="str">
        <f>_xlfn.XLOOKUP(A1065,'Data Cleaning'!A1065:A2534, 'Data Cleaning'!E1065:E2534)</f>
        <v>Single</v>
      </c>
      <c r="F1065" t="str">
        <f>_xlfn.XLOOKUP(A1065,'Data Cleaning'!A1065:A2534, 'Data Cleaning'!F1065:F2534)</f>
        <v>None</v>
      </c>
      <c r="G1065" s="3" t="str">
        <f>_xlfn.XLOOKUP(A1065,'Data Cleaning'!A1065:A2534, 'Data Cleaning'!J1065:J2534)</f>
        <v>Long Promotion gap</v>
      </c>
    </row>
    <row r="1066" spans="1:7" x14ac:dyDescent="0.25">
      <c r="A1066" s="3">
        <v>692</v>
      </c>
      <c r="B1066" s="3" t="str">
        <f>_xlfn.XLOOKUP(A1066,'Data Cleaning'!A1066:A2535, 'Data Cleaning'!I1066:I2535)</f>
        <v>25-34</v>
      </c>
      <c r="C1066">
        <f>_xlfn.XLOOKUP(A1066,'Data Cleaning'!A1066:A2535,'Data Cleaning'!K1066:K2535)</f>
        <v>0</v>
      </c>
      <c r="D1066" t="str">
        <f>_xlfn.XLOOKUP(A1066,'Data Cleaning'!A1066:A2535, 'Data Cleaning'!D1066:D2535)</f>
        <v>Bachelor</v>
      </c>
      <c r="E1066" s="3" t="str">
        <f>_xlfn.XLOOKUP(A1066,'Data Cleaning'!A1066:A2535, 'Data Cleaning'!E1066:E2535)</f>
        <v>Divorced</v>
      </c>
      <c r="F1066" t="str">
        <f>_xlfn.XLOOKUP(A1066,'Data Cleaning'!A1066:A2535, 'Data Cleaning'!F1066:F2535)</f>
        <v>Low</v>
      </c>
      <c r="G1066" s="3" t="str">
        <f>_xlfn.XLOOKUP(A1066,'Data Cleaning'!A1066:A2535, 'Data Cleaning'!J1066:J2535)</f>
        <v>Long Promotion gap</v>
      </c>
    </row>
    <row r="1067" spans="1:7" x14ac:dyDescent="0.25">
      <c r="A1067" s="3">
        <v>57</v>
      </c>
      <c r="B1067" s="3" t="str">
        <f>_xlfn.XLOOKUP(A1067,'Data Cleaning'!A1067:A2536, 'Data Cleaning'!I1067:I2536)</f>
        <v>25-34</v>
      </c>
      <c r="C1067">
        <f>_xlfn.XLOOKUP(A1067,'Data Cleaning'!A1067:A2536,'Data Cleaning'!K1067:K2536)</f>
        <v>0</v>
      </c>
      <c r="D1067" t="str">
        <f>_xlfn.XLOOKUP(A1067,'Data Cleaning'!A1067:A2536, 'Data Cleaning'!D1067:D2536)</f>
        <v>College</v>
      </c>
      <c r="E1067" s="3" t="str">
        <f>_xlfn.XLOOKUP(A1067,'Data Cleaning'!A1067:A2536, 'Data Cleaning'!E1067:E2536)</f>
        <v>Single</v>
      </c>
      <c r="F1067" t="str">
        <f>_xlfn.XLOOKUP(A1067,'Data Cleaning'!A1067:A2536, 'Data Cleaning'!F1067:F2536)</f>
        <v>None</v>
      </c>
      <c r="G1067" s="3" t="str">
        <f>_xlfn.XLOOKUP(A1067,'Data Cleaning'!A1067:A2536, 'Data Cleaning'!J1067:J2536)</f>
        <v>Promoted in 1-3 years</v>
      </c>
    </row>
    <row r="1068" spans="1:7" x14ac:dyDescent="0.25">
      <c r="A1068" s="3">
        <v>1375</v>
      </c>
      <c r="B1068" s="3" t="str">
        <f>_xlfn.XLOOKUP(A1068,'Data Cleaning'!A1068:A2537, 'Data Cleaning'!I1068:I2537)</f>
        <v>35-44</v>
      </c>
      <c r="C1068">
        <f>_xlfn.XLOOKUP(A1068,'Data Cleaning'!A1068:A2537,'Data Cleaning'!K1068:K2537)</f>
        <v>0</v>
      </c>
      <c r="D1068" t="str">
        <f>_xlfn.XLOOKUP(A1068,'Data Cleaning'!A1068:A2537, 'Data Cleaning'!D1068:D2537)</f>
        <v>Below College</v>
      </c>
      <c r="E1068" s="3" t="str">
        <f>_xlfn.XLOOKUP(A1068,'Data Cleaning'!A1068:A2537, 'Data Cleaning'!E1068:E2537)</f>
        <v>Divorced</v>
      </c>
      <c r="F1068" t="str">
        <f>_xlfn.XLOOKUP(A1068,'Data Cleaning'!A1068:A2537, 'Data Cleaning'!F1068:F2537)</f>
        <v>High</v>
      </c>
      <c r="G1068" s="3" t="str">
        <f>_xlfn.XLOOKUP(A1068,'Data Cleaning'!A1068:A2537, 'Data Cleaning'!J1068:J2537)</f>
        <v>Long Promotion gap</v>
      </c>
    </row>
    <row r="1069" spans="1:7" x14ac:dyDescent="0.25">
      <c r="A1069" s="3">
        <v>1483</v>
      </c>
      <c r="B1069" s="3" t="str">
        <f>_xlfn.XLOOKUP(A1069,'Data Cleaning'!A1069:A2538, 'Data Cleaning'!I1069:I2538)</f>
        <v>55-60</v>
      </c>
      <c r="C1069">
        <f>_xlfn.XLOOKUP(A1069,'Data Cleaning'!A1069:A2538,'Data Cleaning'!K1069:K2538)</f>
        <v>0</v>
      </c>
      <c r="D1069" t="str">
        <f>_xlfn.XLOOKUP(A1069,'Data Cleaning'!A1069:A2538, 'Data Cleaning'!D1069:D2538)</f>
        <v>College</v>
      </c>
      <c r="E1069" s="3" t="str">
        <f>_xlfn.XLOOKUP(A1069,'Data Cleaning'!A1069:A2538, 'Data Cleaning'!E1069:E2538)</f>
        <v>Married</v>
      </c>
      <c r="F1069" t="str">
        <f>_xlfn.XLOOKUP(A1069,'Data Cleaning'!A1069:A2538, 'Data Cleaning'!F1069:F2538)</f>
        <v>Low</v>
      </c>
      <c r="G1069" s="3" t="str">
        <f>_xlfn.XLOOKUP(A1069,'Data Cleaning'!A1069:A2538, 'Data Cleaning'!J1069:J2538)</f>
        <v>Promoted in 1-3 years</v>
      </c>
    </row>
    <row r="1070" spans="1:7" x14ac:dyDescent="0.25">
      <c r="A1070" s="3">
        <v>292</v>
      </c>
      <c r="B1070" s="3" t="str">
        <f>_xlfn.XLOOKUP(A1070,'Data Cleaning'!A1070:A2539, 'Data Cleaning'!I1070:I2539)</f>
        <v>25-34</v>
      </c>
      <c r="C1070">
        <f>_xlfn.XLOOKUP(A1070,'Data Cleaning'!A1070:A2539,'Data Cleaning'!K1070:K2539)</f>
        <v>0</v>
      </c>
      <c r="D1070" t="str">
        <f>_xlfn.XLOOKUP(A1070,'Data Cleaning'!A1070:A2539, 'Data Cleaning'!D1070:D2539)</f>
        <v>Below College</v>
      </c>
      <c r="E1070" s="3" t="str">
        <f>_xlfn.XLOOKUP(A1070,'Data Cleaning'!A1070:A2539, 'Data Cleaning'!E1070:E2539)</f>
        <v>Single</v>
      </c>
      <c r="F1070" t="str">
        <f>_xlfn.XLOOKUP(A1070,'Data Cleaning'!A1070:A2539, 'Data Cleaning'!F1070:F2539)</f>
        <v>None</v>
      </c>
      <c r="G1070" s="3" t="str">
        <f>_xlfn.XLOOKUP(A1070,'Data Cleaning'!A1070:A2539, 'Data Cleaning'!J1070:J2539)</f>
        <v>Long Promotion gap</v>
      </c>
    </row>
    <row r="1071" spans="1:7" x14ac:dyDescent="0.25">
      <c r="A1071" s="3">
        <v>1541</v>
      </c>
      <c r="B1071" s="3" t="str">
        <f>_xlfn.XLOOKUP(A1071,'Data Cleaning'!A1071:A2540, 'Data Cleaning'!I1071:I2540)</f>
        <v>25-34</v>
      </c>
      <c r="C1071">
        <f>_xlfn.XLOOKUP(A1071,'Data Cleaning'!A1071:A2540,'Data Cleaning'!K1071:K2540)</f>
        <v>0</v>
      </c>
      <c r="D1071" t="str">
        <f>_xlfn.XLOOKUP(A1071,'Data Cleaning'!A1071:A2540, 'Data Cleaning'!D1071:D2540)</f>
        <v>College</v>
      </c>
      <c r="E1071" s="3" t="str">
        <f>_xlfn.XLOOKUP(A1071,'Data Cleaning'!A1071:A2540, 'Data Cleaning'!E1071:E2540)</f>
        <v>Married</v>
      </c>
      <c r="F1071" t="str">
        <f>_xlfn.XLOOKUP(A1071,'Data Cleaning'!A1071:A2540, 'Data Cleaning'!F1071:F2540)</f>
        <v>Low</v>
      </c>
      <c r="G1071" s="3" t="str">
        <f>_xlfn.XLOOKUP(A1071,'Data Cleaning'!A1071:A2540, 'Data Cleaning'!J1071:J2540)</f>
        <v>Long Promotion gap</v>
      </c>
    </row>
    <row r="1072" spans="1:7" x14ac:dyDescent="0.25">
      <c r="A1072" s="3">
        <v>1092</v>
      </c>
      <c r="B1072" s="3" t="str">
        <f>_xlfn.XLOOKUP(A1072,'Data Cleaning'!A1072:A2541, 'Data Cleaning'!I1072:I2541)</f>
        <v>35-44</v>
      </c>
      <c r="C1072">
        <f>_xlfn.XLOOKUP(A1072,'Data Cleaning'!A1072:A2541,'Data Cleaning'!K1072:K2541)</f>
        <v>0</v>
      </c>
      <c r="D1072" t="str">
        <f>_xlfn.XLOOKUP(A1072,'Data Cleaning'!A1072:A2541, 'Data Cleaning'!D1072:D2541)</f>
        <v>Master</v>
      </c>
      <c r="E1072" s="3" t="str">
        <f>_xlfn.XLOOKUP(A1072,'Data Cleaning'!A1072:A2541, 'Data Cleaning'!E1072:E2541)</f>
        <v>Married</v>
      </c>
      <c r="F1072" t="str">
        <f>_xlfn.XLOOKUP(A1072,'Data Cleaning'!A1072:A2541, 'Data Cleaning'!F1072:F2541)</f>
        <v>Low</v>
      </c>
      <c r="G1072" s="3" t="str">
        <f>_xlfn.XLOOKUP(A1072,'Data Cleaning'!A1072:A2541, 'Data Cleaning'!J1072:J2541)</f>
        <v>Long Promotion gap</v>
      </c>
    </row>
    <row r="1073" spans="1:7" x14ac:dyDescent="0.25">
      <c r="A1073" s="3">
        <v>1979</v>
      </c>
      <c r="B1073" s="3" t="str">
        <f>_xlfn.XLOOKUP(A1073,'Data Cleaning'!A1073:A2542, 'Data Cleaning'!I1073:I2542)</f>
        <v>25-34</v>
      </c>
      <c r="C1073">
        <f>_xlfn.XLOOKUP(A1073,'Data Cleaning'!A1073:A2542,'Data Cleaning'!K1073:K2542)</f>
        <v>0</v>
      </c>
      <c r="D1073" t="str">
        <f>_xlfn.XLOOKUP(A1073,'Data Cleaning'!A1073:A2542, 'Data Cleaning'!D1073:D2542)</f>
        <v>Bachelor</v>
      </c>
      <c r="E1073" s="3" t="str">
        <f>_xlfn.XLOOKUP(A1073,'Data Cleaning'!A1073:A2542, 'Data Cleaning'!E1073:E2542)</f>
        <v>Married</v>
      </c>
      <c r="F1073" t="str">
        <f>_xlfn.XLOOKUP(A1073,'Data Cleaning'!A1073:A2542, 'Data Cleaning'!F1073:F2542)</f>
        <v>Low</v>
      </c>
      <c r="G1073" s="3" t="str">
        <f>_xlfn.XLOOKUP(A1073,'Data Cleaning'!A1073:A2542, 'Data Cleaning'!J1073:J2542)</f>
        <v>Long Promotion gap</v>
      </c>
    </row>
    <row r="1074" spans="1:7" x14ac:dyDescent="0.25">
      <c r="A1074" s="3">
        <v>958</v>
      </c>
      <c r="B1074" s="3" t="str">
        <f>_xlfn.XLOOKUP(A1074,'Data Cleaning'!A1074:A2543, 'Data Cleaning'!I1074:I2543)</f>
        <v>35-44</v>
      </c>
      <c r="C1074">
        <f>_xlfn.XLOOKUP(A1074,'Data Cleaning'!A1074:A2543,'Data Cleaning'!K1074:K2543)</f>
        <v>0</v>
      </c>
      <c r="D1074" t="str">
        <f>_xlfn.XLOOKUP(A1074,'Data Cleaning'!A1074:A2543, 'Data Cleaning'!D1074:D2543)</f>
        <v>Master</v>
      </c>
      <c r="E1074" s="3" t="str">
        <f>_xlfn.XLOOKUP(A1074,'Data Cleaning'!A1074:A2543, 'Data Cleaning'!E1074:E2543)</f>
        <v>Single</v>
      </c>
      <c r="F1074" t="str">
        <f>_xlfn.XLOOKUP(A1074,'Data Cleaning'!A1074:A2543, 'Data Cleaning'!F1074:F2543)</f>
        <v>None</v>
      </c>
      <c r="G1074" s="3" t="str">
        <f>_xlfn.XLOOKUP(A1074,'Data Cleaning'!A1074:A2543, 'Data Cleaning'!J1074:J2543)</f>
        <v>Promoted in 1-3 years</v>
      </c>
    </row>
    <row r="1075" spans="1:7" x14ac:dyDescent="0.25">
      <c r="A1075" s="3">
        <v>1241</v>
      </c>
      <c r="B1075" s="3" t="str">
        <f>_xlfn.XLOOKUP(A1075,'Data Cleaning'!A1075:A2544, 'Data Cleaning'!I1075:I2544)</f>
        <v>25-34</v>
      </c>
      <c r="C1075">
        <f>_xlfn.XLOOKUP(A1075,'Data Cleaning'!A1075:A2544,'Data Cleaning'!K1075:K2544)</f>
        <v>0</v>
      </c>
      <c r="D1075" t="str">
        <f>_xlfn.XLOOKUP(A1075,'Data Cleaning'!A1075:A2544, 'Data Cleaning'!D1075:D2544)</f>
        <v>Bachelor</v>
      </c>
      <c r="E1075" s="3" t="str">
        <f>_xlfn.XLOOKUP(A1075,'Data Cleaning'!A1075:A2544, 'Data Cleaning'!E1075:E2544)</f>
        <v>Married</v>
      </c>
      <c r="F1075" t="str">
        <f>_xlfn.XLOOKUP(A1075,'Data Cleaning'!A1075:A2544, 'Data Cleaning'!F1075:F2544)</f>
        <v>Low</v>
      </c>
      <c r="G1075" s="3" t="str">
        <f>_xlfn.XLOOKUP(A1075,'Data Cleaning'!A1075:A2544, 'Data Cleaning'!J1075:J2544)</f>
        <v>Long Promotion gap</v>
      </c>
    </row>
    <row r="1076" spans="1:7" x14ac:dyDescent="0.25">
      <c r="A1076" s="3">
        <v>442</v>
      </c>
      <c r="B1076" s="3" t="str">
        <f>_xlfn.XLOOKUP(A1076,'Data Cleaning'!A1076:A2545, 'Data Cleaning'!I1076:I2545)</f>
        <v>25-34</v>
      </c>
      <c r="C1076">
        <f>_xlfn.XLOOKUP(A1076,'Data Cleaning'!A1076:A2545,'Data Cleaning'!K1076:K2545)</f>
        <v>0</v>
      </c>
      <c r="D1076" t="str">
        <f>_xlfn.XLOOKUP(A1076,'Data Cleaning'!A1076:A2545, 'Data Cleaning'!D1076:D2545)</f>
        <v>College</v>
      </c>
      <c r="E1076" s="3" t="str">
        <f>_xlfn.XLOOKUP(A1076,'Data Cleaning'!A1076:A2545, 'Data Cleaning'!E1076:E2545)</f>
        <v>Married</v>
      </c>
      <c r="F1076" t="str">
        <f>_xlfn.XLOOKUP(A1076,'Data Cleaning'!A1076:A2545, 'Data Cleaning'!F1076:F2545)</f>
        <v>Low</v>
      </c>
      <c r="G1076" s="3" t="str">
        <f>_xlfn.XLOOKUP(A1076,'Data Cleaning'!A1076:A2545, 'Data Cleaning'!J1076:J2545)</f>
        <v>Long Promotion gap</v>
      </c>
    </row>
    <row r="1077" spans="1:7" x14ac:dyDescent="0.25">
      <c r="A1077" s="3">
        <v>605</v>
      </c>
      <c r="B1077" s="3" t="str">
        <f>_xlfn.XLOOKUP(A1077,'Data Cleaning'!A1077:A2546, 'Data Cleaning'!I1077:I2546)</f>
        <v>35-44</v>
      </c>
      <c r="C1077">
        <f>_xlfn.XLOOKUP(A1077,'Data Cleaning'!A1077:A2546,'Data Cleaning'!K1077:K2546)</f>
        <v>0</v>
      </c>
      <c r="D1077" t="str">
        <f>_xlfn.XLOOKUP(A1077,'Data Cleaning'!A1077:A2546, 'Data Cleaning'!D1077:D2546)</f>
        <v>Bachelor</v>
      </c>
      <c r="E1077" s="3" t="str">
        <f>_xlfn.XLOOKUP(A1077,'Data Cleaning'!A1077:A2546, 'Data Cleaning'!E1077:E2546)</f>
        <v>Married</v>
      </c>
      <c r="F1077" t="str">
        <f>_xlfn.XLOOKUP(A1077,'Data Cleaning'!A1077:A2546, 'Data Cleaning'!F1077:F2546)</f>
        <v>Low</v>
      </c>
      <c r="G1077" s="3" t="str">
        <f>_xlfn.XLOOKUP(A1077,'Data Cleaning'!A1077:A2546, 'Data Cleaning'!J1077:J2546)</f>
        <v>Long Promotion gap</v>
      </c>
    </row>
    <row r="1078" spans="1:7" x14ac:dyDescent="0.25">
      <c r="A1078" s="3">
        <v>1956</v>
      </c>
      <c r="B1078" s="3" t="str">
        <f>_xlfn.XLOOKUP(A1078,'Data Cleaning'!A1078:A2547, 'Data Cleaning'!I1078:I2547)</f>
        <v>25-34</v>
      </c>
      <c r="C1078">
        <f>_xlfn.XLOOKUP(A1078,'Data Cleaning'!A1078:A2547,'Data Cleaning'!K1078:K2547)</f>
        <v>0</v>
      </c>
      <c r="D1078" t="str">
        <f>_xlfn.XLOOKUP(A1078,'Data Cleaning'!A1078:A2547, 'Data Cleaning'!D1078:D2547)</f>
        <v>Bachelor</v>
      </c>
      <c r="E1078" s="3" t="str">
        <f>_xlfn.XLOOKUP(A1078,'Data Cleaning'!A1078:A2547, 'Data Cleaning'!E1078:E2547)</f>
        <v>Married</v>
      </c>
      <c r="F1078" t="str">
        <f>_xlfn.XLOOKUP(A1078,'Data Cleaning'!A1078:A2547, 'Data Cleaning'!F1078:F2547)</f>
        <v>None</v>
      </c>
      <c r="G1078" s="3" t="str">
        <f>_xlfn.XLOOKUP(A1078,'Data Cleaning'!A1078:A2547, 'Data Cleaning'!J1078:J2547)</f>
        <v>Long Promotion gap</v>
      </c>
    </row>
    <row r="1079" spans="1:7" x14ac:dyDescent="0.25">
      <c r="A1079" s="3">
        <v>597</v>
      </c>
      <c r="B1079" s="3" t="str">
        <f>_xlfn.XLOOKUP(A1079,'Data Cleaning'!A1079:A2548, 'Data Cleaning'!I1079:I2548)</f>
        <v>55-60</v>
      </c>
      <c r="C1079">
        <f>_xlfn.XLOOKUP(A1079,'Data Cleaning'!A1079:A2548,'Data Cleaning'!K1079:K2548)</f>
        <v>0</v>
      </c>
      <c r="D1079" t="str">
        <f>_xlfn.XLOOKUP(A1079,'Data Cleaning'!A1079:A2548, 'Data Cleaning'!D1079:D2548)</f>
        <v>Doctor</v>
      </c>
      <c r="E1079" s="3" t="str">
        <f>_xlfn.XLOOKUP(A1079,'Data Cleaning'!A1079:A2548, 'Data Cleaning'!E1079:E2548)</f>
        <v>Single</v>
      </c>
      <c r="F1079" t="str">
        <f>_xlfn.XLOOKUP(A1079,'Data Cleaning'!A1079:A2548, 'Data Cleaning'!F1079:F2548)</f>
        <v>None</v>
      </c>
      <c r="G1079" s="3" t="str">
        <f>_xlfn.XLOOKUP(A1079,'Data Cleaning'!A1079:A2548, 'Data Cleaning'!J1079:J2548)</f>
        <v>Long Promotion gap</v>
      </c>
    </row>
    <row r="1080" spans="1:7" x14ac:dyDescent="0.25">
      <c r="A1080" s="3">
        <v>1665</v>
      </c>
      <c r="B1080" s="3" t="str">
        <f>_xlfn.XLOOKUP(A1080,'Data Cleaning'!A1080:A2549, 'Data Cleaning'!I1080:I2549)</f>
        <v>45-54</v>
      </c>
      <c r="C1080">
        <f>_xlfn.XLOOKUP(A1080,'Data Cleaning'!A1080:A2549,'Data Cleaning'!K1080:K2549)</f>
        <v>0</v>
      </c>
      <c r="D1080" t="str">
        <f>_xlfn.XLOOKUP(A1080,'Data Cleaning'!A1080:A2549, 'Data Cleaning'!D1080:D2549)</f>
        <v>Doctor</v>
      </c>
      <c r="E1080" s="3" t="str">
        <f>_xlfn.XLOOKUP(A1080,'Data Cleaning'!A1080:A2549, 'Data Cleaning'!E1080:E2549)</f>
        <v>Married</v>
      </c>
      <c r="F1080" t="str">
        <f>_xlfn.XLOOKUP(A1080,'Data Cleaning'!A1080:A2549, 'Data Cleaning'!F1080:F2549)</f>
        <v>Low</v>
      </c>
      <c r="G1080" s="3" t="str">
        <f>_xlfn.XLOOKUP(A1080,'Data Cleaning'!A1080:A2549, 'Data Cleaning'!J1080:J2549)</f>
        <v>Long Promotion gap</v>
      </c>
    </row>
    <row r="1081" spans="1:7" x14ac:dyDescent="0.25">
      <c r="A1081" s="3">
        <v>1823</v>
      </c>
      <c r="B1081" s="3" t="str">
        <f>_xlfn.XLOOKUP(A1081,'Data Cleaning'!A1081:A2550, 'Data Cleaning'!I1081:I2550)</f>
        <v>25-34</v>
      </c>
      <c r="C1081">
        <f>_xlfn.XLOOKUP(A1081,'Data Cleaning'!A1081:A2550,'Data Cleaning'!K1081:K2550)</f>
        <v>0</v>
      </c>
      <c r="D1081" t="str">
        <f>_xlfn.XLOOKUP(A1081,'Data Cleaning'!A1081:A2550, 'Data Cleaning'!D1081:D2550)</f>
        <v>College</v>
      </c>
      <c r="E1081" s="3" t="str">
        <f>_xlfn.XLOOKUP(A1081,'Data Cleaning'!A1081:A2550, 'Data Cleaning'!E1081:E2550)</f>
        <v>Married</v>
      </c>
      <c r="F1081" t="str">
        <f>_xlfn.XLOOKUP(A1081,'Data Cleaning'!A1081:A2550, 'Data Cleaning'!F1081:F2550)</f>
        <v>Mid</v>
      </c>
      <c r="G1081" s="3" t="str">
        <f>_xlfn.XLOOKUP(A1081,'Data Cleaning'!A1081:A2550, 'Data Cleaning'!J1081:J2550)</f>
        <v>Long Promotion gap</v>
      </c>
    </row>
    <row r="1082" spans="1:7" x14ac:dyDescent="0.25">
      <c r="A1082" s="3">
        <v>1936</v>
      </c>
      <c r="B1082" s="3" t="str">
        <f>_xlfn.XLOOKUP(A1082,'Data Cleaning'!A1082:A2551, 'Data Cleaning'!I1082:I2551)</f>
        <v>35-44</v>
      </c>
      <c r="C1082">
        <f>_xlfn.XLOOKUP(A1082,'Data Cleaning'!A1082:A2551,'Data Cleaning'!K1082:K2551)</f>
        <v>0</v>
      </c>
      <c r="D1082" t="str">
        <f>_xlfn.XLOOKUP(A1082,'Data Cleaning'!A1082:A2551, 'Data Cleaning'!D1082:D2551)</f>
        <v>College</v>
      </c>
      <c r="E1082" s="3" t="str">
        <f>_xlfn.XLOOKUP(A1082,'Data Cleaning'!A1082:A2551, 'Data Cleaning'!E1082:E2551)</f>
        <v>Married</v>
      </c>
      <c r="F1082" t="str">
        <f>_xlfn.XLOOKUP(A1082,'Data Cleaning'!A1082:A2551, 'Data Cleaning'!F1082:F2551)</f>
        <v>Low</v>
      </c>
      <c r="G1082" s="3" t="str">
        <f>_xlfn.XLOOKUP(A1082,'Data Cleaning'!A1082:A2551, 'Data Cleaning'!J1082:J2551)</f>
        <v>Long Promotion gap</v>
      </c>
    </row>
    <row r="1083" spans="1:7" x14ac:dyDescent="0.25">
      <c r="A1083" s="3">
        <v>367</v>
      </c>
      <c r="B1083" s="3" t="str">
        <f>_xlfn.XLOOKUP(A1083,'Data Cleaning'!A1083:A2552, 'Data Cleaning'!I1083:I2552)</f>
        <v>25-34</v>
      </c>
      <c r="C1083">
        <f>_xlfn.XLOOKUP(A1083,'Data Cleaning'!A1083:A2552,'Data Cleaning'!K1083:K2552)</f>
        <v>0</v>
      </c>
      <c r="D1083" t="str">
        <f>_xlfn.XLOOKUP(A1083,'Data Cleaning'!A1083:A2552, 'Data Cleaning'!D1083:D2552)</f>
        <v>Bachelor</v>
      </c>
      <c r="E1083" s="3" t="str">
        <f>_xlfn.XLOOKUP(A1083,'Data Cleaning'!A1083:A2552, 'Data Cleaning'!E1083:E2552)</f>
        <v>Married</v>
      </c>
      <c r="F1083" t="str">
        <f>_xlfn.XLOOKUP(A1083,'Data Cleaning'!A1083:A2552, 'Data Cleaning'!F1083:F2552)</f>
        <v>Low</v>
      </c>
      <c r="G1083" s="3" t="str">
        <f>_xlfn.XLOOKUP(A1083,'Data Cleaning'!A1083:A2552, 'Data Cleaning'!J1083:J2552)</f>
        <v>Long Promotion gap</v>
      </c>
    </row>
    <row r="1084" spans="1:7" x14ac:dyDescent="0.25">
      <c r="A1084" s="3">
        <v>1970</v>
      </c>
      <c r="B1084" s="3" t="str">
        <f>_xlfn.XLOOKUP(A1084,'Data Cleaning'!A1084:A2553, 'Data Cleaning'!I1084:I2553)</f>
        <v>25-34</v>
      </c>
      <c r="C1084">
        <f>_xlfn.XLOOKUP(A1084,'Data Cleaning'!A1084:A2553,'Data Cleaning'!K1084:K2553)</f>
        <v>0</v>
      </c>
      <c r="D1084" t="str">
        <f>_xlfn.XLOOKUP(A1084,'Data Cleaning'!A1084:A2553, 'Data Cleaning'!D1084:D2553)</f>
        <v>College</v>
      </c>
      <c r="E1084" s="3" t="str">
        <f>_xlfn.XLOOKUP(A1084,'Data Cleaning'!A1084:A2553, 'Data Cleaning'!E1084:E2553)</f>
        <v>Divorced</v>
      </c>
      <c r="F1084" t="str">
        <f>_xlfn.XLOOKUP(A1084,'Data Cleaning'!A1084:A2553, 'Data Cleaning'!F1084:F2553)</f>
        <v>High</v>
      </c>
      <c r="G1084" s="3" t="str">
        <f>_xlfn.XLOOKUP(A1084,'Data Cleaning'!A1084:A2553, 'Data Cleaning'!J1084:J2553)</f>
        <v>Promoted in 1-3 years</v>
      </c>
    </row>
    <row r="1085" spans="1:7" x14ac:dyDescent="0.25">
      <c r="A1085" s="3">
        <v>60</v>
      </c>
      <c r="B1085" s="3" t="str">
        <f>_xlfn.XLOOKUP(A1085,'Data Cleaning'!A1085:A2554, 'Data Cleaning'!I1085:I2554)</f>
        <v>25-34</v>
      </c>
      <c r="C1085">
        <f>_xlfn.XLOOKUP(A1085,'Data Cleaning'!A1085:A2554,'Data Cleaning'!K1085:K2554)</f>
        <v>0</v>
      </c>
      <c r="D1085" t="str">
        <f>_xlfn.XLOOKUP(A1085,'Data Cleaning'!A1085:A2554, 'Data Cleaning'!D1085:D2554)</f>
        <v>Master</v>
      </c>
      <c r="E1085" s="3" t="str">
        <f>_xlfn.XLOOKUP(A1085,'Data Cleaning'!A1085:A2554, 'Data Cleaning'!E1085:E2554)</f>
        <v>Single</v>
      </c>
      <c r="F1085" t="str">
        <f>_xlfn.XLOOKUP(A1085,'Data Cleaning'!A1085:A2554, 'Data Cleaning'!F1085:F2554)</f>
        <v>None</v>
      </c>
      <c r="G1085" s="3" t="str">
        <f>_xlfn.XLOOKUP(A1085,'Data Cleaning'!A1085:A2554, 'Data Cleaning'!J1085:J2554)</f>
        <v>Long Promotion gap</v>
      </c>
    </row>
    <row r="1086" spans="1:7" x14ac:dyDescent="0.25">
      <c r="A1086" s="3">
        <v>1864</v>
      </c>
      <c r="B1086" s="3" t="str">
        <f>_xlfn.XLOOKUP(A1086,'Data Cleaning'!A1086:A2555, 'Data Cleaning'!I1086:I2555)</f>
        <v>25-34</v>
      </c>
      <c r="C1086">
        <f>_xlfn.XLOOKUP(A1086,'Data Cleaning'!A1086:A2555,'Data Cleaning'!K1086:K2555)</f>
        <v>0</v>
      </c>
      <c r="D1086" t="str">
        <f>_xlfn.XLOOKUP(A1086,'Data Cleaning'!A1086:A2555, 'Data Cleaning'!D1086:D2555)</f>
        <v>Below College</v>
      </c>
      <c r="E1086" s="3" t="str">
        <f>_xlfn.XLOOKUP(A1086,'Data Cleaning'!A1086:A2555, 'Data Cleaning'!E1086:E2555)</f>
        <v>Married</v>
      </c>
      <c r="F1086" t="str">
        <f>_xlfn.XLOOKUP(A1086,'Data Cleaning'!A1086:A2555, 'Data Cleaning'!F1086:F2555)</f>
        <v>Low</v>
      </c>
      <c r="G1086" s="3" t="str">
        <f>_xlfn.XLOOKUP(A1086,'Data Cleaning'!A1086:A2555, 'Data Cleaning'!J1086:J2555)</f>
        <v>Long Promotion gap</v>
      </c>
    </row>
    <row r="1087" spans="1:7" x14ac:dyDescent="0.25">
      <c r="A1087" s="3">
        <v>78</v>
      </c>
      <c r="B1087" s="3" t="str">
        <f>_xlfn.XLOOKUP(A1087,'Data Cleaning'!A1087:A2556, 'Data Cleaning'!I1087:I2556)</f>
        <v>25-34</v>
      </c>
      <c r="C1087">
        <f>_xlfn.XLOOKUP(A1087,'Data Cleaning'!A1087:A2556,'Data Cleaning'!K1087:K2556)</f>
        <v>0</v>
      </c>
      <c r="D1087" t="str">
        <f>_xlfn.XLOOKUP(A1087,'Data Cleaning'!A1087:A2556, 'Data Cleaning'!D1087:D2556)</f>
        <v>Bachelor</v>
      </c>
      <c r="E1087" s="3" t="str">
        <f>_xlfn.XLOOKUP(A1087,'Data Cleaning'!A1087:A2556, 'Data Cleaning'!E1087:E2556)</f>
        <v>Married</v>
      </c>
      <c r="F1087" t="str">
        <f>_xlfn.XLOOKUP(A1087,'Data Cleaning'!A1087:A2556, 'Data Cleaning'!F1087:F2556)</f>
        <v>Low</v>
      </c>
      <c r="G1087" s="3" t="str">
        <f>_xlfn.XLOOKUP(A1087,'Data Cleaning'!A1087:A2556, 'Data Cleaning'!J1087:J2556)</f>
        <v>Long Promotion gap</v>
      </c>
    </row>
    <row r="1088" spans="1:7" x14ac:dyDescent="0.25">
      <c r="A1088" s="3">
        <v>807</v>
      </c>
      <c r="B1088" s="3" t="str">
        <f>_xlfn.XLOOKUP(A1088,'Data Cleaning'!A1088:A2557, 'Data Cleaning'!I1088:I2557)</f>
        <v>35-44</v>
      </c>
      <c r="C1088">
        <f>_xlfn.XLOOKUP(A1088,'Data Cleaning'!A1088:A2557,'Data Cleaning'!K1088:K2557)</f>
        <v>0</v>
      </c>
      <c r="D1088" t="str">
        <f>_xlfn.XLOOKUP(A1088,'Data Cleaning'!A1088:A2557, 'Data Cleaning'!D1088:D2557)</f>
        <v>College</v>
      </c>
      <c r="E1088" s="3" t="str">
        <f>_xlfn.XLOOKUP(A1088,'Data Cleaning'!A1088:A2557, 'Data Cleaning'!E1088:E2557)</f>
        <v>Married</v>
      </c>
      <c r="F1088" t="str">
        <f>_xlfn.XLOOKUP(A1088,'Data Cleaning'!A1088:A2557, 'Data Cleaning'!F1088:F2557)</f>
        <v>Low</v>
      </c>
      <c r="G1088" s="3" t="str">
        <f>_xlfn.XLOOKUP(A1088,'Data Cleaning'!A1088:A2557, 'Data Cleaning'!J1088:J2557)</f>
        <v>Promoted in 1-3 years</v>
      </c>
    </row>
    <row r="1089" spans="1:7" x14ac:dyDescent="0.25">
      <c r="A1089" s="3">
        <v>1275</v>
      </c>
      <c r="B1089" s="3" t="str">
        <f>_xlfn.XLOOKUP(A1089,'Data Cleaning'!A1089:A2558, 'Data Cleaning'!I1089:I2558)</f>
        <v>25-34</v>
      </c>
      <c r="C1089">
        <f>_xlfn.XLOOKUP(A1089,'Data Cleaning'!A1089:A2558,'Data Cleaning'!K1089:K2558)</f>
        <v>0</v>
      </c>
      <c r="D1089" t="str">
        <f>_xlfn.XLOOKUP(A1089,'Data Cleaning'!A1089:A2558, 'Data Cleaning'!D1089:D2558)</f>
        <v>College</v>
      </c>
      <c r="E1089" s="3" t="str">
        <f>_xlfn.XLOOKUP(A1089,'Data Cleaning'!A1089:A2558, 'Data Cleaning'!E1089:E2558)</f>
        <v>Single</v>
      </c>
      <c r="F1089" t="str">
        <f>_xlfn.XLOOKUP(A1089,'Data Cleaning'!A1089:A2558, 'Data Cleaning'!F1089:F2558)</f>
        <v>None</v>
      </c>
      <c r="G1089" s="3" t="str">
        <f>_xlfn.XLOOKUP(A1089,'Data Cleaning'!A1089:A2558, 'Data Cleaning'!J1089:J2558)</f>
        <v>Promoted in 1-3 years</v>
      </c>
    </row>
    <row r="1090" spans="1:7" x14ac:dyDescent="0.25">
      <c r="A1090" s="3">
        <v>747</v>
      </c>
      <c r="B1090" s="3" t="str">
        <f>_xlfn.XLOOKUP(A1090,'Data Cleaning'!A1090:A2559, 'Data Cleaning'!I1090:I2559)</f>
        <v>25-34</v>
      </c>
      <c r="C1090">
        <f>_xlfn.XLOOKUP(A1090,'Data Cleaning'!A1090:A2559,'Data Cleaning'!K1090:K2559)</f>
        <v>0</v>
      </c>
      <c r="D1090" t="str">
        <f>_xlfn.XLOOKUP(A1090,'Data Cleaning'!A1090:A2559, 'Data Cleaning'!D1090:D2559)</f>
        <v>Doctor</v>
      </c>
      <c r="E1090" s="3" t="str">
        <f>_xlfn.XLOOKUP(A1090,'Data Cleaning'!A1090:A2559, 'Data Cleaning'!E1090:E2559)</f>
        <v>Divorced</v>
      </c>
      <c r="F1090" t="str">
        <f>_xlfn.XLOOKUP(A1090,'Data Cleaning'!A1090:A2559, 'Data Cleaning'!F1090:F2559)</f>
        <v>Low</v>
      </c>
      <c r="G1090" s="3" t="str">
        <f>_xlfn.XLOOKUP(A1090,'Data Cleaning'!A1090:A2559, 'Data Cleaning'!J1090:J2559)</f>
        <v>Long Promotion gap</v>
      </c>
    </row>
    <row r="1091" spans="1:7" x14ac:dyDescent="0.25">
      <c r="A1091" s="3">
        <v>1845</v>
      </c>
      <c r="B1091" s="3" t="str">
        <f>_xlfn.XLOOKUP(A1091,'Data Cleaning'!A1091:A2560, 'Data Cleaning'!I1091:I2560)</f>
        <v>45-54</v>
      </c>
      <c r="C1091">
        <f>_xlfn.XLOOKUP(A1091,'Data Cleaning'!A1091:A2560,'Data Cleaning'!K1091:K2560)</f>
        <v>0</v>
      </c>
      <c r="D1091" t="str">
        <f>_xlfn.XLOOKUP(A1091,'Data Cleaning'!A1091:A2560, 'Data Cleaning'!D1091:D2560)</f>
        <v>Master</v>
      </c>
      <c r="E1091" s="3" t="str">
        <f>_xlfn.XLOOKUP(A1091,'Data Cleaning'!A1091:A2560, 'Data Cleaning'!E1091:E2560)</f>
        <v>Married</v>
      </c>
      <c r="F1091" t="str">
        <f>_xlfn.XLOOKUP(A1091,'Data Cleaning'!A1091:A2560, 'Data Cleaning'!F1091:F2560)</f>
        <v>Mid</v>
      </c>
      <c r="G1091" s="3" t="str">
        <f>_xlfn.XLOOKUP(A1091,'Data Cleaning'!A1091:A2560, 'Data Cleaning'!J1091:J2560)</f>
        <v>Long Promotion gap</v>
      </c>
    </row>
    <row r="1092" spans="1:7" x14ac:dyDescent="0.25">
      <c r="A1092" s="3">
        <v>382</v>
      </c>
      <c r="B1092" s="3" t="str">
        <f>_xlfn.XLOOKUP(A1092,'Data Cleaning'!A1092:A2561, 'Data Cleaning'!I1092:I2561)</f>
        <v>35-44</v>
      </c>
      <c r="C1092">
        <f>_xlfn.XLOOKUP(A1092,'Data Cleaning'!A1092:A2561,'Data Cleaning'!K1092:K2561)</f>
        <v>0</v>
      </c>
      <c r="D1092" t="str">
        <f>_xlfn.XLOOKUP(A1092,'Data Cleaning'!A1092:A2561, 'Data Cleaning'!D1092:D2561)</f>
        <v>College</v>
      </c>
      <c r="E1092" s="3" t="str">
        <f>_xlfn.XLOOKUP(A1092,'Data Cleaning'!A1092:A2561, 'Data Cleaning'!E1092:E2561)</f>
        <v>Divorced</v>
      </c>
      <c r="F1092" t="str">
        <f>_xlfn.XLOOKUP(A1092,'Data Cleaning'!A1092:A2561, 'Data Cleaning'!F1092:F2561)</f>
        <v>Low</v>
      </c>
      <c r="G1092" s="3" t="str">
        <f>_xlfn.XLOOKUP(A1092,'Data Cleaning'!A1092:A2561, 'Data Cleaning'!J1092:J2561)</f>
        <v>Long Promotion gap</v>
      </c>
    </row>
    <row r="1093" spans="1:7" x14ac:dyDescent="0.25">
      <c r="A1093" s="3">
        <v>177</v>
      </c>
      <c r="B1093" s="3" t="str">
        <f>_xlfn.XLOOKUP(A1093,'Data Cleaning'!A1093:A2562, 'Data Cleaning'!I1093:I2562)</f>
        <v>25-34</v>
      </c>
      <c r="C1093">
        <f>_xlfn.XLOOKUP(A1093,'Data Cleaning'!A1093:A2562,'Data Cleaning'!K1093:K2562)</f>
        <v>0</v>
      </c>
      <c r="D1093" t="str">
        <f>_xlfn.XLOOKUP(A1093,'Data Cleaning'!A1093:A2562, 'Data Cleaning'!D1093:D2562)</f>
        <v>Below College</v>
      </c>
      <c r="E1093" s="3" t="str">
        <f>_xlfn.XLOOKUP(A1093,'Data Cleaning'!A1093:A2562, 'Data Cleaning'!E1093:E2562)</f>
        <v>Married</v>
      </c>
      <c r="F1093" t="str">
        <f>_xlfn.XLOOKUP(A1093,'Data Cleaning'!A1093:A2562, 'Data Cleaning'!F1093:F2562)</f>
        <v>Low</v>
      </c>
      <c r="G1093" s="3" t="str">
        <f>_xlfn.XLOOKUP(A1093,'Data Cleaning'!A1093:A2562, 'Data Cleaning'!J1093:J2562)</f>
        <v>Long Promotion gap</v>
      </c>
    </row>
    <row r="1094" spans="1:7" x14ac:dyDescent="0.25">
      <c r="A1094" s="3">
        <v>846</v>
      </c>
      <c r="B1094" s="3" t="str">
        <f>_xlfn.XLOOKUP(A1094,'Data Cleaning'!A1094:A2563, 'Data Cleaning'!I1094:I2563)</f>
        <v>25-34</v>
      </c>
      <c r="C1094">
        <f>_xlfn.XLOOKUP(A1094,'Data Cleaning'!A1094:A2563,'Data Cleaning'!K1094:K2563)</f>
        <v>0</v>
      </c>
      <c r="D1094" t="str">
        <f>_xlfn.XLOOKUP(A1094,'Data Cleaning'!A1094:A2563, 'Data Cleaning'!D1094:D2563)</f>
        <v>Master</v>
      </c>
      <c r="E1094" s="3" t="str">
        <f>_xlfn.XLOOKUP(A1094,'Data Cleaning'!A1094:A2563, 'Data Cleaning'!E1094:E2563)</f>
        <v>Married</v>
      </c>
      <c r="F1094" t="str">
        <f>_xlfn.XLOOKUP(A1094,'Data Cleaning'!A1094:A2563, 'Data Cleaning'!F1094:F2563)</f>
        <v>None</v>
      </c>
      <c r="G1094" s="3" t="str">
        <f>_xlfn.XLOOKUP(A1094,'Data Cleaning'!A1094:A2563, 'Data Cleaning'!J1094:J2563)</f>
        <v>Long Promotion gap</v>
      </c>
    </row>
    <row r="1095" spans="1:7" x14ac:dyDescent="0.25">
      <c r="A1095" s="3">
        <v>903</v>
      </c>
      <c r="B1095" s="3" t="str">
        <f>_xlfn.XLOOKUP(A1095,'Data Cleaning'!A1095:A2564, 'Data Cleaning'!I1095:I2564)</f>
        <v>45-54</v>
      </c>
      <c r="C1095">
        <f>_xlfn.XLOOKUP(A1095,'Data Cleaning'!A1095:A2564,'Data Cleaning'!K1095:K2564)</f>
        <v>0</v>
      </c>
      <c r="D1095" t="str">
        <f>_xlfn.XLOOKUP(A1095,'Data Cleaning'!A1095:A2564, 'Data Cleaning'!D1095:D2564)</f>
        <v>College</v>
      </c>
      <c r="E1095" s="3" t="str">
        <f>_xlfn.XLOOKUP(A1095,'Data Cleaning'!A1095:A2564, 'Data Cleaning'!E1095:E2564)</f>
        <v>Married</v>
      </c>
      <c r="F1095" t="str">
        <f>_xlfn.XLOOKUP(A1095,'Data Cleaning'!A1095:A2564, 'Data Cleaning'!F1095:F2564)</f>
        <v>Low</v>
      </c>
      <c r="G1095" s="3" t="str">
        <f>_xlfn.XLOOKUP(A1095,'Data Cleaning'!A1095:A2564, 'Data Cleaning'!J1095:J2564)</f>
        <v>Long Promotion gap</v>
      </c>
    </row>
    <row r="1096" spans="1:7" x14ac:dyDescent="0.25">
      <c r="A1096" s="3">
        <v>1849</v>
      </c>
      <c r="B1096" s="3" t="str">
        <f>_xlfn.XLOOKUP(A1096,'Data Cleaning'!A1096:A2565, 'Data Cleaning'!I1096:I2565)</f>
        <v>35-44</v>
      </c>
      <c r="C1096">
        <f>_xlfn.XLOOKUP(A1096,'Data Cleaning'!A1096:A2565,'Data Cleaning'!K1096:K2565)</f>
        <v>0</v>
      </c>
      <c r="D1096" t="str">
        <f>_xlfn.XLOOKUP(A1096,'Data Cleaning'!A1096:A2565, 'Data Cleaning'!D1096:D2565)</f>
        <v>Master</v>
      </c>
      <c r="E1096" s="3" t="str">
        <f>_xlfn.XLOOKUP(A1096,'Data Cleaning'!A1096:A2565, 'Data Cleaning'!E1096:E2565)</f>
        <v>Married</v>
      </c>
      <c r="F1096" t="str">
        <f>_xlfn.XLOOKUP(A1096,'Data Cleaning'!A1096:A2565, 'Data Cleaning'!F1096:F2565)</f>
        <v>Low</v>
      </c>
      <c r="G1096" s="3" t="str">
        <f>_xlfn.XLOOKUP(A1096,'Data Cleaning'!A1096:A2565, 'Data Cleaning'!J1096:J2565)</f>
        <v>Long Promotion gap</v>
      </c>
    </row>
    <row r="1097" spans="1:7" x14ac:dyDescent="0.25">
      <c r="A1097" s="3">
        <v>1693</v>
      </c>
      <c r="B1097" s="3" t="str">
        <f>_xlfn.XLOOKUP(A1097,'Data Cleaning'!A1097:A2566, 'Data Cleaning'!I1097:I2566)</f>
        <v>25-34</v>
      </c>
      <c r="C1097">
        <f>_xlfn.XLOOKUP(A1097,'Data Cleaning'!A1097:A2566,'Data Cleaning'!K1097:K2566)</f>
        <v>0</v>
      </c>
      <c r="D1097" t="str">
        <f>_xlfn.XLOOKUP(A1097,'Data Cleaning'!A1097:A2566, 'Data Cleaning'!D1097:D2566)</f>
        <v>Bachelor</v>
      </c>
      <c r="E1097" s="3" t="str">
        <f>_xlfn.XLOOKUP(A1097,'Data Cleaning'!A1097:A2566, 'Data Cleaning'!E1097:E2566)</f>
        <v>Single</v>
      </c>
      <c r="F1097" t="str">
        <f>_xlfn.XLOOKUP(A1097,'Data Cleaning'!A1097:A2566, 'Data Cleaning'!F1097:F2566)</f>
        <v>None</v>
      </c>
      <c r="G1097" s="3" t="str">
        <f>_xlfn.XLOOKUP(A1097,'Data Cleaning'!A1097:A2566, 'Data Cleaning'!J1097:J2566)</f>
        <v>Long Promotion gap</v>
      </c>
    </row>
    <row r="1098" spans="1:7" x14ac:dyDescent="0.25">
      <c r="A1098" s="3">
        <v>653</v>
      </c>
      <c r="B1098" s="3" t="str">
        <f>_xlfn.XLOOKUP(A1098,'Data Cleaning'!A1098:A2567, 'Data Cleaning'!I1098:I2567)</f>
        <v>25-34</v>
      </c>
      <c r="C1098">
        <f>_xlfn.XLOOKUP(A1098,'Data Cleaning'!A1098:A2567,'Data Cleaning'!K1098:K2567)</f>
        <v>0</v>
      </c>
      <c r="D1098" t="str">
        <f>_xlfn.XLOOKUP(A1098,'Data Cleaning'!A1098:A2567, 'Data Cleaning'!D1098:D2567)</f>
        <v>Master</v>
      </c>
      <c r="E1098" s="3" t="str">
        <f>_xlfn.XLOOKUP(A1098,'Data Cleaning'!A1098:A2567, 'Data Cleaning'!E1098:E2567)</f>
        <v>Divorced</v>
      </c>
      <c r="F1098" t="str">
        <f>_xlfn.XLOOKUP(A1098,'Data Cleaning'!A1098:A2567, 'Data Cleaning'!F1098:F2567)</f>
        <v>Mid</v>
      </c>
      <c r="G1098" s="3" t="str">
        <f>_xlfn.XLOOKUP(A1098,'Data Cleaning'!A1098:A2567, 'Data Cleaning'!J1098:J2567)</f>
        <v>Long Promotion gap</v>
      </c>
    </row>
    <row r="1099" spans="1:7" x14ac:dyDescent="0.25">
      <c r="A1099" s="3">
        <v>1237</v>
      </c>
      <c r="B1099" s="3" t="str">
        <f>_xlfn.XLOOKUP(A1099,'Data Cleaning'!A1099:A2568, 'Data Cleaning'!I1099:I2568)</f>
        <v>35-44</v>
      </c>
      <c r="C1099">
        <f>_xlfn.XLOOKUP(A1099,'Data Cleaning'!A1099:A2568,'Data Cleaning'!K1099:K2568)</f>
        <v>0</v>
      </c>
      <c r="D1099" t="str">
        <f>_xlfn.XLOOKUP(A1099,'Data Cleaning'!A1099:A2568, 'Data Cleaning'!D1099:D2568)</f>
        <v>Bachelor</v>
      </c>
      <c r="E1099" s="3" t="str">
        <f>_xlfn.XLOOKUP(A1099,'Data Cleaning'!A1099:A2568, 'Data Cleaning'!E1099:E2568)</f>
        <v>Divorced</v>
      </c>
      <c r="F1099" t="str">
        <f>_xlfn.XLOOKUP(A1099,'Data Cleaning'!A1099:A2568, 'Data Cleaning'!F1099:F2568)</f>
        <v>Low</v>
      </c>
      <c r="G1099" s="3" t="str">
        <f>_xlfn.XLOOKUP(A1099,'Data Cleaning'!A1099:A2568, 'Data Cleaning'!J1099:J2568)</f>
        <v>Long Promotion gap</v>
      </c>
    </row>
    <row r="1100" spans="1:7" x14ac:dyDescent="0.25">
      <c r="A1100" s="3">
        <v>205</v>
      </c>
      <c r="B1100" s="3" t="str">
        <f>_xlfn.XLOOKUP(A1100,'Data Cleaning'!A1100:A2569, 'Data Cleaning'!I1100:I2569)</f>
        <v>45-54</v>
      </c>
      <c r="C1100">
        <f>_xlfn.XLOOKUP(A1100,'Data Cleaning'!A1100:A2569,'Data Cleaning'!K1100:K2569)</f>
        <v>0</v>
      </c>
      <c r="D1100" t="str">
        <f>_xlfn.XLOOKUP(A1100,'Data Cleaning'!A1100:A2569, 'Data Cleaning'!D1100:D2569)</f>
        <v>College</v>
      </c>
      <c r="E1100" s="3" t="str">
        <f>_xlfn.XLOOKUP(A1100,'Data Cleaning'!A1100:A2569, 'Data Cleaning'!E1100:E2569)</f>
        <v>Married</v>
      </c>
      <c r="F1100" t="str">
        <f>_xlfn.XLOOKUP(A1100,'Data Cleaning'!A1100:A2569, 'Data Cleaning'!F1100:F2569)</f>
        <v>Low</v>
      </c>
      <c r="G1100" s="3" t="str">
        <f>_xlfn.XLOOKUP(A1100,'Data Cleaning'!A1100:A2569, 'Data Cleaning'!J1100:J2569)</f>
        <v>Long Promotion gap</v>
      </c>
    </row>
    <row r="1101" spans="1:7" x14ac:dyDescent="0.25">
      <c r="A1101" s="3">
        <v>1854</v>
      </c>
      <c r="B1101" s="3" t="str">
        <f>_xlfn.XLOOKUP(A1101,'Data Cleaning'!A1101:A2570, 'Data Cleaning'!I1101:I2570)</f>
        <v>35-44</v>
      </c>
      <c r="C1101">
        <f>_xlfn.XLOOKUP(A1101,'Data Cleaning'!A1101:A2570,'Data Cleaning'!K1101:K2570)</f>
        <v>0</v>
      </c>
      <c r="D1101" t="str">
        <f>_xlfn.XLOOKUP(A1101,'Data Cleaning'!A1101:A2570, 'Data Cleaning'!D1101:D2570)</f>
        <v>Master</v>
      </c>
      <c r="E1101" s="3" t="str">
        <f>_xlfn.XLOOKUP(A1101,'Data Cleaning'!A1101:A2570, 'Data Cleaning'!E1101:E2570)</f>
        <v>Married</v>
      </c>
      <c r="F1101" t="str">
        <f>_xlfn.XLOOKUP(A1101,'Data Cleaning'!A1101:A2570, 'Data Cleaning'!F1101:F2570)</f>
        <v>Mid</v>
      </c>
      <c r="G1101" s="3" t="str">
        <f>_xlfn.XLOOKUP(A1101,'Data Cleaning'!A1101:A2570, 'Data Cleaning'!J1101:J2570)</f>
        <v>Promoted in 1-3 years</v>
      </c>
    </row>
    <row r="1102" spans="1:7" x14ac:dyDescent="0.25">
      <c r="A1102" s="3">
        <v>1116</v>
      </c>
      <c r="B1102" s="3" t="str">
        <f>_xlfn.XLOOKUP(A1102,'Data Cleaning'!A1102:A2571, 'Data Cleaning'!I1102:I2571)</f>
        <v>45-54</v>
      </c>
      <c r="C1102">
        <f>_xlfn.XLOOKUP(A1102,'Data Cleaning'!A1102:A2571,'Data Cleaning'!K1102:K2571)</f>
        <v>0</v>
      </c>
      <c r="D1102" t="str">
        <f>_xlfn.XLOOKUP(A1102,'Data Cleaning'!A1102:A2571, 'Data Cleaning'!D1102:D2571)</f>
        <v>Master</v>
      </c>
      <c r="E1102" s="3" t="str">
        <f>_xlfn.XLOOKUP(A1102,'Data Cleaning'!A1102:A2571, 'Data Cleaning'!E1102:E2571)</f>
        <v>Single</v>
      </c>
      <c r="F1102" t="str">
        <f>_xlfn.XLOOKUP(A1102,'Data Cleaning'!A1102:A2571, 'Data Cleaning'!F1102:F2571)</f>
        <v>None</v>
      </c>
      <c r="G1102" s="3" t="str">
        <f>_xlfn.XLOOKUP(A1102,'Data Cleaning'!A1102:A2571, 'Data Cleaning'!J1102:J2571)</f>
        <v>Promoted in 1-3 years</v>
      </c>
    </row>
    <row r="1103" spans="1:7" x14ac:dyDescent="0.25">
      <c r="A1103" s="3">
        <v>1554</v>
      </c>
      <c r="B1103" s="3" t="str">
        <f>_xlfn.XLOOKUP(A1103,'Data Cleaning'!A1103:A2572, 'Data Cleaning'!I1103:I2572)</f>
        <v>35-44</v>
      </c>
      <c r="C1103">
        <f>_xlfn.XLOOKUP(A1103,'Data Cleaning'!A1103:A2572,'Data Cleaning'!K1103:K2572)</f>
        <v>0</v>
      </c>
      <c r="D1103" t="str">
        <f>_xlfn.XLOOKUP(A1103,'Data Cleaning'!A1103:A2572, 'Data Cleaning'!D1103:D2572)</f>
        <v>Master</v>
      </c>
      <c r="E1103" s="3" t="str">
        <f>_xlfn.XLOOKUP(A1103,'Data Cleaning'!A1103:A2572, 'Data Cleaning'!E1103:E2572)</f>
        <v>Married</v>
      </c>
      <c r="F1103" t="str">
        <f>_xlfn.XLOOKUP(A1103,'Data Cleaning'!A1103:A2572, 'Data Cleaning'!F1103:F2572)</f>
        <v>Mid</v>
      </c>
      <c r="G1103" s="3" t="str">
        <f>_xlfn.XLOOKUP(A1103,'Data Cleaning'!A1103:A2572, 'Data Cleaning'!J1103:J2572)</f>
        <v>Long Promotion gap</v>
      </c>
    </row>
    <row r="1104" spans="1:7" x14ac:dyDescent="0.25">
      <c r="A1104" s="3">
        <v>1675</v>
      </c>
      <c r="B1104" s="3" t="str">
        <f>_xlfn.XLOOKUP(A1104,'Data Cleaning'!A1104:A2573, 'Data Cleaning'!I1104:I2573)</f>
        <v>35-44</v>
      </c>
      <c r="C1104">
        <f>_xlfn.XLOOKUP(A1104,'Data Cleaning'!A1104:A2573,'Data Cleaning'!K1104:K2573)</f>
        <v>0</v>
      </c>
      <c r="D1104" t="str">
        <f>_xlfn.XLOOKUP(A1104,'Data Cleaning'!A1104:A2573, 'Data Cleaning'!D1104:D2573)</f>
        <v>Bachelor</v>
      </c>
      <c r="E1104" s="3" t="str">
        <f>_xlfn.XLOOKUP(A1104,'Data Cleaning'!A1104:A2573, 'Data Cleaning'!E1104:E2573)</f>
        <v>Single</v>
      </c>
      <c r="F1104" t="str">
        <f>_xlfn.XLOOKUP(A1104,'Data Cleaning'!A1104:A2573, 'Data Cleaning'!F1104:F2573)</f>
        <v>None</v>
      </c>
      <c r="G1104" s="3" t="str">
        <f>_xlfn.XLOOKUP(A1104,'Data Cleaning'!A1104:A2573, 'Data Cleaning'!J1104:J2573)</f>
        <v>Promoted in 1-3 years</v>
      </c>
    </row>
    <row r="1105" spans="1:7" x14ac:dyDescent="0.25">
      <c r="A1105" s="3">
        <v>763</v>
      </c>
      <c r="B1105" s="3" t="str">
        <f>_xlfn.XLOOKUP(A1105,'Data Cleaning'!A1105:A2574, 'Data Cleaning'!I1105:I2574)</f>
        <v>35-44</v>
      </c>
      <c r="C1105">
        <f>_xlfn.XLOOKUP(A1105,'Data Cleaning'!A1105:A2574,'Data Cleaning'!K1105:K2574)</f>
        <v>0</v>
      </c>
      <c r="D1105" t="str">
        <f>_xlfn.XLOOKUP(A1105,'Data Cleaning'!A1105:A2574, 'Data Cleaning'!D1105:D2574)</f>
        <v>Below College</v>
      </c>
      <c r="E1105" s="3" t="str">
        <f>_xlfn.XLOOKUP(A1105,'Data Cleaning'!A1105:A2574, 'Data Cleaning'!E1105:E2574)</f>
        <v>Single</v>
      </c>
      <c r="F1105" t="str">
        <f>_xlfn.XLOOKUP(A1105,'Data Cleaning'!A1105:A2574, 'Data Cleaning'!F1105:F2574)</f>
        <v>None</v>
      </c>
      <c r="G1105" s="3" t="str">
        <f>_xlfn.XLOOKUP(A1105,'Data Cleaning'!A1105:A2574, 'Data Cleaning'!J1105:J2574)</f>
        <v>Promoted in 1-3 years</v>
      </c>
    </row>
    <row r="1106" spans="1:7" x14ac:dyDescent="0.25">
      <c r="A1106" s="3">
        <v>1800</v>
      </c>
      <c r="B1106" s="3" t="str">
        <f>_xlfn.XLOOKUP(A1106,'Data Cleaning'!A1106:A2575, 'Data Cleaning'!I1106:I2575)</f>
        <v>35-44</v>
      </c>
      <c r="C1106">
        <f>_xlfn.XLOOKUP(A1106,'Data Cleaning'!A1106:A2575,'Data Cleaning'!K1106:K2575)</f>
        <v>0</v>
      </c>
      <c r="D1106" t="str">
        <f>_xlfn.XLOOKUP(A1106,'Data Cleaning'!A1106:A2575, 'Data Cleaning'!D1106:D2575)</f>
        <v>Below College</v>
      </c>
      <c r="E1106" s="3" t="str">
        <f>_xlfn.XLOOKUP(A1106,'Data Cleaning'!A1106:A2575, 'Data Cleaning'!E1106:E2575)</f>
        <v>Single</v>
      </c>
      <c r="F1106" t="str">
        <f>_xlfn.XLOOKUP(A1106,'Data Cleaning'!A1106:A2575, 'Data Cleaning'!F1106:F2575)</f>
        <v>None</v>
      </c>
      <c r="G1106" s="3" t="str">
        <f>_xlfn.XLOOKUP(A1106,'Data Cleaning'!A1106:A2575, 'Data Cleaning'!J1106:J2575)</f>
        <v>Promoted in 1-3 years</v>
      </c>
    </row>
    <row r="1107" spans="1:7" x14ac:dyDescent="0.25">
      <c r="A1107" s="3">
        <v>193</v>
      </c>
      <c r="B1107" s="3" t="str">
        <f>_xlfn.XLOOKUP(A1107,'Data Cleaning'!A1107:A2576, 'Data Cleaning'!I1107:I2576)</f>
        <v>35-44</v>
      </c>
      <c r="C1107">
        <f>_xlfn.XLOOKUP(A1107,'Data Cleaning'!A1107:A2576,'Data Cleaning'!K1107:K2576)</f>
        <v>0</v>
      </c>
      <c r="D1107" t="str">
        <f>_xlfn.XLOOKUP(A1107,'Data Cleaning'!A1107:A2576, 'Data Cleaning'!D1107:D2576)</f>
        <v>Doctor</v>
      </c>
      <c r="E1107" s="3" t="str">
        <f>_xlfn.XLOOKUP(A1107,'Data Cleaning'!A1107:A2576, 'Data Cleaning'!E1107:E2576)</f>
        <v>Single</v>
      </c>
      <c r="F1107" t="str">
        <f>_xlfn.XLOOKUP(A1107,'Data Cleaning'!A1107:A2576, 'Data Cleaning'!F1107:F2576)</f>
        <v>None</v>
      </c>
      <c r="G1107" s="3" t="str">
        <f>_xlfn.XLOOKUP(A1107,'Data Cleaning'!A1107:A2576, 'Data Cleaning'!J1107:J2576)</f>
        <v>Promoted in 1-3 years</v>
      </c>
    </row>
    <row r="1108" spans="1:7" x14ac:dyDescent="0.25">
      <c r="A1108" s="3">
        <v>140</v>
      </c>
      <c r="B1108" s="3" t="str">
        <f>_xlfn.XLOOKUP(A1108,'Data Cleaning'!A1108:A2577, 'Data Cleaning'!I1108:I2577)</f>
        <v>55-60</v>
      </c>
      <c r="C1108">
        <f>_xlfn.XLOOKUP(A1108,'Data Cleaning'!A1108:A2577,'Data Cleaning'!K1108:K2577)</f>
        <v>0</v>
      </c>
      <c r="D1108" t="str">
        <f>_xlfn.XLOOKUP(A1108,'Data Cleaning'!A1108:A2577, 'Data Cleaning'!D1108:D2577)</f>
        <v>Master</v>
      </c>
      <c r="E1108" s="3" t="str">
        <f>_xlfn.XLOOKUP(A1108,'Data Cleaning'!A1108:A2577, 'Data Cleaning'!E1108:E2577)</f>
        <v>Married</v>
      </c>
      <c r="F1108" t="str">
        <f>_xlfn.XLOOKUP(A1108,'Data Cleaning'!A1108:A2577, 'Data Cleaning'!F1108:F2577)</f>
        <v>Low</v>
      </c>
      <c r="G1108" s="3" t="str">
        <f>_xlfn.XLOOKUP(A1108,'Data Cleaning'!A1108:A2577, 'Data Cleaning'!J1108:J2577)</f>
        <v>Promoted in 1-3 years</v>
      </c>
    </row>
    <row r="1109" spans="1:7" x14ac:dyDescent="0.25">
      <c r="A1109" s="3">
        <v>484</v>
      </c>
      <c r="B1109" s="3" t="str">
        <f>_xlfn.XLOOKUP(A1109,'Data Cleaning'!A1109:A2578, 'Data Cleaning'!I1109:I2578)</f>
        <v>18-24</v>
      </c>
      <c r="C1109">
        <f>_xlfn.XLOOKUP(A1109,'Data Cleaning'!A1109:A2578,'Data Cleaning'!K1109:K2578)</f>
        <v>0</v>
      </c>
      <c r="D1109" t="str">
        <f>_xlfn.XLOOKUP(A1109,'Data Cleaning'!A1109:A2578, 'Data Cleaning'!D1109:D2578)</f>
        <v>College</v>
      </c>
      <c r="E1109" s="3" t="str">
        <f>_xlfn.XLOOKUP(A1109,'Data Cleaning'!A1109:A2578, 'Data Cleaning'!E1109:E2578)</f>
        <v>Single</v>
      </c>
      <c r="F1109" t="str">
        <f>_xlfn.XLOOKUP(A1109,'Data Cleaning'!A1109:A2578, 'Data Cleaning'!F1109:F2578)</f>
        <v>None</v>
      </c>
      <c r="G1109" s="3" t="str">
        <f>_xlfn.XLOOKUP(A1109,'Data Cleaning'!A1109:A2578, 'Data Cleaning'!J1109:J2578)</f>
        <v>Promoted in 1-3 years</v>
      </c>
    </row>
    <row r="1110" spans="1:7" x14ac:dyDescent="0.25">
      <c r="A1110" s="3">
        <v>872</v>
      </c>
      <c r="B1110" s="3" t="str">
        <f>_xlfn.XLOOKUP(A1110,'Data Cleaning'!A1110:A2579, 'Data Cleaning'!I1110:I2579)</f>
        <v>18-24</v>
      </c>
      <c r="C1110">
        <f>_xlfn.XLOOKUP(A1110,'Data Cleaning'!A1110:A2579,'Data Cleaning'!K1110:K2579)</f>
        <v>0</v>
      </c>
      <c r="D1110" t="str">
        <f>_xlfn.XLOOKUP(A1110,'Data Cleaning'!A1110:A2579, 'Data Cleaning'!D1110:D2579)</f>
        <v>College</v>
      </c>
      <c r="E1110" s="3" t="str">
        <f>_xlfn.XLOOKUP(A1110,'Data Cleaning'!A1110:A2579, 'Data Cleaning'!E1110:E2579)</f>
        <v>Married</v>
      </c>
      <c r="F1110" t="str">
        <f>_xlfn.XLOOKUP(A1110,'Data Cleaning'!A1110:A2579, 'Data Cleaning'!F1110:F2579)</f>
        <v>Mid</v>
      </c>
      <c r="G1110" s="3" t="str">
        <f>_xlfn.XLOOKUP(A1110,'Data Cleaning'!A1110:A2579, 'Data Cleaning'!J1110:J2579)</f>
        <v>Promoted in 1-3 years</v>
      </c>
    </row>
    <row r="1111" spans="1:7" x14ac:dyDescent="0.25">
      <c r="A1111" s="3">
        <v>1234</v>
      </c>
      <c r="B1111" s="3" t="str">
        <f>_xlfn.XLOOKUP(A1111,'Data Cleaning'!A1111:A2580, 'Data Cleaning'!I1111:I2580)</f>
        <v>25-34</v>
      </c>
      <c r="C1111">
        <f>_xlfn.XLOOKUP(A1111,'Data Cleaning'!A1111:A2580,'Data Cleaning'!K1111:K2580)</f>
        <v>0</v>
      </c>
      <c r="D1111" t="str">
        <f>_xlfn.XLOOKUP(A1111,'Data Cleaning'!A1111:A2580, 'Data Cleaning'!D1111:D2580)</f>
        <v>Bachelor</v>
      </c>
      <c r="E1111" s="3" t="str">
        <f>_xlfn.XLOOKUP(A1111,'Data Cleaning'!A1111:A2580, 'Data Cleaning'!E1111:E2580)</f>
        <v>Married</v>
      </c>
      <c r="F1111" t="str">
        <f>_xlfn.XLOOKUP(A1111,'Data Cleaning'!A1111:A2580, 'Data Cleaning'!F1111:F2580)</f>
        <v>Low</v>
      </c>
      <c r="G1111" s="3" t="str">
        <f>_xlfn.XLOOKUP(A1111,'Data Cleaning'!A1111:A2580, 'Data Cleaning'!J1111:J2580)</f>
        <v>Promoted in 1-3 years</v>
      </c>
    </row>
    <row r="1112" spans="1:7" x14ac:dyDescent="0.25">
      <c r="A1112" s="3">
        <v>675</v>
      </c>
      <c r="B1112" s="3" t="str">
        <f>_xlfn.XLOOKUP(A1112,'Data Cleaning'!A1112:A2581, 'Data Cleaning'!I1112:I2581)</f>
        <v>18-24</v>
      </c>
      <c r="C1112">
        <f>_xlfn.XLOOKUP(A1112,'Data Cleaning'!A1112:A2581,'Data Cleaning'!K1112:K2581)</f>
        <v>0</v>
      </c>
      <c r="D1112" t="str">
        <f>_xlfn.XLOOKUP(A1112,'Data Cleaning'!A1112:A2581, 'Data Cleaning'!D1112:D2581)</f>
        <v>Below College</v>
      </c>
      <c r="E1112" s="3" t="str">
        <f>_xlfn.XLOOKUP(A1112,'Data Cleaning'!A1112:A2581, 'Data Cleaning'!E1112:E2581)</f>
        <v>Married</v>
      </c>
      <c r="F1112" t="str">
        <f>_xlfn.XLOOKUP(A1112,'Data Cleaning'!A1112:A2581, 'Data Cleaning'!F1112:F2581)</f>
        <v>None</v>
      </c>
      <c r="G1112" s="3" t="str">
        <f>_xlfn.XLOOKUP(A1112,'Data Cleaning'!A1112:A2581, 'Data Cleaning'!J1112:J2581)</f>
        <v>Promoted in 1-3 years</v>
      </c>
    </row>
    <row r="1113" spans="1:7" x14ac:dyDescent="0.25">
      <c r="A1113" s="3">
        <v>217</v>
      </c>
      <c r="B1113" s="3" t="str">
        <f>_xlfn.XLOOKUP(A1113,'Data Cleaning'!A1113:A2582, 'Data Cleaning'!I1113:I2582)</f>
        <v>18-24</v>
      </c>
      <c r="C1113">
        <f>_xlfn.XLOOKUP(A1113,'Data Cleaning'!A1113:A2582,'Data Cleaning'!K1113:K2582)</f>
        <v>0</v>
      </c>
      <c r="D1113" t="str">
        <f>_xlfn.XLOOKUP(A1113,'Data Cleaning'!A1113:A2582, 'Data Cleaning'!D1113:D2582)</f>
        <v>Below College</v>
      </c>
      <c r="E1113" s="3" t="str">
        <f>_xlfn.XLOOKUP(A1113,'Data Cleaning'!A1113:A2582, 'Data Cleaning'!E1113:E2582)</f>
        <v>Married</v>
      </c>
      <c r="F1113" t="str">
        <f>_xlfn.XLOOKUP(A1113,'Data Cleaning'!A1113:A2582, 'Data Cleaning'!F1113:F2582)</f>
        <v>Mid</v>
      </c>
      <c r="G1113" s="3" t="str">
        <f>_xlfn.XLOOKUP(A1113,'Data Cleaning'!A1113:A2582, 'Data Cleaning'!J1113:J2582)</f>
        <v>Promoted in 1-3 years</v>
      </c>
    </row>
    <row r="1114" spans="1:7" x14ac:dyDescent="0.25">
      <c r="A1114" s="3">
        <v>1215</v>
      </c>
      <c r="B1114" s="3" t="str">
        <f>_xlfn.XLOOKUP(A1114,'Data Cleaning'!A1114:A2583, 'Data Cleaning'!I1114:I2583)</f>
        <v>45-54</v>
      </c>
      <c r="C1114">
        <f>_xlfn.XLOOKUP(A1114,'Data Cleaning'!A1114:A2583,'Data Cleaning'!K1114:K2583)</f>
        <v>0</v>
      </c>
      <c r="D1114" t="str">
        <f>_xlfn.XLOOKUP(A1114,'Data Cleaning'!A1114:A2583, 'Data Cleaning'!D1114:D2583)</f>
        <v>Bachelor</v>
      </c>
      <c r="E1114" s="3" t="str">
        <f>_xlfn.XLOOKUP(A1114,'Data Cleaning'!A1114:A2583, 'Data Cleaning'!E1114:E2583)</f>
        <v>Married</v>
      </c>
      <c r="F1114" t="str">
        <f>_xlfn.XLOOKUP(A1114,'Data Cleaning'!A1114:A2583, 'Data Cleaning'!F1114:F2583)</f>
        <v>Low</v>
      </c>
      <c r="G1114" s="3" t="str">
        <f>_xlfn.XLOOKUP(A1114,'Data Cleaning'!A1114:A2583, 'Data Cleaning'!J1114:J2583)</f>
        <v>Promoted in 1-3 years</v>
      </c>
    </row>
    <row r="1115" spans="1:7" x14ac:dyDescent="0.25">
      <c r="A1115" s="3">
        <v>1278</v>
      </c>
      <c r="B1115" s="3" t="str">
        <f>_xlfn.XLOOKUP(A1115,'Data Cleaning'!A1115:A2584, 'Data Cleaning'!I1115:I2584)</f>
        <v>55-60</v>
      </c>
      <c r="C1115">
        <f>_xlfn.XLOOKUP(A1115,'Data Cleaning'!A1115:A2584,'Data Cleaning'!K1115:K2584)</f>
        <v>0</v>
      </c>
      <c r="D1115" t="str">
        <f>_xlfn.XLOOKUP(A1115,'Data Cleaning'!A1115:A2584, 'Data Cleaning'!D1115:D2584)</f>
        <v>Below College</v>
      </c>
      <c r="E1115" s="3" t="str">
        <f>_xlfn.XLOOKUP(A1115,'Data Cleaning'!A1115:A2584, 'Data Cleaning'!E1115:E2584)</f>
        <v>Divorced</v>
      </c>
      <c r="F1115" t="str">
        <f>_xlfn.XLOOKUP(A1115,'Data Cleaning'!A1115:A2584, 'Data Cleaning'!F1115:F2584)</f>
        <v>Low</v>
      </c>
      <c r="G1115" s="3" t="str">
        <f>_xlfn.XLOOKUP(A1115,'Data Cleaning'!A1115:A2584, 'Data Cleaning'!J1115:J2584)</f>
        <v>Long Promotion gap</v>
      </c>
    </row>
    <row r="1116" spans="1:7" x14ac:dyDescent="0.25">
      <c r="A1116" s="3">
        <v>905</v>
      </c>
      <c r="B1116" s="3" t="str">
        <f>_xlfn.XLOOKUP(A1116,'Data Cleaning'!A1116:A2585, 'Data Cleaning'!I1116:I2585)</f>
        <v>45-54</v>
      </c>
      <c r="C1116">
        <f>_xlfn.XLOOKUP(A1116,'Data Cleaning'!A1116:A2585,'Data Cleaning'!K1116:K2585)</f>
        <v>0</v>
      </c>
      <c r="D1116" t="str">
        <f>_xlfn.XLOOKUP(A1116,'Data Cleaning'!A1116:A2585, 'Data Cleaning'!D1116:D2585)</f>
        <v>Master</v>
      </c>
      <c r="E1116" s="3" t="str">
        <f>_xlfn.XLOOKUP(A1116,'Data Cleaning'!A1116:A2585, 'Data Cleaning'!E1116:E2585)</f>
        <v>Divorced</v>
      </c>
      <c r="F1116" t="str">
        <f>_xlfn.XLOOKUP(A1116,'Data Cleaning'!A1116:A2585, 'Data Cleaning'!F1116:F2585)</f>
        <v>Low</v>
      </c>
      <c r="G1116" s="3" t="str">
        <f>_xlfn.XLOOKUP(A1116,'Data Cleaning'!A1116:A2585, 'Data Cleaning'!J1116:J2585)</f>
        <v>Long Promotion gap</v>
      </c>
    </row>
    <row r="1117" spans="1:7" x14ac:dyDescent="0.25">
      <c r="A1117" s="3">
        <v>1815</v>
      </c>
      <c r="B1117" s="3" t="str">
        <f>_xlfn.XLOOKUP(A1117,'Data Cleaning'!A1117:A2586, 'Data Cleaning'!I1117:I2586)</f>
        <v>35-44</v>
      </c>
      <c r="C1117">
        <f>_xlfn.XLOOKUP(A1117,'Data Cleaning'!A1117:A2586,'Data Cleaning'!K1117:K2586)</f>
        <v>0</v>
      </c>
      <c r="D1117" t="str">
        <f>_xlfn.XLOOKUP(A1117,'Data Cleaning'!A1117:A2586, 'Data Cleaning'!D1117:D2586)</f>
        <v>Below College</v>
      </c>
      <c r="E1117" s="3" t="str">
        <f>_xlfn.XLOOKUP(A1117,'Data Cleaning'!A1117:A2586, 'Data Cleaning'!E1117:E2586)</f>
        <v>Divorced</v>
      </c>
      <c r="F1117" t="str">
        <f>_xlfn.XLOOKUP(A1117,'Data Cleaning'!A1117:A2586, 'Data Cleaning'!F1117:F2586)</f>
        <v>Low</v>
      </c>
      <c r="G1117" s="3" t="str">
        <f>_xlfn.XLOOKUP(A1117,'Data Cleaning'!A1117:A2586, 'Data Cleaning'!J1117:J2586)</f>
        <v>Long Promotion gap</v>
      </c>
    </row>
    <row r="1118" spans="1:7" x14ac:dyDescent="0.25">
      <c r="A1118" s="3">
        <v>1166</v>
      </c>
      <c r="B1118" s="3" t="str">
        <f>_xlfn.XLOOKUP(A1118,'Data Cleaning'!A1118:A2587, 'Data Cleaning'!I1118:I2587)</f>
        <v>35-44</v>
      </c>
      <c r="C1118">
        <f>_xlfn.XLOOKUP(A1118,'Data Cleaning'!A1118:A2587,'Data Cleaning'!K1118:K2587)</f>
        <v>0</v>
      </c>
      <c r="D1118" t="str">
        <f>_xlfn.XLOOKUP(A1118,'Data Cleaning'!A1118:A2587, 'Data Cleaning'!D1118:D2587)</f>
        <v>Master</v>
      </c>
      <c r="E1118" s="3" t="str">
        <f>_xlfn.XLOOKUP(A1118,'Data Cleaning'!A1118:A2587, 'Data Cleaning'!E1118:E2587)</f>
        <v>Single</v>
      </c>
      <c r="F1118" t="str">
        <f>_xlfn.XLOOKUP(A1118,'Data Cleaning'!A1118:A2587, 'Data Cleaning'!F1118:F2587)</f>
        <v>None</v>
      </c>
      <c r="G1118" s="3" t="str">
        <f>_xlfn.XLOOKUP(A1118,'Data Cleaning'!A1118:A2587, 'Data Cleaning'!J1118:J2587)</f>
        <v>Promoted in 1-3 years</v>
      </c>
    </row>
    <row r="1119" spans="1:7" x14ac:dyDescent="0.25">
      <c r="A1119" s="3">
        <v>1628</v>
      </c>
      <c r="B1119" s="3" t="str">
        <f>_xlfn.XLOOKUP(A1119,'Data Cleaning'!A1119:A2588, 'Data Cleaning'!I1119:I2588)</f>
        <v>35-44</v>
      </c>
      <c r="C1119">
        <f>_xlfn.XLOOKUP(A1119,'Data Cleaning'!A1119:A2588,'Data Cleaning'!K1119:K2588)</f>
        <v>0</v>
      </c>
      <c r="D1119" t="str">
        <f>_xlfn.XLOOKUP(A1119,'Data Cleaning'!A1119:A2588, 'Data Cleaning'!D1119:D2588)</f>
        <v>Bachelor</v>
      </c>
      <c r="E1119" s="3" t="str">
        <f>_xlfn.XLOOKUP(A1119,'Data Cleaning'!A1119:A2588, 'Data Cleaning'!E1119:E2588)</f>
        <v>Married</v>
      </c>
      <c r="F1119" t="str">
        <f>_xlfn.XLOOKUP(A1119,'Data Cleaning'!A1119:A2588, 'Data Cleaning'!F1119:F2588)</f>
        <v>Mid</v>
      </c>
      <c r="G1119" s="3" t="str">
        <f>_xlfn.XLOOKUP(A1119,'Data Cleaning'!A1119:A2588, 'Data Cleaning'!J1119:J2588)</f>
        <v>Long Promotion gap</v>
      </c>
    </row>
    <row r="1120" spans="1:7" x14ac:dyDescent="0.25">
      <c r="A1120" s="3">
        <v>1866</v>
      </c>
      <c r="B1120" s="3" t="str">
        <f>_xlfn.XLOOKUP(A1120,'Data Cleaning'!A1120:A2589, 'Data Cleaning'!I1120:I2589)</f>
        <v>35-44</v>
      </c>
      <c r="C1120">
        <f>_xlfn.XLOOKUP(A1120,'Data Cleaning'!A1120:A2589,'Data Cleaning'!K1120:K2589)</f>
        <v>0</v>
      </c>
      <c r="D1120" t="str">
        <f>_xlfn.XLOOKUP(A1120,'Data Cleaning'!A1120:A2589, 'Data Cleaning'!D1120:D2589)</f>
        <v>Bachelor</v>
      </c>
      <c r="E1120" s="3" t="str">
        <f>_xlfn.XLOOKUP(A1120,'Data Cleaning'!A1120:A2589, 'Data Cleaning'!E1120:E2589)</f>
        <v>Married</v>
      </c>
      <c r="F1120" t="str">
        <f>_xlfn.XLOOKUP(A1120,'Data Cleaning'!A1120:A2589, 'Data Cleaning'!F1120:F2589)</f>
        <v>None</v>
      </c>
      <c r="G1120" s="3" t="str">
        <f>_xlfn.XLOOKUP(A1120,'Data Cleaning'!A1120:A2589, 'Data Cleaning'!J1120:J2589)</f>
        <v>Long Promotion gap</v>
      </c>
    </row>
    <row r="1121" spans="1:7" x14ac:dyDescent="0.25">
      <c r="A1121" s="3">
        <v>1073</v>
      </c>
      <c r="B1121" s="3" t="str">
        <f>_xlfn.XLOOKUP(A1121,'Data Cleaning'!A1121:A2590, 'Data Cleaning'!I1121:I2590)</f>
        <v>35-44</v>
      </c>
      <c r="C1121">
        <f>_xlfn.XLOOKUP(A1121,'Data Cleaning'!A1121:A2590,'Data Cleaning'!K1121:K2590)</f>
        <v>0</v>
      </c>
      <c r="D1121" t="str">
        <f>_xlfn.XLOOKUP(A1121,'Data Cleaning'!A1121:A2590, 'Data Cleaning'!D1121:D2590)</f>
        <v>Doctor</v>
      </c>
      <c r="E1121" s="3" t="str">
        <f>_xlfn.XLOOKUP(A1121,'Data Cleaning'!A1121:A2590, 'Data Cleaning'!E1121:E2590)</f>
        <v>Single</v>
      </c>
      <c r="F1121" t="str">
        <f>_xlfn.XLOOKUP(A1121,'Data Cleaning'!A1121:A2590, 'Data Cleaning'!F1121:F2590)</f>
        <v>None</v>
      </c>
      <c r="G1121" s="3" t="str">
        <f>_xlfn.XLOOKUP(A1121,'Data Cleaning'!A1121:A2590, 'Data Cleaning'!J1121:J2590)</f>
        <v>Long Promotion gap</v>
      </c>
    </row>
    <row r="1122" spans="1:7" x14ac:dyDescent="0.25">
      <c r="A1122" s="3">
        <v>1485</v>
      </c>
      <c r="B1122" s="3" t="str">
        <f>_xlfn.XLOOKUP(A1122,'Data Cleaning'!A1122:A2591, 'Data Cleaning'!I1122:I2591)</f>
        <v>25-34</v>
      </c>
      <c r="C1122">
        <f>_xlfn.XLOOKUP(A1122,'Data Cleaning'!A1122:A2591,'Data Cleaning'!K1122:K2591)</f>
        <v>0</v>
      </c>
      <c r="D1122" t="str">
        <f>_xlfn.XLOOKUP(A1122,'Data Cleaning'!A1122:A2591, 'Data Cleaning'!D1122:D2591)</f>
        <v>Bachelor</v>
      </c>
      <c r="E1122" s="3" t="str">
        <f>_xlfn.XLOOKUP(A1122,'Data Cleaning'!A1122:A2591, 'Data Cleaning'!E1122:E2591)</f>
        <v>Divorced</v>
      </c>
      <c r="F1122" t="str">
        <f>_xlfn.XLOOKUP(A1122,'Data Cleaning'!A1122:A2591, 'Data Cleaning'!F1122:F2591)</f>
        <v>Mid</v>
      </c>
      <c r="G1122" s="3" t="str">
        <f>_xlfn.XLOOKUP(A1122,'Data Cleaning'!A1122:A2591, 'Data Cleaning'!J1122:J2591)</f>
        <v>Long Promotion gap</v>
      </c>
    </row>
    <row r="1123" spans="1:7" x14ac:dyDescent="0.25">
      <c r="A1123" s="3">
        <v>1630</v>
      </c>
      <c r="B1123" s="3" t="str">
        <f>_xlfn.XLOOKUP(A1123,'Data Cleaning'!A1123:A2592, 'Data Cleaning'!I1123:I2592)</f>
        <v>35-44</v>
      </c>
      <c r="C1123">
        <f>_xlfn.XLOOKUP(A1123,'Data Cleaning'!A1123:A2592,'Data Cleaning'!K1123:K2592)</f>
        <v>0</v>
      </c>
      <c r="D1123" t="str">
        <f>_xlfn.XLOOKUP(A1123,'Data Cleaning'!A1123:A2592, 'Data Cleaning'!D1123:D2592)</f>
        <v>Master</v>
      </c>
      <c r="E1123" s="3" t="str">
        <f>_xlfn.XLOOKUP(A1123,'Data Cleaning'!A1123:A2592, 'Data Cleaning'!E1123:E2592)</f>
        <v>Married</v>
      </c>
      <c r="F1123" t="str">
        <f>_xlfn.XLOOKUP(A1123,'Data Cleaning'!A1123:A2592, 'Data Cleaning'!F1123:F2592)</f>
        <v>Low</v>
      </c>
      <c r="G1123" s="3" t="str">
        <f>_xlfn.XLOOKUP(A1123,'Data Cleaning'!A1123:A2592, 'Data Cleaning'!J1123:J2592)</f>
        <v>Promoted in 1-3 years</v>
      </c>
    </row>
    <row r="1124" spans="1:7" x14ac:dyDescent="0.25">
      <c r="A1124" s="3">
        <v>899</v>
      </c>
      <c r="B1124" s="3" t="str">
        <f>_xlfn.XLOOKUP(A1124,'Data Cleaning'!A1124:A2593, 'Data Cleaning'!I1124:I2593)</f>
        <v>35-44</v>
      </c>
      <c r="C1124">
        <f>_xlfn.XLOOKUP(A1124,'Data Cleaning'!A1124:A2593,'Data Cleaning'!K1124:K2593)</f>
        <v>0</v>
      </c>
      <c r="D1124" t="str">
        <f>_xlfn.XLOOKUP(A1124,'Data Cleaning'!A1124:A2593, 'Data Cleaning'!D1124:D2593)</f>
        <v>Bachelor</v>
      </c>
      <c r="E1124" s="3" t="str">
        <f>_xlfn.XLOOKUP(A1124,'Data Cleaning'!A1124:A2593, 'Data Cleaning'!E1124:E2593)</f>
        <v>Married</v>
      </c>
      <c r="F1124" t="str">
        <f>_xlfn.XLOOKUP(A1124,'Data Cleaning'!A1124:A2593, 'Data Cleaning'!F1124:F2593)</f>
        <v>None</v>
      </c>
      <c r="G1124" s="3" t="str">
        <f>_xlfn.XLOOKUP(A1124,'Data Cleaning'!A1124:A2593, 'Data Cleaning'!J1124:J2593)</f>
        <v>Long Promotion gap</v>
      </c>
    </row>
    <row r="1125" spans="1:7" x14ac:dyDescent="0.25">
      <c r="A1125" s="3">
        <v>1852</v>
      </c>
      <c r="B1125" s="3" t="str">
        <f>_xlfn.XLOOKUP(A1125,'Data Cleaning'!A1125:A2594, 'Data Cleaning'!I1125:I2594)</f>
        <v>25-34</v>
      </c>
      <c r="C1125">
        <f>_xlfn.XLOOKUP(A1125,'Data Cleaning'!A1125:A2594,'Data Cleaning'!K1125:K2594)</f>
        <v>0</v>
      </c>
      <c r="D1125" t="str">
        <f>_xlfn.XLOOKUP(A1125,'Data Cleaning'!A1125:A2594, 'Data Cleaning'!D1125:D2594)</f>
        <v>Below College</v>
      </c>
      <c r="E1125" s="3" t="str">
        <f>_xlfn.XLOOKUP(A1125,'Data Cleaning'!A1125:A2594, 'Data Cleaning'!E1125:E2594)</f>
        <v>Married</v>
      </c>
      <c r="F1125" t="str">
        <f>_xlfn.XLOOKUP(A1125,'Data Cleaning'!A1125:A2594, 'Data Cleaning'!F1125:F2594)</f>
        <v>None</v>
      </c>
      <c r="G1125" s="3" t="str">
        <f>_xlfn.XLOOKUP(A1125,'Data Cleaning'!A1125:A2594, 'Data Cleaning'!J1125:J2594)</f>
        <v>Promoted in 1-3 years</v>
      </c>
    </row>
    <row r="1126" spans="1:7" x14ac:dyDescent="0.25">
      <c r="A1126" s="3">
        <v>124</v>
      </c>
      <c r="B1126" s="3" t="str">
        <f>_xlfn.XLOOKUP(A1126,'Data Cleaning'!A1126:A2595, 'Data Cleaning'!I1126:I2595)</f>
        <v>45-54</v>
      </c>
      <c r="C1126">
        <f>_xlfn.XLOOKUP(A1126,'Data Cleaning'!A1126:A2595,'Data Cleaning'!K1126:K2595)</f>
        <v>0</v>
      </c>
      <c r="D1126" t="str">
        <f>_xlfn.XLOOKUP(A1126,'Data Cleaning'!A1126:A2595, 'Data Cleaning'!D1126:D2595)</f>
        <v>Bachelor</v>
      </c>
      <c r="E1126" s="3" t="str">
        <f>_xlfn.XLOOKUP(A1126,'Data Cleaning'!A1126:A2595, 'Data Cleaning'!E1126:E2595)</f>
        <v>Married</v>
      </c>
      <c r="F1126" t="str">
        <f>_xlfn.XLOOKUP(A1126,'Data Cleaning'!A1126:A2595, 'Data Cleaning'!F1126:F2595)</f>
        <v>Low</v>
      </c>
      <c r="G1126" s="3" t="str">
        <f>_xlfn.XLOOKUP(A1126,'Data Cleaning'!A1126:A2595, 'Data Cleaning'!J1126:J2595)</f>
        <v>Long Promotion gap</v>
      </c>
    </row>
    <row r="1127" spans="1:7" x14ac:dyDescent="0.25">
      <c r="A1127" s="3">
        <v>889</v>
      </c>
      <c r="B1127" s="3" t="str">
        <f>_xlfn.XLOOKUP(A1127,'Data Cleaning'!A1127:A2596, 'Data Cleaning'!I1127:I2596)</f>
        <v>25-34</v>
      </c>
      <c r="C1127">
        <f>_xlfn.XLOOKUP(A1127,'Data Cleaning'!A1127:A2596,'Data Cleaning'!K1127:K2596)</f>
        <v>0</v>
      </c>
      <c r="D1127" t="str">
        <f>_xlfn.XLOOKUP(A1127,'Data Cleaning'!A1127:A2596, 'Data Cleaning'!D1127:D2596)</f>
        <v>College</v>
      </c>
      <c r="E1127" s="3" t="str">
        <f>_xlfn.XLOOKUP(A1127,'Data Cleaning'!A1127:A2596, 'Data Cleaning'!E1127:E2596)</f>
        <v>Married</v>
      </c>
      <c r="F1127" t="str">
        <f>_xlfn.XLOOKUP(A1127,'Data Cleaning'!A1127:A2596, 'Data Cleaning'!F1127:F2596)</f>
        <v>Low</v>
      </c>
      <c r="G1127" s="3" t="str">
        <f>_xlfn.XLOOKUP(A1127,'Data Cleaning'!A1127:A2596, 'Data Cleaning'!J1127:J2596)</f>
        <v>Long Promotion gap</v>
      </c>
    </row>
    <row r="1128" spans="1:7" x14ac:dyDescent="0.25">
      <c r="A1128" s="3">
        <v>1596</v>
      </c>
      <c r="B1128" s="3" t="str">
        <f>_xlfn.XLOOKUP(A1128,'Data Cleaning'!A1128:A2597, 'Data Cleaning'!I1128:I2597)</f>
        <v>35-44</v>
      </c>
      <c r="C1128">
        <f>_xlfn.XLOOKUP(A1128,'Data Cleaning'!A1128:A2597,'Data Cleaning'!K1128:K2597)</f>
        <v>0</v>
      </c>
      <c r="D1128" t="str">
        <f>_xlfn.XLOOKUP(A1128,'Data Cleaning'!A1128:A2597, 'Data Cleaning'!D1128:D2597)</f>
        <v>Bachelor</v>
      </c>
      <c r="E1128" s="3" t="str">
        <f>_xlfn.XLOOKUP(A1128,'Data Cleaning'!A1128:A2597, 'Data Cleaning'!E1128:E2597)</f>
        <v>Married</v>
      </c>
      <c r="F1128" t="str">
        <f>_xlfn.XLOOKUP(A1128,'Data Cleaning'!A1128:A2597, 'Data Cleaning'!F1128:F2597)</f>
        <v>Mid</v>
      </c>
      <c r="G1128" s="3" t="str">
        <f>_xlfn.XLOOKUP(A1128,'Data Cleaning'!A1128:A2597, 'Data Cleaning'!J1128:J2597)</f>
        <v>Long Promotion gap</v>
      </c>
    </row>
    <row r="1129" spans="1:7" x14ac:dyDescent="0.25">
      <c r="A1129" s="3">
        <v>1472</v>
      </c>
      <c r="B1129" s="3" t="str">
        <f>_xlfn.XLOOKUP(A1129,'Data Cleaning'!A1129:A2598, 'Data Cleaning'!I1129:I2598)</f>
        <v>45-54</v>
      </c>
      <c r="C1129">
        <f>_xlfn.XLOOKUP(A1129,'Data Cleaning'!A1129:A2598,'Data Cleaning'!K1129:K2598)</f>
        <v>0</v>
      </c>
      <c r="D1129" t="str">
        <f>_xlfn.XLOOKUP(A1129,'Data Cleaning'!A1129:A2598, 'Data Cleaning'!D1129:D2598)</f>
        <v>Bachelor</v>
      </c>
      <c r="E1129" s="3" t="str">
        <f>_xlfn.XLOOKUP(A1129,'Data Cleaning'!A1129:A2598, 'Data Cleaning'!E1129:E2598)</f>
        <v>Single</v>
      </c>
      <c r="F1129" t="str">
        <f>_xlfn.XLOOKUP(A1129,'Data Cleaning'!A1129:A2598, 'Data Cleaning'!F1129:F2598)</f>
        <v>None</v>
      </c>
      <c r="G1129" s="3" t="str">
        <f>_xlfn.XLOOKUP(A1129,'Data Cleaning'!A1129:A2598, 'Data Cleaning'!J1129:J2598)</f>
        <v>Long Promotion gap</v>
      </c>
    </row>
    <row r="1130" spans="1:7" x14ac:dyDescent="0.25">
      <c r="A1130" s="3">
        <v>1597</v>
      </c>
      <c r="B1130" s="3" t="str">
        <f>_xlfn.XLOOKUP(A1130,'Data Cleaning'!A1130:A2599, 'Data Cleaning'!I1130:I2599)</f>
        <v>25-34</v>
      </c>
      <c r="C1130">
        <f>_xlfn.XLOOKUP(A1130,'Data Cleaning'!A1130:A2599,'Data Cleaning'!K1130:K2599)</f>
        <v>0</v>
      </c>
      <c r="D1130" t="str">
        <f>_xlfn.XLOOKUP(A1130,'Data Cleaning'!A1130:A2599, 'Data Cleaning'!D1130:D2599)</f>
        <v>Master</v>
      </c>
      <c r="E1130" s="3" t="str">
        <f>_xlfn.XLOOKUP(A1130,'Data Cleaning'!A1130:A2599, 'Data Cleaning'!E1130:E2599)</f>
        <v>Married</v>
      </c>
      <c r="F1130" t="str">
        <f>_xlfn.XLOOKUP(A1130,'Data Cleaning'!A1130:A2599, 'Data Cleaning'!F1130:F2599)</f>
        <v>Low</v>
      </c>
      <c r="G1130" s="3" t="str">
        <f>_xlfn.XLOOKUP(A1130,'Data Cleaning'!A1130:A2599, 'Data Cleaning'!J1130:J2599)</f>
        <v>Long Promotion gap</v>
      </c>
    </row>
    <row r="1131" spans="1:7" x14ac:dyDescent="0.25">
      <c r="A1131" s="3">
        <v>1046</v>
      </c>
      <c r="B1131" s="3" t="str">
        <f>_xlfn.XLOOKUP(A1131,'Data Cleaning'!A1131:A2600, 'Data Cleaning'!I1131:I2600)</f>
        <v>25-34</v>
      </c>
      <c r="C1131">
        <f>_xlfn.XLOOKUP(A1131,'Data Cleaning'!A1131:A2600,'Data Cleaning'!K1131:K2600)</f>
        <v>0</v>
      </c>
      <c r="D1131" t="str">
        <f>_xlfn.XLOOKUP(A1131,'Data Cleaning'!A1131:A2600, 'Data Cleaning'!D1131:D2600)</f>
        <v>Master</v>
      </c>
      <c r="E1131" s="3" t="str">
        <f>_xlfn.XLOOKUP(A1131,'Data Cleaning'!A1131:A2600, 'Data Cleaning'!E1131:E2600)</f>
        <v>Single</v>
      </c>
      <c r="F1131" t="str">
        <f>_xlfn.XLOOKUP(A1131,'Data Cleaning'!A1131:A2600, 'Data Cleaning'!F1131:F2600)</f>
        <v>None</v>
      </c>
      <c r="G1131" s="3" t="str">
        <f>_xlfn.XLOOKUP(A1131,'Data Cleaning'!A1131:A2600, 'Data Cleaning'!J1131:J2600)</f>
        <v>Long Promotion gap</v>
      </c>
    </row>
    <row r="1132" spans="1:7" x14ac:dyDescent="0.25">
      <c r="A1132" s="3">
        <v>982</v>
      </c>
      <c r="B1132" s="3" t="str">
        <f>_xlfn.XLOOKUP(A1132,'Data Cleaning'!A1132:A2601, 'Data Cleaning'!I1132:I2601)</f>
        <v>25-34</v>
      </c>
      <c r="C1132">
        <f>_xlfn.XLOOKUP(A1132,'Data Cleaning'!A1132:A2601,'Data Cleaning'!K1132:K2601)</f>
        <v>0</v>
      </c>
      <c r="D1132" t="str">
        <f>_xlfn.XLOOKUP(A1132,'Data Cleaning'!A1132:A2601, 'Data Cleaning'!D1132:D2601)</f>
        <v>College</v>
      </c>
      <c r="E1132" s="3" t="str">
        <f>_xlfn.XLOOKUP(A1132,'Data Cleaning'!A1132:A2601, 'Data Cleaning'!E1132:E2601)</f>
        <v>Divorced</v>
      </c>
      <c r="F1132" t="str">
        <f>_xlfn.XLOOKUP(A1132,'Data Cleaning'!A1132:A2601, 'Data Cleaning'!F1132:F2601)</f>
        <v>Low</v>
      </c>
      <c r="G1132" s="3" t="str">
        <f>_xlfn.XLOOKUP(A1132,'Data Cleaning'!A1132:A2601, 'Data Cleaning'!J1132:J2601)</f>
        <v>Long Promotion gap</v>
      </c>
    </row>
    <row r="1133" spans="1:7" x14ac:dyDescent="0.25">
      <c r="A1133" s="3">
        <v>1576</v>
      </c>
      <c r="B1133" s="3" t="str">
        <f>_xlfn.XLOOKUP(A1133,'Data Cleaning'!A1133:A2602, 'Data Cleaning'!I1133:I2602)</f>
        <v>45-54</v>
      </c>
      <c r="C1133">
        <f>_xlfn.XLOOKUP(A1133,'Data Cleaning'!A1133:A2602,'Data Cleaning'!K1133:K2602)</f>
        <v>0</v>
      </c>
      <c r="D1133" t="str">
        <f>_xlfn.XLOOKUP(A1133,'Data Cleaning'!A1133:A2602, 'Data Cleaning'!D1133:D2602)</f>
        <v>Master</v>
      </c>
      <c r="E1133" s="3" t="str">
        <f>_xlfn.XLOOKUP(A1133,'Data Cleaning'!A1133:A2602, 'Data Cleaning'!E1133:E2602)</f>
        <v>Married</v>
      </c>
      <c r="F1133" t="str">
        <f>_xlfn.XLOOKUP(A1133,'Data Cleaning'!A1133:A2602, 'Data Cleaning'!F1133:F2602)</f>
        <v>Low</v>
      </c>
      <c r="G1133" s="3" t="str">
        <f>_xlfn.XLOOKUP(A1133,'Data Cleaning'!A1133:A2602, 'Data Cleaning'!J1133:J2602)</f>
        <v>Long Promotion gap</v>
      </c>
    </row>
    <row r="1134" spans="1:7" x14ac:dyDescent="0.25">
      <c r="A1134" s="3">
        <v>1618</v>
      </c>
      <c r="B1134" s="3" t="str">
        <f>_xlfn.XLOOKUP(A1134,'Data Cleaning'!A1134:A2603, 'Data Cleaning'!I1134:I2603)</f>
        <v>35-44</v>
      </c>
      <c r="C1134">
        <f>_xlfn.XLOOKUP(A1134,'Data Cleaning'!A1134:A2603,'Data Cleaning'!K1134:K2603)</f>
        <v>0</v>
      </c>
      <c r="D1134" t="str">
        <f>_xlfn.XLOOKUP(A1134,'Data Cleaning'!A1134:A2603, 'Data Cleaning'!D1134:D2603)</f>
        <v>Doctor</v>
      </c>
      <c r="E1134" s="3" t="str">
        <f>_xlfn.XLOOKUP(A1134,'Data Cleaning'!A1134:A2603, 'Data Cleaning'!E1134:E2603)</f>
        <v>Married</v>
      </c>
      <c r="F1134" t="str">
        <f>_xlfn.XLOOKUP(A1134,'Data Cleaning'!A1134:A2603, 'Data Cleaning'!F1134:F2603)</f>
        <v>High</v>
      </c>
      <c r="G1134" s="3" t="str">
        <f>_xlfn.XLOOKUP(A1134,'Data Cleaning'!A1134:A2603, 'Data Cleaning'!J1134:J2603)</f>
        <v>Long Promotion gap</v>
      </c>
    </row>
    <row r="1135" spans="1:7" x14ac:dyDescent="0.25">
      <c r="A1135" s="3">
        <v>1152</v>
      </c>
      <c r="B1135" s="3" t="str">
        <f>_xlfn.XLOOKUP(A1135,'Data Cleaning'!A1135:A2604, 'Data Cleaning'!I1135:I2604)</f>
        <v>35-44</v>
      </c>
      <c r="C1135">
        <f>_xlfn.XLOOKUP(A1135,'Data Cleaning'!A1135:A2604,'Data Cleaning'!K1135:K2604)</f>
        <v>0</v>
      </c>
      <c r="D1135" t="str">
        <f>_xlfn.XLOOKUP(A1135,'Data Cleaning'!A1135:A2604, 'Data Cleaning'!D1135:D2604)</f>
        <v>Bachelor</v>
      </c>
      <c r="E1135" s="3" t="str">
        <f>_xlfn.XLOOKUP(A1135,'Data Cleaning'!A1135:A2604, 'Data Cleaning'!E1135:E2604)</f>
        <v>Married</v>
      </c>
      <c r="F1135" t="str">
        <f>_xlfn.XLOOKUP(A1135,'Data Cleaning'!A1135:A2604, 'Data Cleaning'!F1135:F2604)</f>
        <v>Low</v>
      </c>
      <c r="G1135" s="3" t="str">
        <f>_xlfn.XLOOKUP(A1135,'Data Cleaning'!A1135:A2604, 'Data Cleaning'!J1135:J2604)</f>
        <v>Long Promotion gap</v>
      </c>
    </row>
    <row r="1136" spans="1:7" x14ac:dyDescent="0.25">
      <c r="A1136" s="3">
        <v>199</v>
      </c>
      <c r="B1136" s="3" t="str">
        <f>_xlfn.XLOOKUP(A1136,'Data Cleaning'!A1136:A2605, 'Data Cleaning'!I1136:I2605)</f>
        <v>35-44</v>
      </c>
      <c r="C1136">
        <f>_xlfn.XLOOKUP(A1136,'Data Cleaning'!A1136:A2605,'Data Cleaning'!K1136:K2605)</f>
        <v>0</v>
      </c>
      <c r="D1136" t="str">
        <f>_xlfn.XLOOKUP(A1136,'Data Cleaning'!A1136:A2605, 'Data Cleaning'!D1136:D2605)</f>
        <v>Bachelor</v>
      </c>
      <c r="E1136" s="3" t="str">
        <f>_xlfn.XLOOKUP(A1136,'Data Cleaning'!A1136:A2605, 'Data Cleaning'!E1136:E2605)</f>
        <v>Divorced</v>
      </c>
      <c r="F1136" t="str">
        <f>_xlfn.XLOOKUP(A1136,'Data Cleaning'!A1136:A2605, 'Data Cleaning'!F1136:F2605)</f>
        <v>Low</v>
      </c>
      <c r="G1136" s="3" t="str">
        <f>_xlfn.XLOOKUP(A1136,'Data Cleaning'!A1136:A2605, 'Data Cleaning'!J1136:J2605)</f>
        <v>Promoted in 1-3 years</v>
      </c>
    </row>
    <row r="1137" spans="1:7" x14ac:dyDescent="0.25">
      <c r="A1137" s="3">
        <v>1314</v>
      </c>
      <c r="B1137" s="3" t="str">
        <f>_xlfn.XLOOKUP(A1137,'Data Cleaning'!A1137:A2606, 'Data Cleaning'!I1137:I2606)</f>
        <v>45-54</v>
      </c>
      <c r="C1137">
        <f>_xlfn.XLOOKUP(A1137,'Data Cleaning'!A1137:A2606,'Data Cleaning'!K1137:K2606)</f>
        <v>0</v>
      </c>
      <c r="D1137" t="str">
        <f>_xlfn.XLOOKUP(A1137,'Data Cleaning'!A1137:A2606, 'Data Cleaning'!D1137:D2606)</f>
        <v>College</v>
      </c>
      <c r="E1137" s="3" t="str">
        <f>_xlfn.XLOOKUP(A1137,'Data Cleaning'!A1137:A2606, 'Data Cleaning'!E1137:E2606)</f>
        <v>Single</v>
      </c>
      <c r="F1137" t="str">
        <f>_xlfn.XLOOKUP(A1137,'Data Cleaning'!A1137:A2606, 'Data Cleaning'!F1137:F2606)</f>
        <v>None</v>
      </c>
      <c r="G1137" s="3" t="str">
        <f>_xlfn.XLOOKUP(A1137,'Data Cleaning'!A1137:A2606, 'Data Cleaning'!J1137:J2606)</f>
        <v>Long Promotion gap</v>
      </c>
    </row>
    <row r="1138" spans="1:7" x14ac:dyDescent="0.25">
      <c r="A1138" s="3">
        <v>888</v>
      </c>
      <c r="B1138" s="3" t="str">
        <f>_xlfn.XLOOKUP(A1138,'Data Cleaning'!A1138:A2607, 'Data Cleaning'!I1138:I2607)</f>
        <v>18-24</v>
      </c>
      <c r="C1138">
        <f>_xlfn.XLOOKUP(A1138,'Data Cleaning'!A1138:A2607,'Data Cleaning'!K1138:K2607)</f>
        <v>0</v>
      </c>
      <c r="D1138" t="str">
        <f>_xlfn.XLOOKUP(A1138,'Data Cleaning'!A1138:A2607, 'Data Cleaning'!D1138:D2607)</f>
        <v>Below College</v>
      </c>
      <c r="E1138" s="3" t="str">
        <f>_xlfn.XLOOKUP(A1138,'Data Cleaning'!A1138:A2607, 'Data Cleaning'!E1138:E2607)</f>
        <v>Married</v>
      </c>
      <c r="F1138" t="str">
        <f>_xlfn.XLOOKUP(A1138,'Data Cleaning'!A1138:A2607, 'Data Cleaning'!F1138:F2607)</f>
        <v>None</v>
      </c>
      <c r="G1138" s="3" t="str">
        <f>_xlfn.XLOOKUP(A1138,'Data Cleaning'!A1138:A2607, 'Data Cleaning'!J1138:J2607)</f>
        <v>Promoted in 1-3 years</v>
      </c>
    </row>
    <row r="1139" spans="1:7" x14ac:dyDescent="0.25">
      <c r="A1139" s="3">
        <v>277</v>
      </c>
      <c r="B1139" s="3" t="str">
        <f>_xlfn.XLOOKUP(A1139,'Data Cleaning'!A1139:A2608, 'Data Cleaning'!I1139:I2608)</f>
        <v>25-34</v>
      </c>
      <c r="C1139">
        <f>_xlfn.XLOOKUP(A1139,'Data Cleaning'!A1139:A2608,'Data Cleaning'!K1139:K2608)</f>
        <v>0</v>
      </c>
      <c r="D1139" t="str">
        <f>_xlfn.XLOOKUP(A1139,'Data Cleaning'!A1139:A2608, 'Data Cleaning'!D1139:D2608)</f>
        <v>Master</v>
      </c>
      <c r="E1139" s="3" t="str">
        <f>_xlfn.XLOOKUP(A1139,'Data Cleaning'!A1139:A2608, 'Data Cleaning'!E1139:E2608)</f>
        <v>Divorced</v>
      </c>
      <c r="F1139" t="str">
        <f>_xlfn.XLOOKUP(A1139,'Data Cleaning'!A1139:A2608, 'Data Cleaning'!F1139:F2608)</f>
        <v>Low</v>
      </c>
      <c r="G1139" s="3" t="str">
        <f>_xlfn.XLOOKUP(A1139,'Data Cleaning'!A1139:A2608, 'Data Cleaning'!J1139:J2608)</f>
        <v>Promoted in 1-3 years</v>
      </c>
    </row>
    <row r="1140" spans="1:7" x14ac:dyDescent="0.25">
      <c r="A1140" s="3">
        <v>1191</v>
      </c>
      <c r="B1140" s="3" t="str">
        <f>_xlfn.XLOOKUP(A1140,'Data Cleaning'!A1140:A2609, 'Data Cleaning'!I1140:I2609)</f>
        <v>55-60</v>
      </c>
      <c r="C1140">
        <f>_xlfn.XLOOKUP(A1140,'Data Cleaning'!A1140:A2609,'Data Cleaning'!K1140:K2609)</f>
        <v>0</v>
      </c>
      <c r="D1140" t="str">
        <f>_xlfn.XLOOKUP(A1140,'Data Cleaning'!A1140:A2609, 'Data Cleaning'!D1140:D2609)</f>
        <v>Master</v>
      </c>
      <c r="E1140" s="3" t="str">
        <f>_xlfn.XLOOKUP(A1140,'Data Cleaning'!A1140:A2609, 'Data Cleaning'!E1140:E2609)</f>
        <v>Divorced</v>
      </c>
      <c r="F1140" t="str">
        <f>_xlfn.XLOOKUP(A1140,'Data Cleaning'!A1140:A2609, 'Data Cleaning'!F1140:F2609)</f>
        <v>Low</v>
      </c>
      <c r="G1140" s="3" t="str">
        <f>_xlfn.XLOOKUP(A1140,'Data Cleaning'!A1140:A2609, 'Data Cleaning'!J1140:J2609)</f>
        <v>Long Promotion gap</v>
      </c>
    </row>
    <row r="1141" spans="1:7" x14ac:dyDescent="0.25">
      <c r="A1141" s="3">
        <v>1391</v>
      </c>
      <c r="B1141" s="3" t="str">
        <f>_xlfn.XLOOKUP(A1141,'Data Cleaning'!A1141:A2610, 'Data Cleaning'!I1141:I2610)</f>
        <v>45-54</v>
      </c>
      <c r="C1141">
        <f>_xlfn.XLOOKUP(A1141,'Data Cleaning'!A1141:A2610,'Data Cleaning'!K1141:K2610)</f>
        <v>0</v>
      </c>
      <c r="D1141" t="str">
        <f>_xlfn.XLOOKUP(A1141,'Data Cleaning'!A1141:A2610, 'Data Cleaning'!D1141:D2610)</f>
        <v>Bachelor</v>
      </c>
      <c r="E1141" s="3" t="str">
        <f>_xlfn.XLOOKUP(A1141,'Data Cleaning'!A1141:A2610, 'Data Cleaning'!E1141:E2610)</f>
        <v>Married</v>
      </c>
      <c r="F1141" t="str">
        <f>_xlfn.XLOOKUP(A1141,'Data Cleaning'!A1141:A2610, 'Data Cleaning'!F1141:F2610)</f>
        <v>None</v>
      </c>
      <c r="G1141" s="3" t="str">
        <f>_xlfn.XLOOKUP(A1141,'Data Cleaning'!A1141:A2610, 'Data Cleaning'!J1141:J2610)</f>
        <v>Promoted in 1-3 years</v>
      </c>
    </row>
    <row r="1142" spans="1:7" x14ac:dyDescent="0.25">
      <c r="A1142" s="3">
        <v>1833</v>
      </c>
      <c r="B1142" s="3" t="str">
        <f>_xlfn.XLOOKUP(A1142,'Data Cleaning'!A1142:A2611, 'Data Cleaning'!I1142:I2611)</f>
        <v>25-34</v>
      </c>
      <c r="C1142">
        <f>_xlfn.XLOOKUP(A1142,'Data Cleaning'!A1142:A2611,'Data Cleaning'!K1142:K2611)</f>
        <v>0</v>
      </c>
      <c r="D1142" t="str">
        <f>_xlfn.XLOOKUP(A1142,'Data Cleaning'!A1142:A2611, 'Data Cleaning'!D1142:D2611)</f>
        <v>Master</v>
      </c>
      <c r="E1142" s="3" t="str">
        <f>_xlfn.XLOOKUP(A1142,'Data Cleaning'!A1142:A2611, 'Data Cleaning'!E1142:E2611)</f>
        <v>Married</v>
      </c>
      <c r="F1142" t="str">
        <f>_xlfn.XLOOKUP(A1142,'Data Cleaning'!A1142:A2611, 'Data Cleaning'!F1142:F2611)</f>
        <v>Mid</v>
      </c>
      <c r="G1142" s="3" t="str">
        <f>_xlfn.XLOOKUP(A1142,'Data Cleaning'!A1142:A2611, 'Data Cleaning'!J1142:J2611)</f>
        <v>Promoted in 1-3 years</v>
      </c>
    </row>
    <row r="1143" spans="1:7" x14ac:dyDescent="0.25">
      <c r="A1143" s="3">
        <v>1479</v>
      </c>
      <c r="B1143" s="3" t="str">
        <f>_xlfn.XLOOKUP(A1143,'Data Cleaning'!A1143:A2612, 'Data Cleaning'!I1143:I2612)</f>
        <v>25-34</v>
      </c>
      <c r="C1143">
        <f>_xlfn.XLOOKUP(A1143,'Data Cleaning'!A1143:A2612,'Data Cleaning'!K1143:K2612)</f>
        <v>0</v>
      </c>
      <c r="D1143" t="str">
        <f>_xlfn.XLOOKUP(A1143,'Data Cleaning'!A1143:A2612, 'Data Cleaning'!D1143:D2612)</f>
        <v>Below College</v>
      </c>
      <c r="E1143" s="3" t="str">
        <f>_xlfn.XLOOKUP(A1143,'Data Cleaning'!A1143:A2612, 'Data Cleaning'!E1143:E2612)</f>
        <v>Married</v>
      </c>
      <c r="F1143" t="str">
        <f>_xlfn.XLOOKUP(A1143,'Data Cleaning'!A1143:A2612, 'Data Cleaning'!F1143:F2612)</f>
        <v>Mid</v>
      </c>
      <c r="G1143" s="3" t="str">
        <f>_xlfn.XLOOKUP(A1143,'Data Cleaning'!A1143:A2612, 'Data Cleaning'!J1143:J2612)</f>
        <v>Promoted in 1-3 years</v>
      </c>
    </row>
    <row r="1144" spans="1:7" x14ac:dyDescent="0.25">
      <c r="A1144" s="3">
        <v>738</v>
      </c>
      <c r="B1144" s="3" t="str">
        <f>_xlfn.XLOOKUP(A1144,'Data Cleaning'!A1144:A2613, 'Data Cleaning'!I1144:I2613)</f>
        <v>45-54</v>
      </c>
      <c r="C1144">
        <f>_xlfn.XLOOKUP(A1144,'Data Cleaning'!A1144:A2613,'Data Cleaning'!K1144:K2613)</f>
        <v>0</v>
      </c>
      <c r="D1144" t="str">
        <f>_xlfn.XLOOKUP(A1144,'Data Cleaning'!A1144:A2613, 'Data Cleaning'!D1144:D2613)</f>
        <v>Master</v>
      </c>
      <c r="E1144" s="3" t="str">
        <f>_xlfn.XLOOKUP(A1144,'Data Cleaning'!A1144:A2613, 'Data Cleaning'!E1144:E2613)</f>
        <v>Married</v>
      </c>
      <c r="F1144" t="str">
        <f>_xlfn.XLOOKUP(A1144,'Data Cleaning'!A1144:A2613, 'Data Cleaning'!F1144:F2613)</f>
        <v>Low</v>
      </c>
      <c r="G1144" s="3" t="str">
        <f>_xlfn.XLOOKUP(A1144,'Data Cleaning'!A1144:A2613, 'Data Cleaning'!J1144:J2613)</f>
        <v>Promoted in 1-3 years</v>
      </c>
    </row>
    <row r="1145" spans="1:7" x14ac:dyDescent="0.25">
      <c r="A1145" s="3">
        <v>1560</v>
      </c>
      <c r="B1145" s="3" t="str">
        <f>_xlfn.XLOOKUP(A1145,'Data Cleaning'!A1145:A2614, 'Data Cleaning'!I1145:I2614)</f>
        <v>25-34</v>
      </c>
      <c r="C1145">
        <f>_xlfn.XLOOKUP(A1145,'Data Cleaning'!A1145:A2614,'Data Cleaning'!K1145:K2614)</f>
        <v>0</v>
      </c>
      <c r="D1145" t="str">
        <f>_xlfn.XLOOKUP(A1145,'Data Cleaning'!A1145:A2614, 'Data Cleaning'!D1145:D2614)</f>
        <v>Master</v>
      </c>
      <c r="E1145" s="3" t="str">
        <f>_xlfn.XLOOKUP(A1145,'Data Cleaning'!A1145:A2614, 'Data Cleaning'!E1145:E2614)</f>
        <v>Married</v>
      </c>
      <c r="F1145" t="str">
        <f>_xlfn.XLOOKUP(A1145,'Data Cleaning'!A1145:A2614, 'Data Cleaning'!F1145:F2614)</f>
        <v>Low</v>
      </c>
      <c r="G1145" s="3" t="str">
        <f>_xlfn.XLOOKUP(A1145,'Data Cleaning'!A1145:A2614, 'Data Cleaning'!J1145:J2614)</f>
        <v>Promoted in 1-3 years</v>
      </c>
    </row>
    <row r="1146" spans="1:7" x14ac:dyDescent="0.25">
      <c r="A1146" s="3">
        <v>475</v>
      </c>
      <c r="B1146" s="3" t="str">
        <f>_xlfn.XLOOKUP(A1146,'Data Cleaning'!A1146:A2615, 'Data Cleaning'!I1146:I2615)</f>
        <v>25-34</v>
      </c>
      <c r="C1146">
        <f>_xlfn.XLOOKUP(A1146,'Data Cleaning'!A1146:A2615,'Data Cleaning'!K1146:K2615)</f>
        <v>0</v>
      </c>
      <c r="D1146" t="str">
        <f>_xlfn.XLOOKUP(A1146,'Data Cleaning'!A1146:A2615, 'Data Cleaning'!D1146:D2615)</f>
        <v>College</v>
      </c>
      <c r="E1146" s="3" t="str">
        <f>_xlfn.XLOOKUP(A1146,'Data Cleaning'!A1146:A2615, 'Data Cleaning'!E1146:E2615)</f>
        <v>Married</v>
      </c>
      <c r="F1146" t="str">
        <f>_xlfn.XLOOKUP(A1146,'Data Cleaning'!A1146:A2615, 'Data Cleaning'!F1146:F2615)</f>
        <v>Low</v>
      </c>
      <c r="G1146" s="3" t="str">
        <f>_xlfn.XLOOKUP(A1146,'Data Cleaning'!A1146:A2615, 'Data Cleaning'!J1146:J2615)</f>
        <v>Promoted in 1-3 years</v>
      </c>
    </row>
    <row r="1147" spans="1:7" x14ac:dyDescent="0.25">
      <c r="A1147" s="3">
        <v>329</v>
      </c>
      <c r="B1147" s="3" t="str">
        <f>_xlfn.XLOOKUP(A1147,'Data Cleaning'!A1147:A2616, 'Data Cleaning'!I1147:I2616)</f>
        <v>45-54</v>
      </c>
      <c r="C1147">
        <f>_xlfn.XLOOKUP(A1147,'Data Cleaning'!A1147:A2616,'Data Cleaning'!K1147:K2616)</f>
        <v>0</v>
      </c>
      <c r="D1147" t="str">
        <f>_xlfn.XLOOKUP(A1147,'Data Cleaning'!A1147:A2616, 'Data Cleaning'!D1147:D2616)</f>
        <v>Master</v>
      </c>
      <c r="E1147" s="3" t="str">
        <f>_xlfn.XLOOKUP(A1147,'Data Cleaning'!A1147:A2616, 'Data Cleaning'!E1147:E2616)</f>
        <v>Single</v>
      </c>
      <c r="F1147" t="str">
        <f>_xlfn.XLOOKUP(A1147,'Data Cleaning'!A1147:A2616, 'Data Cleaning'!F1147:F2616)</f>
        <v>None</v>
      </c>
      <c r="G1147" s="3" t="str">
        <f>_xlfn.XLOOKUP(A1147,'Data Cleaning'!A1147:A2616, 'Data Cleaning'!J1147:J2616)</f>
        <v>Long Promotion gap</v>
      </c>
    </row>
    <row r="1148" spans="1:7" x14ac:dyDescent="0.25">
      <c r="A1148" s="3">
        <v>1539</v>
      </c>
      <c r="B1148" s="3" t="str">
        <f>_xlfn.XLOOKUP(A1148,'Data Cleaning'!A1148:A2617, 'Data Cleaning'!I1148:I2617)</f>
        <v>45-54</v>
      </c>
      <c r="C1148">
        <f>_xlfn.XLOOKUP(A1148,'Data Cleaning'!A1148:A2617,'Data Cleaning'!K1148:K2617)</f>
        <v>0</v>
      </c>
      <c r="D1148" t="str">
        <f>_xlfn.XLOOKUP(A1148,'Data Cleaning'!A1148:A2617, 'Data Cleaning'!D1148:D2617)</f>
        <v>Doctor</v>
      </c>
      <c r="E1148" s="3" t="str">
        <f>_xlfn.XLOOKUP(A1148,'Data Cleaning'!A1148:A2617, 'Data Cleaning'!E1148:E2617)</f>
        <v>Single</v>
      </c>
      <c r="F1148" t="str">
        <f>_xlfn.XLOOKUP(A1148,'Data Cleaning'!A1148:A2617, 'Data Cleaning'!F1148:F2617)</f>
        <v>None</v>
      </c>
      <c r="G1148" s="3" t="str">
        <f>_xlfn.XLOOKUP(A1148,'Data Cleaning'!A1148:A2617, 'Data Cleaning'!J1148:J2617)</f>
        <v>Long Promotion gap</v>
      </c>
    </row>
    <row r="1149" spans="1:7" x14ac:dyDescent="0.25">
      <c r="A1149" s="3">
        <v>644</v>
      </c>
      <c r="B1149" s="3" t="str">
        <f>_xlfn.XLOOKUP(A1149,'Data Cleaning'!A1149:A2618, 'Data Cleaning'!I1149:I2618)</f>
        <v>45-54</v>
      </c>
      <c r="C1149">
        <f>_xlfn.XLOOKUP(A1149,'Data Cleaning'!A1149:A2618,'Data Cleaning'!K1149:K2618)</f>
        <v>0</v>
      </c>
      <c r="D1149" t="str">
        <f>_xlfn.XLOOKUP(A1149,'Data Cleaning'!A1149:A2618, 'Data Cleaning'!D1149:D2618)</f>
        <v>Bachelor</v>
      </c>
      <c r="E1149" s="3" t="str">
        <f>_xlfn.XLOOKUP(A1149,'Data Cleaning'!A1149:A2618, 'Data Cleaning'!E1149:E2618)</f>
        <v>Married</v>
      </c>
      <c r="F1149" t="str">
        <f>_xlfn.XLOOKUP(A1149,'Data Cleaning'!A1149:A2618, 'Data Cleaning'!F1149:F2618)</f>
        <v>Low</v>
      </c>
      <c r="G1149" s="3" t="str">
        <f>_xlfn.XLOOKUP(A1149,'Data Cleaning'!A1149:A2618, 'Data Cleaning'!J1149:J2618)</f>
        <v>Long Promotion gap</v>
      </c>
    </row>
    <row r="1150" spans="1:7" x14ac:dyDescent="0.25">
      <c r="A1150" s="3">
        <v>1606</v>
      </c>
      <c r="B1150" s="3" t="str">
        <f>_xlfn.XLOOKUP(A1150,'Data Cleaning'!A1150:A2619, 'Data Cleaning'!I1150:I2619)</f>
        <v>45-54</v>
      </c>
      <c r="C1150">
        <f>_xlfn.XLOOKUP(A1150,'Data Cleaning'!A1150:A2619,'Data Cleaning'!K1150:K2619)</f>
        <v>0</v>
      </c>
      <c r="D1150" t="str">
        <f>_xlfn.XLOOKUP(A1150,'Data Cleaning'!A1150:A2619, 'Data Cleaning'!D1150:D2619)</f>
        <v>Doctor</v>
      </c>
      <c r="E1150" s="3" t="str">
        <f>_xlfn.XLOOKUP(A1150,'Data Cleaning'!A1150:A2619, 'Data Cleaning'!E1150:E2619)</f>
        <v>Married</v>
      </c>
      <c r="F1150" t="str">
        <f>_xlfn.XLOOKUP(A1150,'Data Cleaning'!A1150:A2619, 'Data Cleaning'!F1150:F2619)</f>
        <v>Low</v>
      </c>
      <c r="G1150" s="3" t="str">
        <f>_xlfn.XLOOKUP(A1150,'Data Cleaning'!A1150:A2619, 'Data Cleaning'!J1150:J2619)</f>
        <v>Long Promotion gap</v>
      </c>
    </row>
    <row r="1151" spans="1:7" x14ac:dyDescent="0.25">
      <c r="A1151" s="3">
        <v>158</v>
      </c>
      <c r="B1151" s="3" t="str">
        <f>_xlfn.XLOOKUP(A1151,'Data Cleaning'!A1151:A2620, 'Data Cleaning'!I1151:I2620)</f>
        <v>35-44</v>
      </c>
      <c r="C1151">
        <f>_xlfn.XLOOKUP(A1151,'Data Cleaning'!A1151:A2620,'Data Cleaning'!K1151:K2620)</f>
        <v>0</v>
      </c>
      <c r="D1151" t="str">
        <f>_xlfn.XLOOKUP(A1151,'Data Cleaning'!A1151:A2620, 'Data Cleaning'!D1151:D2620)</f>
        <v>College</v>
      </c>
      <c r="E1151" s="3" t="str">
        <f>_xlfn.XLOOKUP(A1151,'Data Cleaning'!A1151:A2620, 'Data Cleaning'!E1151:E2620)</f>
        <v>Married</v>
      </c>
      <c r="F1151" t="str">
        <f>_xlfn.XLOOKUP(A1151,'Data Cleaning'!A1151:A2620, 'Data Cleaning'!F1151:F2620)</f>
        <v>Mid</v>
      </c>
      <c r="G1151" s="3" t="str">
        <f>_xlfn.XLOOKUP(A1151,'Data Cleaning'!A1151:A2620, 'Data Cleaning'!J1151:J2620)</f>
        <v>Long Promotion gap</v>
      </c>
    </row>
    <row r="1152" spans="1:7" x14ac:dyDescent="0.25">
      <c r="A1152" s="3">
        <v>809</v>
      </c>
      <c r="B1152" s="3" t="str">
        <f>_xlfn.XLOOKUP(A1152,'Data Cleaning'!A1152:A2621, 'Data Cleaning'!I1152:I2621)</f>
        <v>35-44</v>
      </c>
      <c r="C1152">
        <f>_xlfn.XLOOKUP(A1152,'Data Cleaning'!A1152:A2621,'Data Cleaning'!K1152:K2621)</f>
        <v>0</v>
      </c>
      <c r="D1152" t="str">
        <f>_xlfn.XLOOKUP(A1152,'Data Cleaning'!A1152:A2621, 'Data Cleaning'!D1152:D2621)</f>
        <v>Bachelor</v>
      </c>
      <c r="E1152" s="3" t="str">
        <f>_xlfn.XLOOKUP(A1152,'Data Cleaning'!A1152:A2621, 'Data Cleaning'!E1152:E2621)</f>
        <v>Divorced</v>
      </c>
      <c r="F1152" t="str">
        <f>_xlfn.XLOOKUP(A1152,'Data Cleaning'!A1152:A2621, 'Data Cleaning'!F1152:F2621)</f>
        <v>Low</v>
      </c>
      <c r="G1152" s="3" t="str">
        <f>_xlfn.XLOOKUP(A1152,'Data Cleaning'!A1152:A2621, 'Data Cleaning'!J1152:J2621)</f>
        <v>Long Promotion gap</v>
      </c>
    </row>
    <row r="1153" spans="1:7" x14ac:dyDescent="0.25">
      <c r="A1153" s="3">
        <v>425</v>
      </c>
      <c r="B1153" s="3" t="str">
        <f>_xlfn.XLOOKUP(A1153,'Data Cleaning'!A1153:A2622, 'Data Cleaning'!I1153:I2622)</f>
        <v>45-54</v>
      </c>
      <c r="C1153">
        <f>_xlfn.XLOOKUP(A1153,'Data Cleaning'!A1153:A2622,'Data Cleaning'!K1153:K2622)</f>
        <v>0</v>
      </c>
      <c r="D1153" t="str">
        <f>_xlfn.XLOOKUP(A1153,'Data Cleaning'!A1153:A2622, 'Data Cleaning'!D1153:D2622)</f>
        <v>Bachelor</v>
      </c>
      <c r="E1153" s="3" t="str">
        <f>_xlfn.XLOOKUP(A1153,'Data Cleaning'!A1153:A2622, 'Data Cleaning'!E1153:E2622)</f>
        <v>Divorced</v>
      </c>
      <c r="F1153" t="str">
        <f>_xlfn.XLOOKUP(A1153,'Data Cleaning'!A1153:A2622, 'Data Cleaning'!F1153:F2622)</f>
        <v>Low</v>
      </c>
      <c r="G1153" s="3" t="str">
        <f>_xlfn.XLOOKUP(A1153,'Data Cleaning'!A1153:A2622, 'Data Cleaning'!J1153:J2622)</f>
        <v>Long Promotion gap</v>
      </c>
    </row>
    <row r="1154" spans="1:7" x14ac:dyDescent="0.25">
      <c r="A1154" s="3">
        <v>746</v>
      </c>
      <c r="B1154" s="3" t="str">
        <f>_xlfn.XLOOKUP(A1154,'Data Cleaning'!A1154:A2623, 'Data Cleaning'!I1154:I2623)</f>
        <v>45-54</v>
      </c>
      <c r="C1154">
        <f>_xlfn.XLOOKUP(A1154,'Data Cleaning'!A1154:A2623,'Data Cleaning'!K1154:K2623)</f>
        <v>0</v>
      </c>
      <c r="D1154" t="str">
        <f>_xlfn.XLOOKUP(A1154,'Data Cleaning'!A1154:A2623, 'Data Cleaning'!D1154:D2623)</f>
        <v>Bachelor</v>
      </c>
      <c r="E1154" s="3" t="str">
        <f>_xlfn.XLOOKUP(A1154,'Data Cleaning'!A1154:A2623, 'Data Cleaning'!E1154:E2623)</f>
        <v>Divorced</v>
      </c>
      <c r="F1154" t="str">
        <f>_xlfn.XLOOKUP(A1154,'Data Cleaning'!A1154:A2623, 'Data Cleaning'!F1154:F2623)</f>
        <v>Mid</v>
      </c>
      <c r="G1154" s="3" t="str">
        <f>_xlfn.XLOOKUP(A1154,'Data Cleaning'!A1154:A2623, 'Data Cleaning'!J1154:J2623)</f>
        <v>Long Promotion gap</v>
      </c>
    </row>
    <row r="1155" spans="1:7" x14ac:dyDescent="0.25">
      <c r="A1155" s="3">
        <v>1900</v>
      </c>
      <c r="B1155" s="3" t="str">
        <f>_xlfn.XLOOKUP(A1155,'Data Cleaning'!A1155:A2624, 'Data Cleaning'!I1155:I2624)</f>
        <v>45-54</v>
      </c>
      <c r="C1155">
        <f>_xlfn.XLOOKUP(A1155,'Data Cleaning'!A1155:A2624,'Data Cleaning'!K1155:K2624)</f>
        <v>0</v>
      </c>
      <c r="D1155" t="str">
        <f>_xlfn.XLOOKUP(A1155,'Data Cleaning'!A1155:A2624, 'Data Cleaning'!D1155:D2624)</f>
        <v>Bachelor</v>
      </c>
      <c r="E1155" s="3" t="str">
        <f>_xlfn.XLOOKUP(A1155,'Data Cleaning'!A1155:A2624, 'Data Cleaning'!E1155:E2624)</f>
        <v>Divorced</v>
      </c>
      <c r="F1155" t="str">
        <f>_xlfn.XLOOKUP(A1155,'Data Cleaning'!A1155:A2624, 'Data Cleaning'!F1155:F2624)</f>
        <v>Low</v>
      </c>
      <c r="G1155" s="3" t="str">
        <f>_xlfn.XLOOKUP(A1155,'Data Cleaning'!A1155:A2624, 'Data Cleaning'!J1155:J2624)</f>
        <v>Long Promotion gap</v>
      </c>
    </row>
    <row r="1156" spans="1:7" x14ac:dyDescent="0.25">
      <c r="A1156" s="3">
        <v>1043</v>
      </c>
      <c r="B1156" s="3" t="str">
        <f>_xlfn.XLOOKUP(A1156,'Data Cleaning'!A1156:A2625, 'Data Cleaning'!I1156:I2625)</f>
        <v>35-44</v>
      </c>
      <c r="C1156">
        <f>_xlfn.XLOOKUP(A1156,'Data Cleaning'!A1156:A2625,'Data Cleaning'!K1156:K2625)</f>
        <v>0</v>
      </c>
      <c r="D1156" t="str">
        <f>_xlfn.XLOOKUP(A1156,'Data Cleaning'!A1156:A2625, 'Data Cleaning'!D1156:D2625)</f>
        <v>Bachelor</v>
      </c>
      <c r="E1156" s="3" t="str">
        <f>_xlfn.XLOOKUP(A1156,'Data Cleaning'!A1156:A2625, 'Data Cleaning'!E1156:E2625)</f>
        <v>Single</v>
      </c>
      <c r="F1156" t="str">
        <f>_xlfn.XLOOKUP(A1156,'Data Cleaning'!A1156:A2625, 'Data Cleaning'!F1156:F2625)</f>
        <v>None</v>
      </c>
      <c r="G1156" s="3" t="str">
        <f>_xlfn.XLOOKUP(A1156,'Data Cleaning'!A1156:A2625, 'Data Cleaning'!J1156:J2625)</f>
        <v>Promoted in 1-3 years</v>
      </c>
    </row>
    <row r="1157" spans="1:7" x14ac:dyDescent="0.25">
      <c r="A1157" s="3">
        <v>444</v>
      </c>
      <c r="B1157" s="3" t="str">
        <f>_xlfn.XLOOKUP(A1157,'Data Cleaning'!A1157:A2626, 'Data Cleaning'!I1157:I2626)</f>
        <v>35-44</v>
      </c>
      <c r="C1157">
        <f>_xlfn.XLOOKUP(A1157,'Data Cleaning'!A1157:A2626,'Data Cleaning'!K1157:K2626)</f>
        <v>0</v>
      </c>
      <c r="D1157" t="str">
        <f>_xlfn.XLOOKUP(A1157,'Data Cleaning'!A1157:A2626, 'Data Cleaning'!D1157:D2626)</f>
        <v>College</v>
      </c>
      <c r="E1157" s="3" t="str">
        <f>_xlfn.XLOOKUP(A1157,'Data Cleaning'!A1157:A2626, 'Data Cleaning'!E1157:E2626)</f>
        <v>Married</v>
      </c>
      <c r="F1157" t="str">
        <f>_xlfn.XLOOKUP(A1157,'Data Cleaning'!A1157:A2626, 'Data Cleaning'!F1157:F2626)</f>
        <v>Low</v>
      </c>
      <c r="G1157" s="3" t="str">
        <f>_xlfn.XLOOKUP(A1157,'Data Cleaning'!A1157:A2626, 'Data Cleaning'!J1157:J2626)</f>
        <v>Long Promotion gap</v>
      </c>
    </row>
    <row r="1158" spans="1:7" x14ac:dyDescent="0.25">
      <c r="A1158" s="3">
        <v>1334</v>
      </c>
      <c r="B1158" s="3" t="str">
        <f>_xlfn.XLOOKUP(A1158,'Data Cleaning'!A1158:A2627, 'Data Cleaning'!I1158:I2627)</f>
        <v>35-44</v>
      </c>
      <c r="C1158">
        <f>_xlfn.XLOOKUP(A1158,'Data Cleaning'!A1158:A2627,'Data Cleaning'!K1158:K2627)</f>
        <v>0</v>
      </c>
      <c r="D1158" t="str">
        <f>_xlfn.XLOOKUP(A1158,'Data Cleaning'!A1158:A2627, 'Data Cleaning'!D1158:D2627)</f>
        <v>Below College</v>
      </c>
      <c r="E1158" s="3" t="str">
        <f>_xlfn.XLOOKUP(A1158,'Data Cleaning'!A1158:A2627, 'Data Cleaning'!E1158:E2627)</f>
        <v>Married</v>
      </c>
      <c r="F1158" t="str">
        <f>_xlfn.XLOOKUP(A1158,'Data Cleaning'!A1158:A2627, 'Data Cleaning'!F1158:F2627)</f>
        <v>None</v>
      </c>
      <c r="G1158" s="3" t="str">
        <f>_xlfn.XLOOKUP(A1158,'Data Cleaning'!A1158:A2627, 'Data Cleaning'!J1158:J2627)</f>
        <v>Promoted in 1-3 years</v>
      </c>
    </row>
    <row r="1159" spans="1:7" x14ac:dyDescent="0.25">
      <c r="A1159" s="3">
        <v>1547</v>
      </c>
      <c r="B1159" s="3" t="str">
        <f>_xlfn.XLOOKUP(A1159,'Data Cleaning'!A1159:A2628, 'Data Cleaning'!I1159:I2628)</f>
        <v>35-44</v>
      </c>
      <c r="C1159">
        <f>_xlfn.XLOOKUP(A1159,'Data Cleaning'!A1159:A2628,'Data Cleaning'!K1159:K2628)</f>
        <v>0</v>
      </c>
      <c r="D1159" t="str">
        <f>_xlfn.XLOOKUP(A1159,'Data Cleaning'!A1159:A2628, 'Data Cleaning'!D1159:D2628)</f>
        <v>Bachelor</v>
      </c>
      <c r="E1159" s="3" t="str">
        <f>_xlfn.XLOOKUP(A1159,'Data Cleaning'!A1159:A2628, 'Data Cleaning'!E1159:E2628)</f>
        <v>Married</v>
      </c>
      <c r="F1159" t="str">
        <f>_xlfn.XLOOKUP(A1159,'Data Cleaning'!A1159:A2628, 'Data Cleaning'!F1159:F2628)</f>
        <v>Low</v>
      </c>
      <c r="G1159" s="3" t="str">
        <f>_xlfn.XLOOKUP(A1159,'Data Cleaning'!A1159:A2628, 'Data Cleaning'!J1159:J2628)</f>
        <v>Long Promotion gap</v>
      </c>
    </row>
    <row r="1160" spans="1:7" x14ac:dyDescent="0.25">
      <c r="A1160" s="3">
        <v>202</v>
      </c>
      <c r="B1160" s="3" t="str">
        <f>_xlfn.XLOOKUP(A1160,'Data Cleaning'!A1160:A2629, 'Data Cleaning'!I1160:I2629)</f>
        <v>35-44</v>
      </c>
      <c r="C1160">
        <f>_xlfn.XLOOKUP(A1160,'Data Cleaning'!A1160:A2629,'Data Cleaning'!K1160:K2629)</f>
        <v>0</v>
      </c>
      <c r="D1160" t="str">
        <f>_xlfn.XLOOKUP(A1160,'Data Cleaning'!A1160:A2629, 'Data Cleaning'!D1160:D2629)</f>
        <v>Bachelor</v>
      </c>
      <c r="E1160" s="3" t="str">
        <f>_xlfn.XLOOKUP(A1160,'Data Cleaning'!A1160:A2629, 'Data Cleaning'!E1160:E2629)</f>
        <v>Divorced</v>
      </c>
      <c r="F1160" t="str">
        <f>_xlfn.XLOOKUP(A1160,'Data Cleaning'!A1160:A2629, 'Data Cleaning'!F1160:F2629)</f>
        <v>Low</v>
      </c>
      <c r="G1160" s="3" t="str">
        <f>_xlfn.XLOOKUP(A1160,'Data Cleaning'!A1160:A2629, 'Data Cleaning'!J1160:J2629)</f>
        <v>Promoted in 1-3 years</v>
      </c>
    </row>
    <row r="1161" spans="1:7" x14ac:dyDescent="0.25">
      <c r="A1161" s="3">
        <v>1976</v>
      </c>
      <c r="B1161" s="3" t="str">
        <f>_xlfn.XLOOKUP(A1161,'Data Cleaning'!A1161:A2630, 'Data Cleaning'!I1161:I2630)</f>
        <v>35-44</v>
      </c>
      <c r="C1161">
        <f>_xlfn.XLOOKUP(A1161,'Data Cleaning'!A1161:A2630,'Data Cleaning'!K1161:K2630)</f>
        <v>0</v>
      </c>
      <c r="D1161" t="str">
        <f>_xlfn.XLOOKUP(A1161,'Data Cleaning'!A1161:A2630, 'Data Cleaning'!D1161:D2630)</f>
        <v>College</v>
      </c>
      <c r="E1161" s="3" t="str">
        <f>_xlfn.XLOOKUP(A1161,'Data Cleaning'!A1161:A2630, 'Data Cleaning'!E1161:E2630)</f>
        <v>Single</v>
      </c>
      <c r="F1161" t="str">
        <f>_xlfn.XLOOKUP(A1161,'Data Cleaning'!A1161:A2630, 'Data Cleaning'!F1161:F2630)</f>
        <v>None</v>
      </c>
      <c r="G1161" s="3" t="str">
        <f>_xlfn.XLOOKUP(A1161,'Data Cleaning'!A1161:A2630, 'Data Cleaning'!J1161:J2630)</f>
        <v>Promoted in 1-3 years</v>
      </c>
    </row>
    <row r="1162" spans="1:7" x14ac:dyDescent="0.25">
      <c r="A1162" s="3">
        <v>404</v>
      </c>
      <c r="B1162" s="3" t="str">
        <f>_xlfn.XLOOKUP(A1162,'Data Cleaning'!A1162:A2631, 'Data Cleaning'!I1162:I2631)</f>
        <v>35-44</v>
      </c>
      <c r="C1162">
        <f>_xlfn.XLOOKUP(A1162,'Data Cleaning'!A1162:A2631,'Data Cleaning'!K1162:K2631)</f>
        <v>0</v>
      </c>
      <c r="D1162" t="str">
        <f>_xlfn.XLOOKUP(A1162,'Data Cleaning'!A1162:A2631, 'Data Cleaning'!D1162:D2631)</f>
        <v>Bachelor</v>
      </c>
      <c r="E1162" s="3" t="str">
        <f>_xlfn.XLOOKUP(A1162,'Data Cleaning'!A1162:A2631, 'Data Cleaning'!E1162:E2631)</f>
        <v>Married</v>
      </c>
      <c r="F1162" t="str">
        <f>_xlfn.XLOOKUP(A1162,'Data Cleaning'!A1162:A2631, 'Data Cleaning'!F1162:F2631)</f>
        <v>Low</v>
      </c>
      <c r="G1162" s="3" t="str">
        <f>_xlfn.XLOOKUP(A1162,'Data Cleaning'!A1162:A2631, 'Data Cleaning'!J1162:J2631)</f>
        <v>Long Promotion gap</v>
      </c>
    </row>
    <row r="1163" spans="1:7" x14ac:dyDescent="0.25">
      <c r="A1163" s="3">
        <v>987</v>
      </c>
      <c r="B1163" s="3" t="str">
        <f>_xlfn.XLOOKUP(A1163,'Data Cleaning'!A1163:A2632, 'Data Cleaning'!I1163:I2632)</f>
        <v>45-54</v>
      </c>
      <c r="C1163">
        <f>_xlfn.XLOOKUP(A1163,'Data Cleaning'!A1163:A2632,'Data Cleaning'!K1163:K2632)</f>
        <v>0</v>
      </c>
      <c r="D1163" t="str">
        <f>_xlfn.XLOOKUP(A1163,'Data Cleaning'!A1163:A2632, 'Data Cleaning'!D1163:D2632)</f>
        <v>Master</v>
      </c>
      <c r="E1163" s="3" t="str">
        <f>_xlfn.XLOOKUP(A1163,'Data Cleaning'!A1163:A2632, 'Data Cleaning'!E1163:E2632)</f>
        <v>Divorced</v>
      </c>
      <c r="F1163" t="str">
        <f>_xlfn.XLOOKUP(A1163,'Data Cleaning'!A1163:A2632, 'Data Cleaning'!F1163:F2632)</f>
        <v>None</v>
      </c>
      <c r="G1163" s="3" t="str">
        <f>_xlfn.XLOOKUP(A1163,'Data Cleaning'!A1163:A2632, 'Data Cleaning'!J1163:J2632)</f>
        <v>Promoted in 1-3 years</v>
      </c>
    </row>
    <row r="1164" spans="1:7" x14ac:dyDescent="0.25">
      <c r="A1164" s="3">
        <v>302</v>
      </c>
      <c r="B1164" s="3" t="str">
        <f>_xlfn.XLOOKUP(A1164,'Data Cleaning'!A1164:A2633, 'Data Cleaning'!I1164:I2633)</f>
        <v>45-54</v>
      </c>
      <c r="C1164">
        <f>_xlfn.XLOOKUP(A1164,'Data Cleaning'!A1164:A2633,'Data Cleaning'!K1164:K2633)</f>
        <v>0</v>
      </c>
      <c r="D1164" t="str">
        <f>_xlfn.XLOOKUP(A1164,'Data Cleaning'!A1164:A2633, 'Data Cleaning'!D1164:D2633)</f>
        <v>Bachelor</v>
      </c>
      <c r="E1164" s="3" t="str">
        <f>_xlfn.XLOOKUP(A1164,'Data Cleaning'!A1164:A2633, 'Data Cleaning'!E1164:E2633)</f>
        <v>Single</v>
      </c>
      <c r="F1164" t="str">
        <f>_xlfn.XLOOKUP(A1164,'Data Cleaning'!A1164:A2633, 'Data Cleaning'!F1164:F2633)</f>
        <v>None</v>
      </c>
      <c r="G1164" s="3" t="str">
        <f>_xlfn.XLOOKUP(A1164,'Data Cleaning'!A1164:A2633, 'Data Cleaning'!J1164:J2633)</f>
        <v>Long Promotion gap</v>
      </c>
    </row>
    <row r="1165" spans="1:7" x14ac:dyDescent="0.25">
      <c r="A1165" s="3">
        <v>1329</v>
      </c>
      <c r="B1165" s="3" t="str">
        <f>_xlfn.XLOOKUP(A1165,'Data Cleaning'!A1165:A2634, 'Data Cleaning'!I1165:I2634)</f>
        <v>35-44</v>
      </c>
      <c r="C1165">
        <f>_xlfn.XLOOKUP(A1165,'Data Cleaning'!A1165:A2634,'Data Cleaning'!K1165:K2634)</f>
        <v>0</v>
      </c>
      <c r="D1165" t="str">
        <f>_xlfn.XLOOKUP(A1165,'Data Cleaning'!A1165:A2634, 'Data Cleaning'!D1165:D2634)</f>
        <v>College</v>
      </c>
      <c r="E1165" s="3" t="str">
        <f>_xlfn.XLOOKUP(A1165,'Data Cleaning'!A1165:A2634, 'Data Cleaning'!E1165:E2634)</f>
        <v>Single</v>
      </c>
      <c r="F1165" t="str">
        <f>_xlfn.XLOOKUP(A1165,'Data Cleaning'!A1165:A2634, 'Data Cleaning'!F1165:F2634)</f>
        <v>None</v>
      </c>
      <c r="G1165" s="3" t="str">
        <f>_xlfn.XLOOKUP(A1165,'Data Cleaning'!A1165:A2634, 'Data Cleaning'!J1165:J2634)</f>
        <v>Long Promotion gap</v>
      </c>
    </row>
    <row r="1166" spans="1:7" x14ac:dyDescent="0.25">
      <c r="A1166" s="3">
        <v>573</v>
      </c>
      <c r="B1166" s="3" t="str">
        <f>_xlfn.XLOOKUP(A1166,'Data Cleaning'!A1166:A2635, 'Data Cleaning'!I1166:I2635)</f>
        <v>55-60</v>
      </c>
      <c r="C1166">
        <f>_xlfn.XLOOKUP(A1166,'Data Cleaning'!A1166:A2635,'Data Cleaning'!K1166:K2635)</f>
        <v>0</v>
      </c>
      <c r="D1166" t="str">
        <f>_xlfn.XLOOKUP(A1166,'Data Cleaning'!A1166:A2635, 'Data Cleaning'!D1166:D2635)</f>
        <v>Bachelor</v>
      </c>
      <c r="E1166" s="3" t="str">
        <f>_xlfn.XLOOKUP(A1166,'Data Cleaning'!A1166:A2635, 'Data Cleaning'!E1166:E2635)</f>
        <v>Married</v>
      </c>
      <c r="F1166" t="str">
        <f>_xlfn.XLOOKUP(A1166,'Data Cleaning'!A1166:A2635, 'Data Cleaning'!F1166:F2635)</f>
        <v>None</v>
      </c>
      <c r="G1166" s="3" t="str">
        <f>_xlfn.XLOOKUP(A1166,'Data Cleaning'!A1166:A2635, 'Data Cleaning'!J1166:J2635)</f>
        <v>Long Promotion gap</v>
      </c>
    </row>
    <row r="1167" spans="1:7" x14ac:dyDescent="0.25">
      <c r="A1167" s="3">
        <v>73</v>
      </c>
      <c r="B1167" s="3" t="str">
        <f>_xlfn.XLOOKUP(A1167,'Data Cleaning'!A1167:A2636, 'Data Cleaning'!I1167:I2636)</f>
        <v>25-34</v>
      </c>
      <c r="C1167">
        <f>_xlfn.XLOOKUP(A1167,'Data Cleaning'!A1167:A2636,'Data Cleaning'!K1167:K2636)</f>
        <v>0</v>
      </c>
      <c r="D1167" t="str">
        <f>_xlfn.XLOOKUP(A1167,'Data Cleaning'!A1167:A2636, 'Data Cleaning'!D1167:D2636)</f>
        <v>College</v>
      </c>
      <c r="E1167" s="3" t="str">
        <f>_xlfn.XLOOKUP(A1167,'Data Cleaning'!A1167:A2636, 'Data Cleaning'!E1167:E2636)</f>
        <v>Single</v>
      </c>
      <c r="F1167" t="str">
        <f>_xlfn.XLOOKUP(A1167,'Data Cleaning'!A1167:A2636, 'Data Cleaning'!F1167:F2636)</f>
        <v>None</v>
      </c>
      <c r="G1167" s="3" t="str">
        <f>_xlfn.XLOOKUP(A1167,'Data Cleaning'!A1167:A2636, 'Data Cleaning'!J1167:J2636)</f>
        <v>Long Promotion gap</v>
      </c>
    </row>
    <row r="1168" spans="1:7" x14ac:dyDescent="0.25">
      <c r="A1168" s="3">
        <v>1050</v>
      </c>
      <c r="B1168" s="3" t="str">
        <f>_xlfn.XLOOKUP(A1168,'Data Cleaning'!A1168:A2637, 'Data Cleaning'!I1168:I2637)</f>
        <v>45-54</v>
      </c>
      <c r="C1168">
        <f>_xlfn.XLOOKUP(A1168,'Data Cleaning'!A1168:A2637,'Data Cleaning'!K1168:K2637)</f>
        <v>0</v>
      </c>
      <c r="D1168" t="str">
        <f>_xlfn.XLOOKUP(A1168,'Data Cleaning'!A1168:A2637, 'Data Cleaning'!D1168:D2637)</f>
        <v>Bachelor</v>
      </c>
      <c r="E1168" s="3" t="str">
        <f>_xlfn.XLOOKUP(A1168,'Data Cleaning'!A1168:A2637, 'Data Cleaning'!E1168:E2637)</f>
        <v>Married</v>
      </c>
      <c r="F1168" t="str">
        <f>_xlfn.XLOOKUP(A1168,'Data Cleaning'!A1168:A2637, 'Data Cleaning'!F1168:F2637)</f>
        <v>Low</v>
      </c>
      <c r="G1168" s="3" t="str">
        <f>_xlfn.XLOOKUP(A1168,'Data Cleaning'!A1168:A2637, 'Data Cleaning'!J1168:J2637)</f>
        <v>Long Promotion gap</v>
      </c>
    </row>
    <row r="1169" spans="1:7" x14ac:dyDescent="0.25">
      <c r="A1169" s="3">
        <v>803</v>
      </c>
      <c r="B1169" s="3" t="str">
        <f>_xlfn.XLOOKUP(A1169,'Data Cleaning'!A1169:A2638, 'Data Cleaning'!I1169:I2638)</f>
        <v>35-44</v>
      </c>
      <c r="C1169">
        <f>_xlfn.XLOOKUP(A1169,'Data Cleaning'!A1169:A2638,'Data Cleaning'!K1169:K2638)</f>
        <v>0</v>
      </c>
      <c r="D1169" t="str">
        <f>_xlfn.XLOOKUP(A1169,'Data Cleaning'!A1169:A2638, 'Data Cleaning'!D1169:D2638)</f>
        <v>Master</v>
      </c>
      <c r="E1169" s="3" t="str">
        <f>_xlfn.XLOOKUP(A1169,'Data Cleaning'!A1169:A2638, 'Data Cleaning'!E1169:E2638)</f>
        <v>Single</v>
      </c>
      <c r="F1169" t="str">
        <f>_xlfn.XLOOKUP(A1169,'Data Cleaning'!A1169:A2638, 'Data Cleaning'!F1169:F2638)</f>
        <v>None</v>
      </c>
      <c r="G1169" s="3" t="str">
        <f>_xlfn.XLOOKUP(A1169,'Data Cleaning'!A1169:A2638, 'Data Cleaning'!J1169:J2638)</f>
        <v>Long Promotion gap</v>
      </c>
    </row>
    <row r="1170" spans="1:7" x14ac:dyDescent="0.25">
      <c r="A1170" s="3">
        <v>1362</v>
      </c>
      <c r="B1170" s="3" t="str">
        <f>_xlfn.XLOOKUP(A1170,'Data Cleaning'!A1170:A2639, 'Data Cleaning'!I1170:I2639)</f>
        <v>35-44</v>
      </c>
      <c r="C1170">
        <f>_xlfn.XLOOKUP(A1170,'Data Cleaning'!A1170:A2639,'Data Cleaning'!K1170:K2639)</f>
        <v>0</v>
      </c>
      <c r="D1170" t="str">
        <f>_xlfn.XLOOKUP(A1170,'Data Cleaning'!A1170:A2639, 'Data Cleaning'!D1170:D2639)</f>
        <v>Bachelor</v>
      </c>
      <c r="E1170" s="3" t="str">
        <f>_xlfn.XLOOKUP(A1170,'Data Cleaning'!A1170:A2639, 'Data Cleaning'!E1170:E2639)</f>
        <v>Married</v>
      </c>
      <c r="F1170" t="str">
        <f>_xlfn.XLOOKUP(A1170,'Data Cleaning'!A1170:A2639, 'Data Cleaning'!F1170:F2639)</f>
        <v>Low</v>
      </c>
      <c r="G1170" s="3" t="str">
        <f>_xlfn.XLOOKUP(A1170,'Data Cleaning'!A1170:A2639, 'Data Cleaning'!J1170:J2639)</f>
        <v>Long Promotion gap</v>
      </c>
    </row>
    <row r="1171" spans="1:7" x14ac:dyDescent="0.25">
      <c r="A1171" s="3">
        <v>1117</v>
      </c>
      <c r="B1171" s="3" t="str">
        <f>_xlfn.XLOOKUP(A1171,'Data Cleaning'!A1171:A2640, 'Data Cleaning'!I1171:I2640)</f>
        <v>45-54</v>
      </c>
      <c r="C1171">
        <f>_xlfn.XLOOKUP(A1171,'Data Cleaning'!A1171:A2640,'Data Cleaning'!K1171:K2640)</f>
        <v>0</v>
      </c>
      <c r="D1171" t="str">
        <f>_xlfn.XLOOKUP(A1171,'Data Cleaning'!A1171:A2640, 'Data Cleaning'!D1171:D2640)</f>
        <v>Master</v>
      </c>
      <c r="E1171" s="3" t="str">
        <f>_xlfn.XLOOKUP(A1171,'Data Cleaning'!A1171:A2640, 'Data Cleaning'!E1171:E2640)</f>
        <v>Married</v>
      </c>
      <c r="F1171" t="str">
        <f>_xlfn.XLOOKUP(A1171,'Data Cleaning'!A1171:A2640, 'Data Cleaning'!F1171:F2640)</f>
        <v>Low</v>
      </c>
      <c r="G1171" s="3" t="str">
        <f>_xlfn.XLOOKUP(A1171,'Data Cleaning'!A1171:A2640, 'Data Cleaning'!J1171:J2640)</f>
        <v>Long Promotion gap</v>
      </c>
    </row>
    <row r="1172" spans="1:7" x14ac:dyDescent="0.25">
      <c r="A1172" s="3">
        <v>1932</v>
      </c>
      <c r="B1172" s="3" t="str">
        <f>_xlfn.XLOOKUP(A1172,'Data Cleaning'!A1172:A2641, 'Data Cleaning'!I1172:I2641)</f>
        <v>25-34</v>
      </c>
      <c r="C1172">
        <f>_xlfn.XLOOKUP(A1172,'Data Cleaning'!A1172:A2641,'Data Cleaning'!K1172:K2641)</f>
        <v>0</v>
      </c>
      <c r="D1172" t="str">
        <f>_xlfn.XLOOKUP(A1172,'Data Cleaning'!A1172:A2641, 'Data Cleaning'!D1172:D2641)</f>
        <v>Master</v>
      </c>
      <c r="E1172" s="3" t="str">
        <f>_xlfn.XLOOKUP(A1172,'Data Cleaning'!A1172:A2641, 'Data Cleaning'!E1172:E2641)</f>
        <v>Married</v>
      </c>
      <c r="F1172" t="str">
        <f>_xlfn.XLOOKUP(A1172,'Data Cleaning'!A1172:A2641, 'Data Cleaning'!F1172:F2641)</f>
        <v>None</v>
      </c>
      <c r="G1172" s="3" t="str">
        <f>_xlfn.XLOOKUP(A1172,'Data Cleaning'!A1172:A2641, 'Data Cleaning'!J1172:J2641)</f>
        <v>Long Promotion gap</v>
      </c>
    </row>
    <row r="1173" spans="1:7" x14ac:dyDescent="0.25">
      <c r="A1173" s="3">
        <v>1243</v>
      </c>
      <c r="B1173" s="3" t="str">
        <f>_xlfn.XLOOKUP(A1173,'Data Cleaning'!A1173:A2642, 'Data Cleaning'!I1173:I2642)</f>
        <v>35-44</v>
      </c>
      <c r="C1173">
        <f>_xlfn.XLOOKUP(A1173,'Data Cleaning'!A1173:A2642,'Data Cleaning'!K1173:K2642)</f>
        <v>0</v>
      </c>
      <c r="D1173" t="str">
        <f>_xlfn.XLOOKUP(A1173,'Data Cleaning'!A1173:A2642, 'Data Cleaning'!D1173:D2642)</f>
        <v>College</v>
      </c>
      <c r="E1173" s="3" t="str">
        <f>_xlfn.XLOOKUP(A1173,'Data Cleaning'!A1173:A2642, 'Data Cleaning'!E1173:E2642)</f>
        <v>Married</v>
      </c>
      <c r="F1173" t="str">
        <f>_xlfn.XLOOKUP(A1173,'Data Cleaning'!A1173:A2642, 'Data Cleaning'!F1173:F2642)</f>
        <v>Low</v>
      </c>
      <c r="G1173" s="3" t="str">
        <f>_xlfn.XLOOKUP(A1173,'Data Cleaning'!A1173:A2642, 'Data Cleaning'!J1173:J2642)</f>
        <v>Long Promotion gap</v>
      </c>
    </row>
    <row r="1174" spans="1:7" x14ac:dyDescent="0.25">
      <c r="A1174" s="3">
        <v>529</v>
      </c>
      <c r="B1174" s="3" t="str">
        <f>_xlfn.XLOOKUP(A1174,'Data Cleaning'!A1174:A2643, 'Data Cleaning'!I1174:I2643)</f>
        <v>35-44</v>
      </c>
      <c r="C1174">
        <f>_xlfn.XLOOKUP(A1174,'Data Cleaning'!A1174:A2643,'Data Cleaning'!K1174:K2643)</f>
        <v>0</v>
      </c>
      <c r="D1174" t="str">
        <f>_xlfn.XLOOKUP(A1174,'Data Cleaning'!A1174:A2643, 'Data Cleaning'!D1174:D2643)</f>
        <v>Doctor</v>
      </c>
      <c r="E1174" s="3" t="str">
        <f>_xlfn.XLOOKUP(A1174,'Data Cleaning'!A1174:A2643, 'Data Cleaning'!E1174:E2643)</f>
        <v>Married</v>
      </c>
      <c r="F1174" t="str">
        <f>_xlfn.XLOOKUP(A1174,'Data Cleaning'!A1174:A2643, 'Data Cleaning'!F1174:F2643)</f>
        <v>Mid</v>
      </c>
      <c r="G1174" s="3" t="str">
        <f>_xlfn.XLOOKUP(A1174,'Data Cleaning'!A1174:A2643, 'Data Cleaning'!J1174:J2643)</f>
        <v>Long Promotion gap</v>
      </c>
    </row>
    <row r="1175" spans="1:7" x14ac:dyDescent="0.25">
      <c r="A1175" s="3">
        <v>1668</v>
      </c>
      <c r="B1175" s="3" t="str">
        <f>_xlfn.XLOOKUP(A1175,'Data Cleaning'!A1175:A2644, 'Data Cleaning'!I1175:I2644)</f>
        <v>35-44</v>
      </c>
      <c r="C1175">
        <f>_xlfn.XLOOKUP(A1175,'Data Cleaning'!A1175:A2644,'Data Cleaning'!K1175:K2644)</f>
        <v>0</v>
      </c>
      <c r="D1175" t="str">
        <f>_xlfn.XLOOKUP(A1175,'Data Cleaning'!A1175:A2644, 'Data Cleaning'!D1175:D2644)</f>
        <v>Bachelor</v>
      </c>
      <c r="E1175" s="3" t="str">
        <f>_xlfn.XLOOKUP(A1175,'Data Cleaning'!A1175:A2644, 'Data Cleaning'!E1175:E2644)</f>
        <v>Married</v>
      </c>
      <c r="F1175" t="str">
        <f>_xlfn.XLOOKUP(A1175,'Data Cleaning'!A1175:A2644, 'Data Cleaning'!F1175:F2644)</f>
        <v>Mid</v>
      </c>
      <c r="G1175" s="3" t="str">
        <f>_xlfn.XLOOKUP(A1175,'Data Cleaning'!A1175:A2644, 'Data Cleaning'!J1175:J2644)</f>
        <v>Promoted in 1-3 years</v>
      </c>
    </row>
    <row r="1176" spans="1:7" x14ac:dyDescent="0.25">
      <c r="A1176" s="3">
        <v>2000</v>
      </c>
      <c r="B1176" s="3" t="str">
        <f>_xlfn.XLOOKUP(A1176,'Data Cleaning'!A1176:A2645, 'Data Cleaning'!I1176:I2645)</f>
        <v>45-54</v>
      </c>
      <c r="C1176">
        <f>_xlfn.XLOOKUP(A1176,'Data Cleaning'!A1176:A2645,'Data Cleaning'!K1176:K2645)</f>
        <v>0</v>
      </c>
      <c r="D1176" t="str">
        <f>_xlfn.XLOOKUP(A1176,'Data Cleaning'!A1176:A2645, 'Data Cleaning'!D1176:D2645)</f>
        <v>Below College</v>
      </c>
      <c r="E1176" s="3" t="str">
        <f>_xlfn.XLOOKUP(A1176,'Data Cleaning'!A1176:A2645, 'Data Cleaning'!E1176:E2645)</f>
        <v>Married</v>
      </c>
      <c r="F1176" t="str">
        <f>_xlfn.XLOOKUP(A1176,'Data Cleaning'!A1176:A2645, 'Data Cleaning'!F1176:F2645)</f>
        <v>Mid</v>
      </c>
      <c r="G1176" s="3" t="str">
        <f>_xlfn.XLOOKUP(A1176,'Data Cleaning'!A1176:A2645, 'Data Cleaning'!J1176:J2645)</f>
        <v>Long Promotion gap</v>
      </c>
    </row>
    <row r="1177" spans="1:7" x14ac:dyDescent="0.25">
      <c r="A1177" s="3">
        <v>1480</v>
      </c>
      <c r="B1177" s="3" t="str">
        <f>_xlfn.XLOOKUP(A1177,'Data Cleaning'!A1177:A2646, 'Data Cleaning'!I1177:I2646)</f>
        <v>35-44</v>
      </c>
      <c r="C1177">
        <f>_xlfn.XLOOKUP(A1177,'Data Cleaning'!A1177:A2646,'Data Cleaning'!K1177:K2646)</f>
        <v>0</v>
      </c>
      <c r="D1177" t="str">
        <f>_xlfn.XLOOKUP(A1177,'Data Cleaning'!A1177:A2646, 'Data Cleaning'!D1177:D2646)</f>
        <v>College</v>
      </c>
      <c r="E1177" s="3" t="str">
        <f>_xlfn.XLOOKUP(A1177,'Data Cleaning'!A1177:A2646, 'Data Cleaning'!E1177:E2646)</f>
        <v>Single</v>
      </c>
      <c r="F1177" t="str">
        <f>_xlfn.XLOOKUP(A1177,'Data Cleaning'!A1177:A2646, 'Data Cleaning'!F1177:F2646)</f>
        <v>None</v>
      </c>
      <c r="G1177" s="3" t="str">
        <f>_xlfn.XLOOKUP(A1177,'Data Cleaning'!A1177:A2646, 'Data Cleaning'!J1177:J2646)</f>
        <v>Long Promotion gap</v>
      </c>
    </row>
    <row r="1178" spans="1:7" x14ac:dyDescent="0.25">
      <c r="A1178" s="3">
        <v>239</v>
      </c>
      <c r="B1178" s="3" t="str">
        <f>_xlfn.XLOOKUP(A1178,'Data Cleaning'!A1178:A2647, 'Data Cleaning'!I1178:I2647)</f>
        <v>25-34</v>
      </c>
      <c r="C1178">
        <f>_xlfn.XLOOKUP(A1178,'Data Cleaning'!A1178:A2647,'Data Cleaning'!K1178:K2647)</f>
        <v>0</v>
      </c>
      <c r="D1178" t="str">
        <f>_xlfn.XLOOKUP(A1178,'Data Cleaning'!A1178:A2647, 'Data Cleaning'!D1178:D2647)</f>
        <v>Bachelor</v>
      </c>
      <c r="E1178" s="3" t="str">
        <f>_xlfn.XLOOKUP(A1178,'Data Cleaning'!A1178:A2647, 'Data Cleaning'!E1178:E2647)</f>
        <v>Divorced</v>
      </c>
      <c r="F1178" t="str">
        <f>_xlfn.XLOOKUP(A1178,'Data Cleaning'!A1178:A2647, 'Data Cleaning'!F1178:F2647)</f>
        <v>Mid</v>
      </c>
      <c r="G1178" s="3" t="str">
        <f>_xlfn.XLOOKUP(A1178,'Data Cleaning'!A1178:A2647, 'Data Cleaning'!J1178:J2647)</f>
        <v>Long Promotion gap</v>
      </c>
    </row>
    <row r="1179" spans="1:7" x14ac:dyDescent="0.25">
      <c r="A1179" s="3">
        <v>312</v>
      </c>
      <c r="B1179" s="3" t="str">
        <f>_xlfn.XLOOKUP(A1179,'Data Cleaning'!A1179:A2648, 'Data Cleaning'!I1179:I2648)</f>
        <v>25-34</v>
      </c>
      <c r="C1179">
        <f>_xlfn.XLOOKUP(A1179,'Data Cleaning'!A1179:A2648,'Data Cleaning'!K1179:K2648)</f>
        <v>0</v>
      </c>
      <c r="D1179" t="str">
        <f>_xlfn.XLOOKUP(A1179,'Data Cleaning'!A1179:A2648, 'Data Cleaning'!D1179:D2648)</f>
        <v>Below College</v>
      </c>
      <c r="E1179" s="3" t="str">
        <f>_xlfn.XLOOKUP(A1179,'Data Cleaning'!A1179:A2648, 'Data Cleaning'!E1179:E2648)</f>
        <v>Married</v>
      </c>
      <c r="F1179" t="str">
        <f>_xlfn.XLOOKUP(A1179,'Data Cleaning'!A1179:A2648, 'Data Cleaning'!F1179:F2648)</f>
        <v>Low</v>
      </c>
      <c r="G1179" s="3" t="str">
        <f>_xlfn.XLOOKUP(A1179,'Data Cleaning'!A1179:A2648, 'Data Cleaning'!J1179:J2648)</f>
        <v>Long Promotion gap</v>
      </c>
    </row>
    <row r="1180" spans="1:7" x14ac:dyDescent="0.25">
      <c r="A1180" s="3">
        <v>571</v>
      </c>
      <c r="B1180" s="3" t="str">
        <f>_xlfn.XLOOKUP(A1180,'Data Cleaning'!A1180:A2649, 'Data Cleaning'!I1180:I2649)</f>
        <v>25-34</v>
      </c>
      <c r="C1180">
        <f>_xlfn.XLOOKUP(A1180,'Data Cleaning'!A1180:A2649,'Data Cleaning'!K1180:K2649)</f>
        <v>0</v>
      </c>
      <c r="D1180" t="str">
        <f>_xlfn.XLOOKUP(A1180,'Data Cleaning'!A1180:A2649, 'Data Cleaning'!D1180:D2649)</f>
        <v>Bachelor</v>
      </c>
      <c r="E1180" s="3" t="str">
        <f>_xlfn.XLOOKUP(A1180,'Data Cleaning'!A1180:A2649, 'Data Cleaning'!E1180:E2649)</f>
        <v>Single</v>
      </c>
      <c r="F1180" t="str">
        <f>_xlfn.XLOOKUP(A1180,'Data Cleaning'!A1180:A2649, 'Data Cleaning'!F1180:F2649)</f>
        <v>None</v>
      </c>
      <c r="G1180" s="3" t="str">
        <f>_xlfn.XLOOKUP(A1180,'Data Cleaning'!A1180:A2649, 'Data Cleaning'!J1180:J2649)</f>
        <v>Long Promotion gap</v>
      </c>
    </row>
    <row r="1181" spans="1:7" x14ac:dyDescent="0.25">
      <c r="A1181" s="3">
        <v>1805</v>
      </c>
      <c r="B1181" s="3" t="str">
        <f>_xlfn.XLOOKUP(A1181,'Data Cleaning'!A1181:A2650, 'Data Cleaning'!I1181:I2650)</f>
        <v>35-44</v>
      </c>
      <c r="C1181">
        <f>_xlfn.XLOOKUP(A1181,'Data Cleaning'!A1181:A2650,'Data Cleaning'!K1181:K2650)</f>
        <v>0</v>
      </c>
      <c r="D1181" t="str">
        <f>_xlfn.XLOOKUP(A1181,'Data Cleaning'!A1181:A2650, 'Data Cleaning'!D1181:D2650)</f>
        <v>Bachelor</v>
      </c>
      <c r="E1181" s="3" t="str">
        <f>_xlfn.XLOOKUP(A1181,'Data Cleaning'!A1181:A2650, 'Data Cleaning'!E1181:E2650)</f>
        <v>Divorced</v>
      </c>
      <c r="F1181" t="str">
        <f>_xlfn.XLOOKUP(A1181,'Data Cleaning'!A1181:A2650, 'Data Cleaning'!F1181:F2650)</f>
        <v>High</v>
      </c>
      <c r="G1181" s="3" t="str">
        <f>_xlfn.XLOOKUP(A1181,'Data Cleaning'!A1181:A2650, 'Data Cleaning'!J1181:J2650)</f>
        <v>Promoted in 1-3 years</v>
      </c>
    </row>
    <row r="1182" spans="1:7" x14ac:dyDescent="0.25">
      <c r="A1182" s="3">
        <v>1285</v>
      </c>
      <c r="B1182" s="3" t="str">
        <f>_xlfn.XLOOKUP(A1182,'Data Cleaning'!A1182:A2651, 'Data Cleaning'!I1182:I2651)</f>
        <v>25-34</v>
      </c>
      <c r="C1182">
        <f>_xlfn.XLOOKUP(A1182,'Data Cleaning'!A1182:A2651,'Data Cleaning'!K1182:K2651)</f>
        <v>0</v>
      </c>
      <c r="D1182" t="str">
        <f>_xlfn.XLOOKUP(A1182,'Data Cleaning'!A1182:A2651, 'Data Cleaning'!D1182:D2651)</f>
        <v>Bachelor</v>
      </c>
      <c r="E1182" s="3" t="str">
        <f>_xlfn.XLOOKUP(A1182,'Data Cleaning'!A1182:A2651, 'Data Cleaning'!E1182:E2651)</f>
        <v>Divorced</v>
      </c>
      <c r="F1182" t="str">
        <f>_xlfn.XLOOKUP(A1182,'Data Cleaning'!A1182:A2651, 'Data Cleaning'!F1182:F2651)</f>
        <v>Mid</v>
      </c>
      <c r="G1182" s="3" t="str">
        <f>_xlfn.XLOOKUP(A1182,'Data Cleaning'!A1182:A2651, 'Data Cleaning'!J1182:J2651)</f>
        <v>Long Promotion gap</v>
      </c>
    </row>
    <row r="1183" spans="1:7" x14ac:dyDescent="0.25">
      <c r="A1183" s="3">
        <v>1612</v>
      </c>
      <c r="B1183" s="3" t="str">
        <f>_xlfn.XLOOKUP(A1183,'Data Cleaning'!A1183:A2652, 'Data Cleaning'!I1183:I2652)</f>
        <v>45-54</v>
      </c>
      <c r="C1183">
        <f>_xlfn.XLOOKUP(A1183,'Data Cleaning'!A1183:A2652,'Data Cleaning'!K1183:K2652)</f>
        <v>0</v>
      </c>
      <c r="D1183" t="str">
        <f>_xlfn.XLOOKUP(A1183,'Data Cleaning'!A1183:A2652, 'Data Cleaning'!D1183:D2652)</f>
        <v>Bachelor</v>
      </c>
      <c r="E1183" s="3" t="str">
        <f>_xlfn.XLOOKUP(A1183,'Data Cleaning'!A1183:A2652, 'Data Cleaning'!E1183:E2652)</f>
        <v>Married</v>
      </c>
      <c r="F1183" t="str">
        <f>_xlfn.XLOOKUP(A1183,'Data Cleaning'!A1183:A2652, 'Data Cleaning'!F1183:F2652)</f>
        <v>Low</v>
      </c>
      <c r="G1183" s="3" t="str">
        <f>_xlfn.XLOOKUP(A1183,'Data Cleaning'!A1183:A2652, 'Data Cleaning'!J1183:J2652)</f>
        <v>Long Promotion gap</v>
      </c>
    </row>
    <row r="1184" spans="1:7" x14ac:dyDescent="0.25">
      <c r="A1184" s="3">
        <v>710</v>
      </c>
      <c r="B1184" s="3" t="str">
        <f>_xlfn.XLOOKUP(A1184,'Data Cleaning'!A1184:A2653, 'Data Cleaning'!I1184:I2653)</f>
        <v>25-34</v>
      </c>
      <c r="C1184">
        <f>_xlfn.XLOOKUP(A1184,'Data Cleaning'!A1184:A2653,'Data Cleaning'!K1184:K2653)</f>
        <v>0</v>
      </c>
      <c r="D1184" t="str">
        <f>_xlfn.XLOOKUP(A1184,'Data Cleaning'!A1184:A2653, 'Data Cleaning'!D1184:D2653)</f>
        <v>Master</v>
      </c>
      <c r="E1184" s="3" t="str">
        <f>_xlfn.XLOOKUP(A1184,'Data Cleaning'!A1184:A2653, 'Data Cleaning'!E1184:E2653)</f>
        <v>Divorced</v>
      </c>
      <c r="F1184" t="str">
        <f>_xlfn.XLOOKUP(A1184,'Data Cleaning'!A1184:A2653, 'Data Cleaning'!F1184:F2653)</f>
        <v>Low</v>
      </c>
      <c r="G1184" s="3" t="str">
        <f>_xlfn.XLOOKUP(A1184,'Data Cleaning'!A1184:A2653, 'Data Cleaning'!J1184:J2653)</f>
        <v>Promoted in 1-3 years</v>
      </c>
    </row>
    <row r="1185" spans="1:7" x14ac:dyDescent="0.25">
      <c r="A1185" s="3">
        <v>592</v>
      </c>
      <c r="B1185" s="3" t="str">
        <f>_xlfn.XLOOKUP(A1185,'Data Cleaning'!A1185:A2654, 'Data Cleaning'!I1185:I2654)</f>
        <v>35-44</v>
      </c>
      <c r="C1185">
        <f>_xlfn.XLOOKUP(A1185,'Data Cleaning'!A1185:A2654,'Data Cleaning'!K1185:K2654)</f>
        <v>0</v>
      </c>
      <c r="D1185" t="str">
        <f>_xlfn.XLOOKUP(A1185,'Data Cleaning'!A1185:A2654, 'Data Cleaning'!D1185:D2654)</f>
        <v>Master</v>
      </c>
      <c r="E1185" s="3" t="str">
        <f>_xlfn.XLOOKUP(A1185,'Data Cleaning'!A1185:A2654, 'Data Cleaning'!E1185:E2654)</f>
        <v>Single</v>
      </c>
      <c r="F1185" t="str">
        <f>_xlfn.XLOOKUP(A1185,'Data Cleaning'!A1185:A2654, 'Data Cleaning'!F1185:F2654)</f>
        <v>None</v>
      </c>
      <c r="G1185" s="3" t="str">
        <f>_xlfn.XLOOKUP(A1185,'Data Cleaning'!A1185:A2654, 'Data Cleaning'!J1185:J2654)</f>
        <v>Long Promotion gap</v>
      </c>
    </row>
    <row r="1186" spans="1:7" x14ac:dyDescent="0.25">
      <c r="A1186" s="3">
        <v>772</v>
      </c>
      <c r="B1186" s="3" t="str">
        <f>_xlfn.XLOOKUP(A1186,'Data Cleaning'!A1186:A2655, 'Data Cleaning'!I1186:I2655)</f>
        <v>25-34</v>
      </c>
      <c r="C1186">
        <f>_xlfn.XLOOKUP(A1186,'Data Cleaning'!A1186:A2655,'Data Cleaning'!K1186:K2655)</f>
        <v>0</v>
      </c>
      <c r="D1186" t="str">
        <f>_xlfn.XLOOKUP(A1186,'Data Cleaning'!A1186:A2655, 'Data Cleaning'!D1186:D2655)</f>
        <v>Master</v>
      </c>
      <c r="E1186" s="3" t="str">
        <f>_xlfn.XLOOKUP(A1186,'Data Cleaning'!A1186:A2655, 'Data Cleaning'!E1186:E2655)</f>
        <v>Married</v>
      </c>
      <c r="F1186" t="str">
        <f>_xlfn.XLOOKUP(A1186,'Data Cleaning'!A1186:A2655, 'Data Cleaning'!F1186:F2655)</f>
        <v>Mid</v>
      </c>
      <c r="G1186" s="3" t="str">
        <f>_xlfn.XLOOKUP(A1186,'Data Cleaning'!A1186:A2655, 'Data Cleaning'!J1186:J2655)</f>
        <v>Long Promotion gap</v>
      </c>
    </row>
    <row r="1187" spans="1:7" x14ac:dyDescent="0.25">
      <c r="A1187" s="3">
        <v>1985</v>
      </c>
      <c r="B1187" s="3" t="str">
        <f>_xlfn.XLOOKUP(A1187,'Data Cleaning'!A1187:A2656, 'Data Cleaning'!I1187:I2656)</f>
        <v>35-44</v>
      </c>
      <c r="C1187">
        <f>_xlfn.XLOOKUP(A1187,'Data Cleaning'!A1187:A2656,'Data Cleaning'!K1187:K2656)</f>
        <v>0</v>
      </c>
      <c r="D1187" t="str">
        <f>_xlfn.XLOOKUP(A1187,'Data Cleaning'!A1187:A2656, 'Data Cleaning'!D1187:D2656)</f>
        <v>Bachelor</v>
      </c>
      <c r="E1187" s="3" t="str">
        <f>_xlfn.XLOOKUP(A1187,'Data Cleaning'!A1187:A2656, 'Data Cleaning'!E1187:E2656)</f>
        <v>Married</v>
      </c>
      <c r="F1187" t="str">
        <f>_xlfn.XLOOKUP(A1187,'Data Cleaning'!A1187:A2656, 'Data Cleaning'!F1187:F2656)</f>
        <v>Low</v>
      </c>
      <c r="G1187" s="3" t="str">
        <f>_xlfn.XLOOKUP(A1187,'Data Cleaning'!A1187:A2656, 'Data Cleaning'!J1187:J2656)</f>
        <v>Long Promotion gap</v>
      </c>
    </row>
    <row r="1188" spans="1:7" x14ac:dyDescent="0.25">
      <c r="A1188" s="3">
        <v>428</v>
      </c>
      <c r="B1188" s="3" t="str">
        <f>_xlfn.XLOOKUP(A1188,'Data Cleaning'!A1188:A2657, 'Data Cleaning'!I1188:I2657)</f>
        <v>25-34</v>
      </c>
      <c r="C1188">
        <f>_xlfn.XLOOKUP(A1188,'Data Cleaning'!A1188:A2657,'Data Cleaning'!K1188:K2657)</f>
        <v>0</v>
      </c>
      <c r="D1188" t="str">
        <f>_xlfn.XLOOKUP(A1188,'Data Cleaning'!A1188:A2657, 'Data Cleaning'!D1188:D2657)</f>
        <v>Master</v>
      </c>
      <c r="E1188" s="3" t="str">
        <f>_xlfn.XLOOKUP(A1188,'Data Cleaning'!A1188:A2657, 'Data Cleaning'!E1188:E2657)</f>
        <v>Married</v>
      </c>
      <c r="F1188" t="str">
        <f>_xlfn.XLOOKUP(A1188,'Data Cleaning'!A1188:A2657, 'Data Cleaning'!F1188:F2657)</f>
        <v>Mid</v>
      </c>
      <c r="G1188" s="3" t="str">
        <f>_xlfn.XLOOKUP(A1188,'Data Cleaning'!A1188:A2657, 'Data Cleaning'!J1188:J2657)</f>
        <v>Long Promotion gap</v>
      </c>
    </row>
    <row r="1189" spans="1:7" x14ac:dyDescent="0.25">
      <c r="A1189" s="3">
        <v>79</v>
      </c>
      <c r="B1189" s="3" t="str">
        <f>_xlfn.XLOOKUP(A1189,'Data Cleaning'!A1189:A2658, 'Data Cleaning'!I1189:I2658)</f>
        <v>35-44</v>
      </c>
      <c r="C1189">
        <f>_xlfn.XLOOKUP(A1189,'Data Cleaning'!A1189:A2658,'Data Cleaning'!K1189:K2658)</f>
        <v>0</v>
      </c>
      <c r="D1189" t="str">
        <f>_xlfn.XLOOKUP(A1189,'Data Cleaning'!A1189:A2658, 'Data Cleaning'!D1189:D2658)</f>
        <v>Doctor</v>
      </c>
      <c r="E1189" s="3" t="str">
        <f>_xlfn.XLOOKUP(A1189,'Data Cleaning'!A1189:A2658, 'Data Cleaning'!E1189:E2658)</f>
        <v>Single</v>
      </c>
      <c r="F1189" t="str">
        <f>_xlfn.XLOOKUP(A1189,'Data Cleaning'!A1189:A2658, 'Data Cleaning'!F1189:F2658)</f>
        <v>None</v>
      </c>
      <c r="G1189" s="3" t="str">
        <f>_xlfn.XLOOKUP(A1189,'Data Cleaning'!A1189:A2658, 'Data Cleaning'!J1189:J2658)</f>
        <v>Long Promotion gap</v>
      </c>
    </row>
    <row r="1190" spans="1:7" x14ac:dyDescent="0.25">
      <c r="A1190" s="3">
        <v>992</v>
      </c>
      <c r="B1190" s="3" t="str">
        <f>_xlfn.XLOOKUP(A1190,'Data Cleaning'!A1190:A2659, 'Data Cleaning'!I1190:I2659)</f>
        <v>25-34</v>
      </c>
      <c r="C1190">
        <f>_xlfn.XLOOKUP(A1190,'Data Cleaning'!A1190:A2659,'Data Cleaning'!K1190:K2659)</f>
        <v>0</v>
      </c>
      <c r="D1190" t="str">
        <f>_xlfn.XLOOKUP(A1190,'Data Cleaning'!A1190:A2659, 'Data Cleaning'!D1190:D2659)</f>
        <v>Bachelor</v>
      </c>
      <c r="E1190" s="3" t="str">
        <f>_xlfn.XLOOKUP(A1190,'Data Cleaning'!A1190:A2659, 'Data Cleaning'!E1190:E2659)</f>
        <v>Single</v>
      </c>
      <c r="F1190" t="str">
        <f>_xlfn.XLOOKUP(A1190,'Data Cleaning'!A1190:A2659, 'Data Cleaning'!F1190:F2659)</f>
        <v>None</v>
      </c>
      <c r="G1190" s="3" t="str">
        <f>_xlfn.XLOOKUP(A1190,'Data Cleaning'!A1190:A2659, 'Data Cleaning'!J1190:J2659)</f>
        <v>Long Promotion gap</v>
      </c>
    </row>
    <row r="1191" spans="1:7" x14ac:dyDescent="0.25">
      <c r="A1191" s="3">
        <v>1324</v>
      </c>
      <c r="B1191" s="3" t="str">
        <f>_xlfn.XLOOKUP(A1191,'Data Cleaning'!A1191:A2660, 'Data Cleaning'!I1191:I2660)</f>
        <v>25-34</v>
      </c>
      <c r="C1191">
        <f>_xlfn.XLOOKUP(A1191,'Data Cleaning'!A1191:A2660,'Data Cleaning'!K1191:K2660)</f>
        <v>0</v>
      </c>
      <c r="D1191" t="str">
        <f>_xlfn.XLOOKUP(A1191,'Data Cleaning'!A1191:A2660, 'Data Cleaning'!D1191:D2660)</f>
        <v>Master</v>
      </c>
      <c r="E1191" s="3" t="str">
        <f>_xlfn.XLOOKUP(A1191,'Data Cleaning'!A1191:A2660, 'Data Cleaning'!E1191:E2660)</f>
        <v>Divorced</v>
      </c>
      <c r="F1191" t="str">
        <f>_xlfn.XLOOKUP(A1191,'Data Cleaning'!A1191:A2660, 'Data Cleaning'!F1191:F2660)</f>
        <v>Low</v>
      </c>
      <c r="G1191" s="3" t="str">
        <f>_xlfn.XLOOKUP(A1191,'Data Cleaning'!A1191:A2660, 'Data Cleaning'!J1191:J2660)</f>
        <v>Long Promotion gap</v>
      </c>
    </row>
    <row r="1192" spans="1:7" x14ac:dyDescent="0.25">
      <c r="A1192" s="3">
        <v>1315</v>
      </c>
      <c r="B1192" s="3" t="str">
        <f>_xlfn.XLOOKUP(A1192,'Data Cleaning'!A1192:A2661, 'Data Cleaning'!I1192:I2661)</f>
        <v>25-34</v>
      </c>
      <c r="C1192">
        <f>_xlfn.XLOOKUP(A1192,'Data Cleaning'!A1192:A2661,'Data Cleaning'!K1192:K2661)</f>
        <v>0</v>
      </c>
      <c r="D1192" t="str">
        <f>_xlfn.XLOOKUP(A1192,'Data Cleaning'!A1192:A2661, 'Data Cleaning'!D1192:D2661)</f>
        <v>Bachelor</v>
      </c>
      <c r="E1192" s="3" t="str">
        <f>_xlfn.XLOOKUP(A1192,'Data Cleaning'!A1192:A2661, 'Data Cleaning'!E1192:E2661)</f>
        <v>Married</v>
      </c>
      <c r="F1192" t="str">
        <f>_xlfn.XLOOKUP(A1192,'Data Cleaning'!A1192:A2661, 'Data Cleaning'!F1192:F2661)</f>
        <v>High</v>
      </c>
      <c r="G1192" s="3" t="str">
        <f>_xlfn.XLOOKUP(A1192,'Data Cleaning'!A1192:A2661, 'Data Cleaning'!J1192:J2661)</f>
        <v>Long Promotion gap</v>
      </c>
    </row>
    <row r="1193" spans="1:7" x14ac:dyDescent="0.25">
      <c r="A1193" s="3">
        <v>1468</v>
      </c>
      <c r="B1193" s="3" t="str">
        <f>_xlfn.XLOOKUP(A1193,'Data Cleaning'!A1193:A2662, 'Data Cleaning'!I1193:I2662)</f>
        <v>35-44</v>
      </c>
      <c r="C1193">
        <f>_xlfn.XLOOKUP(A1193,'Data Cleaning'!A1193:A2662,'Data Cleaning'!K1193:K2662)</f>
        <v>0</v>
      </c>
      <c r="D1193" t="str">
        <f>_xlfn.XLOOKUP(A1193,'Data Cleaning'!A1193:A2662, 'Data Cleaning'!D1193:D2662)</f>
        <v>Below College</v>
      </c>
      <c r="E1193" s="3" t="str">
        <f>_xlfn.XLOOKUP(A1193,'Data Cleaning'!A1193:A2662, 'Data Cleaning'!E1193:E2662)</f>
        <v>Divorced</v>
      </c>
      <c r="F1193" t="str">
        <f>_xlfn.XLOOKUP(A1193,'Data Cleaning'!A1193:A2662, 'Data Cleaning'!F1193:F2662)</f>
        <v>Low</v>
      </c>
      <c r="G1193" s="3" t="str">
        <f>_xlfn.XLOOKUP(A1193,'Data Cleaning'!A1193:A2662, 'Data Cleaning'!J1193:J2662)</f>
        <v>Long Promotion gap</v>
      </c>
    </row>
    <row r="1194" spans="1:7" x14ac:dyDescent="0.25">
      <c r="A1194" s="3">
        <v>154</v>
      </c>
      <c r="B1194" s="3" t="str">
        <f>_xlfn.XLOOKUP(A1194,'Data Cleaning'!A1194:A2663, 'Data Cleaning'!I1194:I2663)</f>
        <v>35-44</v>
      </c>
      <c r="C1194">
        <f>_xlfn.XLOOKUP(A1194,'Data Cleaning'!A1194:A2663,'Data Cleaning'!K1194:K2663)</f>
        <v>0</v>
      </c>
      <c r="D1194" t="str">
        <f>_xlfn.XLOOKUP(A1194,'Data Cleaning'!A1194:A2663, 'Data Cleaning'!D1194:D2663)</f>
        <v>College</v>
      </c>
      <c r="E1194" s="3" t="str">
        <f>_xlfn.XLOOKUP(A1194,'Data Cleaning'!A1194:A2663, 'Data Cleaning'!E1194:E2663)</f>
        <v>Married</v>
      </c>
      <c r="F1194" t="str">
        <f>_xlfn.XLOOKUP(A1194,'Data Cleaning'!A1194:A2663, 'Data Cleaning'!F1194:F2663)</f>
        <v>Low</v>
      </c>
      <c r="G1194" s="3" t="str">
        <f>_xlfn.XLOOKUP(A1194,'Data Cleaning'!A1194:A2663, 'Data Cleaning'!J1194:J2663)</f>
        <v>Promoted in 1-3 years</v>
      </c>
    </row>
    <row r="1195" spans="1:7" x14ac:dyDescent="0.25">
      <c r="A1195" s="3">
        <v>207</v>
      </c>
      <c r="B1195" s="3" t="str">
        <f>_xlfn.XLOOKUP(A1195,'Data Cleaning'!A1195:A2664, 'Data Cleaning'!I1195:I2664)</f>
        <v>25-34</v>
      </c>
      <c r="C1195">
        <f>_xlfn.XLOOKUP(A1195,'Data Cleaning'!A1195:A2664,'Data Cleaning'!K1195:K2664)</f>
        <v>0</v>
      </c>
      <c r="D1195" t="str">
        <f>_xlfn.XLOOKUP(A1195,'Data Cleaning'!A1195:A2664, 'Data Cleaning'!D1195:D2664)</f>
        <v>Bachelor</v>
      </c>
      <c r="E1195" s="3" t="str">
        <f>_xlfn.XLOOKUP(A1195,'Data Cleaning'!A1195:A2664, 'Data Cleaning'!E1195:E2664)</f>
        <v>Single</v>
      </c>
      <c r="F1195" t="str">
        <f>_xlfn.XLOOKUP(A1195,'Data Cleaning'!A1195:A2664, 'Data Cleaning'!F1195:F2664)</f>
        <v>None</v>
      </c>
      <c r="G1195" s="3" t="str">
        <f>_xlfn.XLOOKUP(A1195,'Data Cleaning'!A1195:A2664, 'Data Cleaning'!J1195:J2664)</f>
        <v>Promoted in 1-3 years</v>
      </c>
    </row>
    <row r="1196" spans="1:7" x14ac:dyDescent="0.25">
      <c r="A1196" s="3">
        <v>1615</v>
      </c>
      <c r="B1196" s="3" t="str">
        <f>_xlfn.XLOOKUP(A1196,'Data Cleaning'!A1196:A2665, 'Data Cleaning'!I1196:I2665)</f>
        <v>25-34</v>
      </c>
      <c r="C1196">
        <f>_xlfn.XLOOKUP(A1196,'Data Cleaning'!A1196:A2665,'Data Cleaning'!K1196:K2665)</f>
        <v>0</v>
      </c>
      <c r="D1196" t="str">
        <f>_xlfn.XLOOKUP(A1196,'Data Cleaning'!A1196:A2665, 'Data Cleaning'!D1196:D2665)</f>
        <v>Master</v>
      </c>
      <c r="E1196" s="3" t="str">
        <f>_xlfn.XLOOKUP(A1196,'Data Cleaning'!A1196:A2665, 'Data Cleaning'!E1196:E2665)</f>
        <v>Divorced</v>
      </c>
      <c r="F1196" t="str">
        <f>_xlfn.XLOOKUP(A1196,'Data Cleaning'!A1196:A2665, 'Data Cleaning'!F1196:F2665)</f>
        <v>Low</v>
      </c>
      <c r="G1196" s="3" t="str">
        <f>_xlfn.XLOOKUP(A1196,'Data Cleaning'!A1196:A2665, 'Data Cleaning'!J1196:J2665)</f>
        <v>Long Promotion gap</v>
      </c>
    </row>
    <row r="1197" spans="1:7" x14ac:dyDescent="0.25">
      <c r="A1197" s="3">
        <v>1633</v>
      </c>
      <c r="B1197" s="3" t="str">
        <f>_xlfn.XLOOKUP(A1197,'Data Cleaning'!A1197:A2666, 'Data Cleaning'!I1197:I2666)</f>
        <v>35-44</v>
      </c>
      <c r="C1197">
        <f>_xlfn.XLOOKUP(A1197,'Data Cleaning'!A1197:A2666,'Data Cleaning'!K1197:K2666)</f>
        <v>0</v>
      </c>
      <c r="D1197" t="str">
        <f>_xlfn.XLOOKUP(A1197,'Data Cleaning'!A1197:A2666, 'Data Cleaning'!D1197:D2666)</f>
        <v>Bachelor</v>
      </c>
      <c r="E1197" s="3" t="str">
        <f>_xlfn.XLOOKUP(A1197,'Data Cleaning'!A1197:A2666, 'Data Cleaning'!E1197:E2666)</f>
        <v>Single</v>
      </c>
      <c r="F1197" t="str">
        <f>_xlfn.XLOOKUP(A1197,'Data Cleaning'!A1197:A2666, 'Data Cleaning'!F1197:F2666)</f>
        <v>None</v>
      </c>
      <c r="G1197" s="3" t="str">
        <f>_xlfn.XLOOKUP(A1197,'Data Cleaning'!A1197:A2666, 'Data Cleaning'!J1197:J2666)</f>
        <v>Promoted in 1-3 years</v>
      </c>
    </row>
    <row r="1198" spans="1:7" x14ac:dyDescent="0.25">
      <c r="A1198" s="3">
        <v>626</v>
      </c>
      <c r="B1198" s="3" t="str">
        <f>_xlfn.XLOOKUP(A1198,'Data Cleaning'!A1198:A2667, 'Data Cleaning'!I1198:I2667)</f>
        <v>35-44</v>
      </c>
      <c r="C1198">
        <f>_xlfn.XLOOKUP(A1198,'Data Cleaning'!A1198:A2667,'Data Cleaning'!K1198:K2667)</f>
        <v>0</v>
      </c>
      <c r="D1198" t="str">
        <f>_xlfn.XLOOKUP(A1198,'Data Cleaning'!A1198:A2667, 'Data Cleaning'!D1198:D2667)</f>
        <v>Master</v>
      </c>
      <c r="E1198" s="3" t="str">
        <f>_xlfn.XLOOKUP(A1198,'Data Cleaning'!A1198:A2667, 'Data Cleaning'!E1198:E2667)</f>
        <v>Divorced</v>
      </c>
      <c r="F1198" t="str">
        <f>_xlfn.XLOOKUP(A1198,'Data Cleaning'!A1198:A2667, 'Data Cleaning'!F1198:F2667)</f>
        <v>Low</v>
      </c>
      <c r="G1198" s="3" t="str">
        <f>_xlfn.XLOOKUP(A1198,'Data Cleaning'!A1198:A2667, 'Data Cleaning'!J1198:J2667)</f>
        <v>Long Promotion gap</v>
      </c>
    </row>
    <row r="1199" spans="1:7" x14ac:dyDescent="0.25">
      <c r="A1199" s="3">
        <v>1074</v>
      </c>
      <c r="B1199" s="3" t="str">
        <f>_xlfn.XLOOKUP(A1199,'Data Cleaning'!A1199:A2668, 'Data Cleaning'!I1199:I2668)</f>
        <v>55-60</v>
      </c>
      <c r="C1199">
        <f>_xlfn.XLOOKUP(A1199,'Data Cleaning'!A1199:A2668,'Data Cleaning'!K1199:K2668)</f>
        <v>0</v>
      </c>
      <c r="D1199" t="str">
        <f>_xlfn.XLOOKUP(A1199,'Data Cleaning'!A1199:A2668, 'Data Cleaning'!D1199:D2668)</f>
        <v>Below College</v>
      </c>
      <c r="E1199" s="3" t="str">
        <f>_xlfn.XLOOKUP(A1199,'Data Cleaning'!A1199:A2668, 'Data Cleaning'!E1199:E2668)</f>
        <v>Single</v>
      </c>
      <c r="F1199" t="str">
        <f>_xlfn.XLOOKUP(A1199,'Data Cleaning'!A1199:A2668, 'Data Cleaning'!F1199:F2668)</f>
        <v>None</v>
      </c>
      <c r="G1199" s="3" t="str">
        <f>_xlfn.XLOOKUP(A1199,'Data Cleaning'!A1199:A2668, 'Data Cleaning'!J1199:J2668)</f>
        <v>Long Promotion gap</v>
      </c>
    </row>
    <row r="1200" spans="1:7" x14ac:dyDescent="0.25">
      <c r="A1200" s="3">
        <v>567</v>
      </c>
      <c r="B1200" s="3" t="str">
        <f>_xlfn.XLOOKUP(A1200,'Data Cleaning'!A1200:A2669, 'Data Cleaning'!I1200:I2669)</f>
        <v>25-34</v>
      </c>
      <c r="C1200">
        <f>_xlfn.XLOOKUP(A1200,'Data Cleaning'!A1200:A2669,'Data Cleaning'!K1200:K2669)</f>
        <v>0</v>
      </c>
      <c r="D1200" t="str">
        <f>_xlfn.XLOOKUP(A1200,'Data Cleaning'!A1200:A2669, 'Data Cleaning'!D1200:D2669)</f>
        <v>Master</v>
      </c>
      <c r="E1200" s="3" t="str">
        <f>_xlfn.XLOOKUP(A1200,'Data Cleaning'!A1200:A2669, 'Data Cleaning'!E1200:E2669)</f>
        <v>Married</v>
      </c>
      <c r="F1200" t="str">
        <f>_xlfn.XLOOKUP(A1200,'Data Cleaning'!A1200:A2669, 'Data Cleaning'!F1200:F2669)</f>
        <v>None</v>
      </c>
      <c r="G1200" s="3" t="str">
        <f>_xlfn.XLOOKUP(A1200,'Data Cleaning'!A1200:A2669, 'Data Cleaning'!J1200:J2669)</f>
        <v>Long Promotion gap</v>
      </c>
    </row>
    <row r="1201" spans="1:7" x14ac:dyDescent="0.25">
      <c r="A1201" s="3">
        <v>1737</v>
      </c>
      <c r="B1201" s="3" t="str">
        <f>_xlfn.XLOOKUP(A1201,'Data Cleaning'!A1201:A2670, 'Data Cleaning'!I1201:I2670)</f>
        <v>35-44</v>
      </c>
      <c r="C1201">
        <f>_xlfn.XLOOKUP(A1201,'Data Cleaning'!A1201:A2670,'Data Cleaning'!K1201:K2670)</f>
        <v>0</v>
      </c>
      <c r="D1201" t="str">
        <f>_xlfn.XLOOKUP(A1201,'Data Cleaning'!A1201:A2670, 'Data Cleaning'!D1201:D2670)</f>
        <v>Bachelor</v>
      </c>
      <c r="E1201" s="3" t="str">
        <f>_xlfn.XLOOKUP(A1201,'Data Cleaning'!A1201:A2670, 'Data Cleaning'!E1201:E2670)</f>
        <v>Married</v>
      </c>
      <c r="F1201" t="str">
        <f>_xlfn.XLOOKUP(A1201,'Data Cleaning'!A1201:A2670, 'Data Cleaning'!F1201:F2670)</f>
        <v>Low</v>
      </c>
      <c r="G1201" s="3" t="str">
        <f>_xlfn.XLOOKUP(A1201,'Data Cleaning'!A1201:A2670, 'Data Cleaning'!J1201:J2670)</f>
        <v>Long Promotion gap</v>
      </c>
    </row>
    <row r="1202" spans="1:7" x14ac:dyDescent="0.25">
      <c r="A1202" s="3">
        <v>311</v>
      </c>
      <c r="B1202" s="3" t="str">
        <f>_xlfn.XLOOKUP(A1202,'Data Cleaning'!A1202:A2671, 'Data Cleaning'!I1202:I2671)</f>
        <v>35-44</v>
      </c>
      <c r="C1202">
        <f>_xlfn.XLOOKUP(A1202,'Data Cleaning'!A1202:A2671,'Data Cleaning'!K1202:K2671)</f>
        <v>0</v>
      </c>
      <c r="D1202" t="str">
        <f>_xlfn.XLOOKUP(A1202,'Data Cleaning'!A1202:A2671, 'Data Cleaning'!D1202:D2671)</f>
        <v>Master</v>
      </c>
      <c r="E1202" s="3" t="str">
        <f>_xlfn.XLOOKUP(A1202,'Data Cleaning'!A1202:A2671, 'Data Cleaning'!E1202:E2671)</f>
        <v>Divorced</v>
      </c>
      <c r="F1202" t="str">
        <f>_xlfn.XLOOKUP(A1202,'Data Cleaning'!A1202:A2671, 'Data Cleaning'!F1202:F2671)</f>
        <v>Low</v>
      </c>
      <c r="G1202" s="3" t="str">
        <f>_xlfn.XLOOKUP(A1202,'Data Cleaning'!A1202:A2671, 'Data Cleaning'!J1202:J2671)</f>
        <v>Long Promotion gap</v>
      </c>
    </row>
    <row r="1203" spans="1:7" x14ac:dyDescent="0.25">
      <c r="A1203" s="3">
        <v>361</v>
      </c>
      <c r="B1203" s="3" t="str">
        <f>_xlfn.XLOOKUP(A1203,'Data Cleaning'!A1203:A2672, 'Data Cleaning'!I1203:I2672)</f>
        <v>35-44</v>
      </c>
      <c r="C1203">
        <f>_xlfn.XLOOKUP(A1203,'Data Cleaning'!A1203:A2672,'Data Cleaning'!K1203:K2672)</f>
        <v>0</v>
      </c>
      <c r="D1203" t="str">
        <f>_xlfn.XLOOKUP(A1203,'Data Cleaning'!A1203:A2672, 'Data Cleaning'!D1203:D2672)</f>
        <v>College</v>
      </c>
      <c r="E1203" s="3" t="str">
        <f>_xlfn.XLOOKUP(A1203,'Data Cleaning'!A1203:A2672, 'Data Cleaning'!E1203:E2672)</f>
        <v>Married</v>
      </c>
      <c r="F1203" t="str">
        <f>_xlfn.XLOOKUP(A1203,'Data Cleaning'!A1203:A2672, 'Data Cleaning'!F1203:F2672)</f>
        <v>Low</v>
      </c>
      <c r="G1203" s="3" t="str">
        <f>_xlfn.XLOOKUP(A1203,'Data Cleaning'!A1203:A2672, 'Data Cleaning'!J1203:J2672)</f>
        <v>Long Promotion gap</v>
      </c>
    </row>
    <row r="1204" spans="1:7" x14ac:dyDescent="0.25">
      <c r="A1204" s="3">
        <v>238</v>
      </c>
      <c r="B1204" s="3" t="str">
        <f>_xlfn.XLOOKUP(A1204,'Data Cleaning'!A1204:A2673, 'Data Cleaning'!I1204:I2673)</f>
        <v>35-44</v>
      </c>
      <c r="C1204">
        <f>_xlfn.XLOOKUP(A1204,'Data Cleaning'!A1204:A2673,'Data Cleaning'!K1204:K2673)</f>
        <v>0</v>
      </c>
      <c r="D1204" t="str">
        <f>_xlfn.XLOOKUP(A1204,'Data Cleaning'!A1204:A2673, 'Data Cleaning'!D1204:D2673)</f>
        <v>College</v>
      </c>
      <c r="E1204" s="3" t="str">
        <f>_xlfn.XLOOKUP(A1204,'Data Cleaning'!A1204:A2673, 'Data Cleaning'!E1204:E2673)</f>
        <v>Single</v>
      </c>
      <c r="F1204" t="str">
        <f>_xlfn.XLOOKUP(A1204,'Data Cleaning'!A1204:A2673, 'Data Cleaning'!F1204:F2673)</f>
        <v>None</v>
      </c>
      <c r="G1204" s="3" t="str">
        <f>_xlfn.XLOOKUP(A1204,'Data Cleaning'!A1204:A2673, 'Data Cleaning'!J1204:J2673)</f>
        <v>Long Promotion gap</v>
      </c>
    </row>
    <row r="1205" spans="1:7" x14ac:dyDescent="0.25">
      <c r="A1205" s="3">
        <v>5</v>
      </c>
      <c r="B1205" s="3" t="str">
        <f>_xlfn.XLOOKUP(A1205,'Data Cleaning'!A1205:A2674, 'Data Cleaning'!I1205:I2674)</f>
        <v>25-34</v>
      </c>
      <c r="C1205">
        <f>_xlfn.XLOOKUP(A1205,'Data Cleaning'!A1205:A2674,'Data Cleaning'!K1205:K2674)</f>
        <v>0</v>
      </c>
      <c r="D1205" t="str">
        <f>_xlfn.XLOOKUP(A1205,'Data Cleaning'!A1205:A2674, 'Data Cleaning'!D1205:D2674)</f>
        <v>Master</v>
      </c>
      <c r="E1205" s="3" t="str">
        <f>_xlfn.XLOOKUP(A1205,'Data Cleaning'!A1205:A2674, 'Data Cleaning'!E1205:E2674)</f>
        <v>Married</v>
      </c>
      <c r="F1205" t="str">
        <f>_xlfn.XLOOKUP(A1205,'Data Cleaning'!A1205:A2674, 'Data Cleaning'!F1205:F2674)</f>
        <v>None</v>
      </c>
      <c r="G1205" s="3" t="str">
        <f>_xlfn.XLOOKUP(A1205,'Data Cleaning'!A1205:A2674, 'Data Cleaning'!J1205:J2674)</f>
        <v>Promoted in 1-3 years</v>
      </c>
    </row>
    <row r="1206" spans="1:7" x14ac:dyDescent="0.25">
      <c r="A1206" s="3">
        <v>1997</v>
      </c>
      <c r="B1206" s="3" t="str">
        <f>_xlfn.XLOOKUP(A1206,'Data Cleaning'!A1206:A2675, 'Data Cleaning'!I1206:I2675)</f>
        <v>35-44</v>
      </c>
      <c r="C1206">
        <f>_xlfn.XLOOKUP(A1206,'Data Cleaning'!A1206:A2675,'Data Cleaning'!K1206:K2675)</f>
        <v>0</v>
      </c>
      <c r="D1206" t="str">
        <f>_xlfn.XLOOKUP(A1206,'Data Cleaning'!A1206:A2675, 'Data Cleaning'!D1206:D2675)</f>
        <v>Master</v>
      </c>
      <c r="E1206" s="3" t="str">
        <f>_xlfn.XLOOKUP(A1206,'Data Cleaning'!A1206:A2675, 'Data Cleaning'!E1206:E2675)</f>
        <v>Married</v>
      </c>
      <c r="F1206" t="str">
        <f>_xlfn.XLOOKUP(A1206,'Data Cleaning'!A1206:A2675, 'Data Cleaning'!F1206:F2675)</f>
        <v>Low</v>
      </c>
      <c r="G1206" s="3" t="str">
        <f>_xlfn.XLOOKUP(A1206,'Data Cleaning'!A1206:A2675, 'Data Cleaning'!J1206:J2675)</f>
        <v>Long Promotion gap</v>
      </c>
    </row>
    <row r="1207" spans="1:7" x14ac:dyDescent="0.25">
      <c r="A1207" s="3">
        <v>663</v>
      </c>
      <c r="B1207" s="3" t="str">
        <f>_xlfn.XLOOKUP(A1207,'Data Cleaning'!A1207:A2676, 'Data Cleaning'!I1207:I2676)</f>
        <v>35-44</v>
      </c>
      <c r="C1207">
        <f>_xlfn.XLOOKUP(A1207,'Data Cleaning'!A1207:A2676,'Data Cleaning'!K1207:K2676)</f>
        <v>0</v>
      </c>
      <c r="D1207" t="str">
        <f>_xlfn.XLOOKUP(A1207,'Data Cleaning'!A1207:A2676, 'Data Cleaning'!D1207:D2676)</f>
        <v>Doctor</v>
      </c>
      <c r="E1207" s="3" t="str">
        <f>_xlfn.XLOOKUP(A1207,'Data Cleaning'!A1207:A2676, 'Data Cleaning'!E1207:E2676)</f>
        <v>Divorced</v>
      </c>
      <c r="F1207" t="str">
        <f>_xlfn.XLOOKUP(A1207,'Data Cleaning'!A1207:A2676, 'Data Cleaning'!F1207:F2676)</f>
        <v>Low</v>
      </c>
      <c r="G1207" s="3" t="str">
        <f>_xlfn.XLOOKUP(A1207,'Data Cleaning'!A1207:A2676, 'Data Cleaning'!J1207:J2676)</f>
        <v>Long Promotion gap</v>
      </c>
    </row>
    <row r="1208" spans="1:7" x14ac:dyDescent="0.25">
      <c r="A1208" s="3">
        <v>1034</v>
      </c>
      <c r="B1208" s="3" t="str">
        <f>_xlfn.XLOOKUP(A1208,'Data Cleaning'!A1208:A2677, 'Data Cleaning'!I1208:I2677)</f>
        <v>55-60</v>
      </c>
      <c r="C1208">
        <f>_xlfn.XLOOKUP(A1208,'Data Cleaning'!A1208:A2677,'Data Cleaning'!K1208:K2677)</f>
        <v>0</v>
      </c>
      <c r="D1208" t="str">
        <f>_xlfn.XLOOKUP(A1208,'Data Cleaning'!A1208:A2677, 'Data Cleaning'!D1208:D2677)</f>
        <v>Master</v>
      </c>
      <c r="E1208" s="3" t="str">
        <f>_xlfn.XLOOKUP(A1208,'Data Cleaning'!A1208:A2677, 'Data Cleaning'!E1208:E2677)</f>
        <v>Married</v>
      </c>
      <c r="F1208" t="str">
        <f>_xlfn.XLOOKUP(A1208,'Data Cleaning'!A1208:A2677, 'Data Cleaning'!F1208:F2677)</f>
        <v>Mid</v>
      </c>
      <c r="G1208" s="3" t="str">
        <f>_xlfn.XLOOKUP(A1208,'Data Cleaning'!A1208:A2677, 'Data Cleaning'!J1208:J2677)</f>
        <v>Long Promotion gap</v>
      </c>
    </row>
    <row r="1209" spans="1:7" x14ac:dyDescent="0.25">
      <c r="A1209" s="3">
        <v>1297</v>
      </c>
      <c r="B1209" s="3" t="str">
        <f>_xlfn.XLOOKUP(A1209,'Data Cleaning'!A1209:A2678, 'Data Cleaning'!I1209:I2678)</f>
        <v>45-54</v>
      </c>
      <c r="C1209">
        <f>_xlfn.XLOOKUP(A1209,'Data Cleaning'!A1209:A2678,'Data Cleaning'!K1209:K2678)</f>
        <v>0</v>
      </c>
      <c r="D1209" t="str">
        <f>_xlfn.XLOOKUP(A1209,'Data Cleaning'!A1209:A2678, 'Data Cleaning'!D1209:D2678)</f>
        <v>College</v>
      </c>
      <c r="E1209" s="3" t="str">
        <f>_xlfn.XLOOKUP(A1209,'Data Cleaning'!A1209:A2678, 'Data Cleaning'!E1209:E2678)</f>
        <v>Single</v>
      </c>
      <c r="F1209" t="str">
        <f>_xlfn.XLOOKUP(A1209,'Data Cleaning'!A1209:A2678, 'Data Cleaning'!F1209:F2678)</f>
        <v>None</v>
      </c>
      <c r="G1209" s="3" t="str">
        <f>_xlfn.XLOOKUP(A1209,'Data Cleaning'!A1209:A2678, 'Data Cleaning'!J1209:J2678)</f>
        <v>Long Promotion gap</v>
      </c>
    </row>
    <row r="1210" spans="1:7" x14ac:dyDescent="0.25">
      <c r="A1210" s="3">
        <v>532</v>
      </c>
      <c r="B1210" s="3" t="str">
        <f>_xlfn.XLOOKUP(A1210,'Data Cleaning'!A1210:A2679, 'Data Cleaning'!I1210:I2679)</f>
        <v>55-60</v>
      </c>
      <c r="C1210">
        <f>_xlfn.XLOOKUP(A1210,'Data Cleaning'!A1210:A2679,'Data Cleaning'!K1210:K2679)</f>
        <v>0</v>
      </c>
      <c r="D1210" t="str">
        <f>_xlfn.XLOOKUP(A1210,'Data Cleaning'!A1210:A2679, 'Data Cleaning'!D1210:D2679)</f>
        <v>Bachelor</v>
      </c>
      <c r="E1210" s="3" t="str">
        <f>_xlfn.XLOOKUP(A1210,'Data Cleaning'!A1210:A2679, 'Data Cleaning'!E1210:E2679)</f>
        <v>Married</v>
      </c>
      <c r="F1210" t="str">
        <f>_xlfn.XLOOKUP(A1210,'Data Cleaning'!A1210:A2679, 'Data Cleaning'!F1210:F2679)</f>
        <v>High</v>
      </c>
      <c r="G1210" s="3" t="str">
        <f>_xlfn.XLOOKUP(A1210,'Data Cleaning'!A1210:A2679, 'Data Cleaning'!J1210:J2679)</f>
        <v>Long Promotion gap</v>
      </c>
    </row>
    <row r="1211" spans="1:7" x14ac:dyDescent="0.25">
      <c r="A1211" s="3">
        <v>8</v>
      </c>
      <c r="B1211" s="3" t="str">
        <f>_xlfn.XLOOKUP(A1211,'Data Cleaning'!A1211:A2680, 'Data Cleaning'!I1211:I2680)</f>
        <v>25-34</v>
      </c>
      <c r="C1211">
        <f>_xlfn.XLOOKUP(A1211,'Data Cleaning'!A1211:A2680,'Data Cleaning'!K1211:K2680)</f>
        <v>0</v>
      </c>
      <c r="D1211" t="str">
        <f>_xlfn.XLOOKUP(A1211,'Data Cleaning'!A1211:A2680, 'Data Cleaning'!D1211:D2680)</f>
        <v>College</v>
      </c>
      <c r="E1211" s="3" t="str">
        <f>_xlfn.XLOOKUP(A1211,'Data Cleaning'!A1211:A2680, 'Data Cleaning'!E1211:E2680)</f>
        <v>Single</v>
      </c>
      <c r="F1211" t="str">
        <f>_xlfn.XLOOKUP(A1211,'Data Cleaning'!A1211:A2680, 'Data Cleaning'!F1211:F2680)</f>
        <v>None</v>
      </c>
      <c r="G1211" s="3" t="str">
        <f>_xlfn.XLOOKUP(A1211,'Data Cleaning'!A1211:A2680, 'Data Cleaning'!J1211:J2680)</f>
        <v>Promoted in 1-3 years</v>
      </c>
    </row>
    <row r="1212" spans="1:7" x14ac:dyDescent="0.25">
      <c r="A1212" s="3">
        <v>1918</v>
      </c>
      <c r="B1212" s="3" t="str">
        <f>_xlfn.XLOOKUP(A1212,'Data Cleaning'!A1212:A2681, 'Data Cleaning'!I1212:I2681)</f>
        <v>25-34</v>
      </c>
      <c r="C1212">
        <f>_xlfn.XLOOKUP(A1212,'Data Cleaning'!A1212:A2681,'Data Cleaning'!K1212:K2681)</f>
        <v>0</v>
      </c>
      <c r="D1212" t="str">
        <f>_xlfn.XLOOKUP(A1212,'Data Cleaning'!A1212:A2681, 'Data Cleaning'!D1212:D2681)</f>
        <v>Bachelor</v>
      </c>
      <c r="E1212" s="3" t="str">
        <f>_xlfn.XLOOKUP(A1212,'Data Cleaning'!A1212:A2681, 'Data Cleaning'!E1212:E2681)</f>
        <v>Married</v>
      </c>
      <c r="F1212" t="str">
        <f>_xlfn.XLOOKUP(A1212,'Data Cleaning'!A1212:A2681, 'Data Cleaning'!F1212:F2681)</f>
        <v>Low</v>
      </c>
      <c r="G1212" s="3" t="str">
        <f>_xlfn.XLOOKUP(A1212,'Data Cleaning'!A1212:A2681, 'Data Cleaning'!J1212:J2681)</f>
        <v>Long Promotion gap</v>
      </c>
    </row>
    <row r="1213" spans="1:7" x14ac:dyDescent="0.25">
      <c r="A1213" s="3">
        <v>1870</v>
      </c>
      <c r="B1213" s="3" t="str">
        <f>_xlfn.XLOOKUP(A1213,'Data Cleaning'!A1213:A2682, 'Data Cleaning'!I1213:I2682)</f>
        <v>25-34</v>
      </c>
      <c r="C1213">
        <f>_xlfn.XLOOKUP(A1213,'Data Cleaning'!A1213:A2682,'Data Cleaning'!K1213:K2682)</f>
        <v>0</v>
      </c>
      <c r="D1213" t="str">
        <f>_xlfn.XLOOKUP(A1213,'Data Cleaning'!A1213:A2682, 'Data Cleaning'!D1213:D2682)</f>
        <v>Bachelor</v>
      </c>
      <c r="E1213" s="3" t="str">
        <f>_xlfn.XLOOKUP(A1213,'Data Cleaning'!A1213:A2682, 'Data Cleaning'!E1213:E2682)</f>
        <v>Married</v>
      </c>
      <c r="F1213" t="str">
        <f>_xlfn.XLOOKUP(A1213,'Data Cleaning'!A1213:A2682, 'Data Cleaning'!F1213:F2682)</f>
        <v>Low</v>
      </c>
      <c r="G1213" s="3" t="str">
        <f>_xlfn.XLOOKUP(A1213,'Data Cleaning'!A1213:A2682, 'Data Cleaning'!J1213:J2682)</f>
        <v>Long Promotion gap</v>
      </c>
    </row>
    <row r="1214" spans="1:7" x14ac:dyDescent="0.25">
      <c r="A1214" s="3">
        <v>1392</v>
      </c>
      <c r="B1214" s="3" t="str">
        <f>_xlfn.XLOOKUP(A1214,'Data Cleaning'!A1214:A2683, 'Data Cleaning'!I1214:I2683)</f>
        <v>35-44</v>
      </c>
      <c r="C1214">
        <f>_xlfn.XLOOKUP(A1214,'Data Cleaning'!A1214:A2683,'Data Cleaning'!K1214:K2683)</f>
        <v>0</v>
      </c>
      <c r="D1214" t="str">
        <f>_xlfn.XLOOKUP(A1214,'Data Cleaning'!A1214:A2683, 'Data Cleaning'!D1214:D2683)</f>
        <v>Bachelor</v>
      </c>
      <c r="E1214" s="3" t="str">
        <f>_xlfn.XLOOKUP(A1214,'Data Cleaning'!A1214:A2683, 'Data Cleaning'!E1214:E2683)</f>
        <v>Divorced</v>
      </c>
      <c r="F1214" t="str">
        <f>_xlfn.XLOOKUP(A1214,'Data Cleaning'!A1214:A2683, 'Data Cleaning'!F1214:F2683)</f>
        <v>Mid</v>
      </c>
      <c r="G1214" s="3" t="str">
        <f>_xlfn.XLOOKUP(A1214,'Data Cleaning'!A1214:A2683, 'Data Cleaning'!J1214:J2683)</f>
        <v>Promoted in 1-3 years</v>
      </c>
    </row>
    <row r="1215" spans="1:7" x14ac:dyDescent="0.25">
      <c r="A1215" s="3">
        <v>262</v>
      </c>
      <c r="B1215" s="3" t="str">
        <f>_xlfn.XLOOKUP(A1215,'Data Cleaning'!A1215:A2684, 'Data Cleaning'!I1215:I2684)</f>
        <v>35-44</v>
      </c>
      <c r="C1215">
        <f>_xlfn.XLOOKUP(A1215,'Data Cleaning'!A1215:A2684,'Data Cleaning'!K1215:K2684)</f>
        <v>0</v>
      </c>
      <c r="D1215" t="str">
        <f>_xlfn.XLOOKUP(A1215,'Data Cleaning'!A1215:A2684, 'Data Cleaning'!D1215:D2684)</f>
        <v>Bachelor</v>
      </c>
      <c r="E1215" s="3" t="str">
        <f>_xlfn.XLOOKUP(A1215,'Data Cleaning'!A1215:A2684, 'Data Cleaning'!E1215:E2684)</f>
        <v>Divorced</v>
      </c>
      <c r="F1215" t="str">
        <f>_xlfn.XLOOKUP(A1215,'Data Cleaning'!A1215:A2684, 'Data Cleaning'!F1215:F2684)</f>
        <v>High</v>
      </c>
      <c r="G1215" s="3" t="str">
        <f>_xlfn.XLOOKUP(A1215,'Data Cleaning'!A1215:A2684, 'Data Cleaning'!J1215:J2684)</f>
        <v>Promoted in 1-3 years</v>
      </c>
    </row>
    <row r="1216" spans="1:7" x14ac:dyDescent="0.25">
      <c r="A1216" s="3">
        <v>902</v>
      </c>
      <c r="B1216" s="3" t="str">
        <f>_xlfn.XLOOKUP(A1216,'Data Cleaning'!A1216:A2685, 'Data Cleaning'!I1216:I2685)</f>
        <v>35-44</v>
      </c>
      <c r="C1216">
        <f>_xlfn.XLOOKUP(A1216,'Data Cleaning'!A1216:A2685,'Data Cleaning'!K1216:K2685)</f>
        <v>0</v>
      </c>
      <c r="D1216" t="str">
        <f>_xlfn.XLOOKUP(A1216,'Data Cleaning'!A1216:A2685, 'Data Cleaning'!D1216:D2685)</f>
        <v>Bachelor</v>
      </c>
      <c r="E1216" s="3" t="str">
        <f>_xlfn.XLOOKUP(A1216,'Data Cleaning'!A1216:A2685, 'Data Cleaning'!E1216:E2685)</f>
        <v>Married</v>
      </c>
      <c r="F1216" t="str">
        <f>_xlfn.XLOOKUP(A1216,'Data Cleaning'!A1216:A2685, 'Data Cleaning'!F1216:F2685)</f>
        <v>Low</v>
      </c>
      <c r="G1216" s="3" t="str">
        <f>_xlfn.XLOOKUP(A1216,'Data Cleaning'!A1216:A2685, 'Data Cleaning'!J1216:J2685)</f>
        <v>Promoted in 1-3 years</v>
      </c>
    </row>
    <row r="1217" spans="1:7" x14ac:dyDescent="0.25">
      <c r="A1217" s="3">
        <v>1941</v>
      </c>
      <c r="B1217" s="3" t="str">
        <f>_xlfn.XLOOKUP(A1217,'Data Cleaning'!A1217:A2686, 'Data Cleaning'!I1217:I2686)</f>
        <v>45-54</v>
      </c>
      <c r="C1217">
        <f>_xlfn.XLOOKUP(A1217,'Data Cleaning'!A1217:A2686,'Data Cleaning'!K1217:K2686)</f>
        <v>0</v>
      </c>
      <c r="D1217" t="str">
        <f>_xlfn.XLOOKUP(A1217,'Data Cleaning'!A1217:A2686, 'Data Cleaning'!D1217:D2686)</f>
        <v>Below College</v>
      </c>
      <c r="E1217" s="3" t="str">
        <f>_xlfn.XLOOKUP(A1217,'Data Cleaning'!A1217:A2686, 'Data Cleaning'!E1217:E2686)</f>
        <v>Married</v>
      </c>
      <c r="F1217" t="str">
        <f>_xlfn.XLOOKUP(A1217,'Data Cleaning'!A1217:A2686, 'Data Cleaning'!F1217:F2686)</f>
        <v>None</v>
      </c>
      <c r="G1217" s="3" t="str">
        <f>_xlfn.XLOOKUP(A1217,'Data Cleaning'!A1217:A2686, 'Data Cleaning'!J1217:J2686)</f>
        <v>Long Promotion gap</v>
      </c>
    </row>
    <row r="1218" spans="1:7" x14ac:dyDescent="0.25">
      <c r="A1218" s="3">
        <v>390</v>
      </c>
      <c r="B1218" s="3" t="str">
        <f>_xlfn.XLOOKUP(A1218,'Data Cleaning'!A1218:A2687, 'Data Cleaning'!I1218:I2687)</f>
        <v>25-34</v>
      </c>
      <c r="C1218">
        <f>_xlfn.XLOOKUP(A1218,'Data Cleaning'!A1218:A2687,'Data Cleaning'!K1218:K2687)</f>
        <v>0</v>
      </c>
      <c r="D1218" t="str">
        <f>_xlfn.XLOOKUP(A1218,'Data Cleaning'!A1218:A2687, 'Data Cleaning'!D1218:D2687)</f>
        <v>College</v>
      </c>
      <c r="E1218" s="3" t="str">
        <f>_xlfn.XLOOKUP(A1218,'Data Cleaning'!A1218:A2687, 'Data Cleaning'!E1218:E2687)</f>
        <v>Married</v>
      </c>
      <c r="F1218" t="str">
        <f>_xlfn.XLOOKUP(A1218,'Data Cleaning'!A1218:A2687, 'Data Cleaning'!F1218:F2687)</f>
        <v>Low</v>
      </c>
      <c r="G1218" s="3" t="str">
        <f>_xlfn.XLOOKUP(A1218,'Data Cleaning'!A1218:A2687, 'Data Cleaning'!J1218:J2687)</f>
        <v>Promoted in 1-3 years</v>
      </c>
    </row>
    <row r="1219" spans="1:7" x14ac:dyDescent="0.25">
      <c r="A1219" s="3">
        <v>148</v>
      </c>
      <c r="B1219" s="3" t="str">
        <f>_xlfn.XLOOKUP(A1219,'Data Cleaning'!A1219:A2688, 'Data Cleaning'!I1219:I2688)</f>
        <v>45-54</v>
      </c>
      <c r="C1219">
        <f>_xlfn.XLOOKUP(A1219,'Data Cleaning'!A1219:A2688,'Data Cleaning'!K1219:K2688)</f>
        <v>0</v>
      </c>
      <c r="D1219" t="str">
        <f>_xlfn.XLOOKUP(A1219,'Data Cleaning'!A1219:A2688, 'Data Cleaning'!D1219:D2688)</f>
        <v>Bachelor</v>
      </c>
      <c r="E1219" s="3" t="str">
        <f>_xlfn.XLOOKUP(A1219,'Data Cleaning'!A1219:A2688, 'Data Cleaning'!E1219:E2688)</f>
        <v>Single</v>
      </c>
      <c r="F1219" t="str">
        <f>_xlfn.XLOOKUP(A1219,'Data Cleaning'!A1219:A2688, 'Data Cleaning'!F1219:F2688)</f>
        <v>None</v>
      </c>
      <c r="G1219" s="3" t="str">
        <f>_xlfn.XLOOKUP(A1219,'Data Cleaning'!A1219:A2688, 'Data Cleaning'!J1219:J2688)</f>
        <v>Long Promotion gap</v>
      </c>
    </row>
    <row r="1220" spans="1:7" x14ac:dyDescent="0.25">
      <c r="A1220" s="3">
        <v>70</v>
      </c>
      <c r="B1220" s="3" t="str">
        <f>_xlfn.XLOOKUP(A1220,'Data Cleaning'!A1220:A2689, 'Data Cleaning'!I1220:I2689)</f>
        <v>35-44</v>
      </c>
      <c r="C1220">
        <f>_xlfn.XLOOKUP(A1220,'Data Cleaning'!A1220:A2689,'Data Cleaning'!K1220:K2689)</f>
        <v>0</v>
      </c>
      <c r="D1220" t="str">
        <f>_xlfn.XLOOKUP(A1220,'Data Cleaning'!A1220:A2689, 'Data Cleaning'!D1220:D2689)</f>
        <v>College</v>
      </c>
      <c r="E1220" s="3" t="str">
        <f>_xlfn.XLOOKUP(A1220,'Data Cleaning'!A1220:A2689, 'Data Cleaning'!E1220:E2689)</f>
        <v>Married</v>
      </c>
      <c r="F1220" t="str">
        <f>_xlfn.XLOOKUP(A1220,'Data Cleaning'!A1220:A2689, 'Data Cleaning'!F1220:F2689)</f>
        <v>Low</v>
      </c>
      <c r="G1220" s="3" t="str">
        <f>_xlfn.XLOOKUP(A1220,'Data Cleaning'!A1220:A2689, 'Data Cleaning'!J1220:J2689)</f>
        <v>Promoted in 1-3 years</v>
      </c>
    </row>
    <row r="1221" spans="1:7" x14ac:dyDescent="0.25">
      <c r="A1221" s="3">
        <v>1948</v>
      </c>
      <c r="B1221" s="3" t="str">
        <f>_xlfn.XLOOKUP(A1221,'Data Cleaning'!A1221:A2690, 'Data Cleaning'!I1221:I2690)</f>
        <v>25-34</v>
      </c>
      <c r="C1221">
        <f>_xlfn.XLOOKUP(A1221,'Data Cleaning'!A1221:A2690,'Data Cleaning'!K1221:K2690)</f>
        <v>0</v>
      </c>
      <c r="D1221" t="str">
        <f>_xlfn.XLOOKUP(A1221,'Data Cleaning'!A1221:A2690, 'Data Cleaning'!D1221:D2690)</f>
        <v>College</v>
      </c>
      <c r="E1221" s="3" t="str">
        <f>_xlfn.XLOOKUP(A1221,'Data Cleaning'!A1221:A2690, 'Data Cleaning'!E1221:E2690)</f>
        <v>Divorced</v>
      </c>
      <c r="F1221" t="str">
        <f>_xlfn.XLOOKUP(A1221,'Data Cleaning'!A1221:A2690, 'Data Cleaning'!F1221:F2690)</f>
        <v>Low</v>
      </c>
      <c r="G1221" s="3" t="str">
        <f>_xlfn.XLOOKUP(A1221,'Data Cleaning'!A1221:A2690, 'Data Cleaning'!J1221:J2690)</f>
        <v>Promoted in 1-3 years</v>
      </c>
    </row>
    <row r="1222" spans="1:7" x14ac:dyDescent="0.25">
      <c r="A1222" s="3">
        <v>333</v>
      </c>
      <c r="B1222" s="3" t="str">
        <f>_xlfn.XLOOKUP(A1222,'Data Cleaning'!A1222:A2691, 'Data Cleaning'!I1222:I2691)</f>
        <v>25-34</v>
      </c>
      <c r="C1222">
        <f>_xlfn.XLOOKUP(A1222,'Data Cleaning'!A1222:A2691,'Data Cleaning'!K1222:K2691)</f>
        <v>0</v>
      </c>
      <c r="D1222" t="str">
        <f>_xlfn.XLOOKUP(A1222,'Data Cleaning'!A1222:A2691, 'Data Cleaning'!D1222:D2691)</f>
        <v>Master</v>
      </c>
      <c r="E1222" s="3" t="str">
        <f>_xlfn.XLOOKUP(A1222,'Data Cleaning'!A1222:A2691, 'Data Cleaning'!E1222:E2691)</f>
        <v>Married</v>
      </c>
      <c r="F1222" t="str">
        <f>_xlfn.XLOOKUP(A1222,'Data Cleaning'!A1222:A2691, 'Data Cleaning'!F1222:F2691)</f>
        <v>None</v>
      </c>
      <c r="G1222" s="3" t="str">
        <f>_xlfn.XLOOKUP(A1222,'Data Cleaning'!A1222:A2691, 'Data Cleaning'!J1222:J2691)</f>
        <v>Promoted in 1-3 years</v>
      </c>
    </row>
    <row r="1223" spans="1:7" x14ac:dyDescent="0.25">
      <c r="A1223" s="3">
        <v>1858</v>
      </c>
      <c r="B1223" s="3" t="str">
        <f>_xlfn.XLOOKUP(A1223,'Data Cleaning'!A1223:A2692, 'Data Cleaning'!I1223:I2692)</f>
        <v>25-34</v>
      </c>
      <c r="C1223">
        <f>_xlfn.XLOOKUP(A1223,'Data Cleaning'!A1223:A2692,'Data Cleaning'!K1223:K2692)</f>
        <v>0</v>
      </c>
      <c r="D1223" t="str">
        <f>_xlfn.XLOOKUP(A1223,'Data Cleaning'!A1223:A2692, 'Data Cleaning'!D1223:D2692)</f>
        <v>College</v>
      </c>
      <c r="E1223" s="3" t="str">
        <f>_xlfn.XLOOKUP(A1223,'Data Cleaning'!A1223:A2692, 'Data Cleaning'!E1223:E2692)</f>
        <v>Divorced</v>
      </c>
      <c r="F1223" t="str">
        <f>_xlfn.XLOOKUP(A1223,'Data Cleaning'!A1223:A2692, 'Data Cleaning'!F1223:F2692)</f>
        <v>Low</v>
      </c>
      <c r="G1223" s="3" t="str">
        <f>_xlfn.XLOOKUP(A1223,'Data Cleaning'!A1223:A2692, 'Data Cleaning'!J1223:J2692)</f>
        <v>Promoted in 1-3 years</v>
      </c>
    </row>
    <row r="1224" spans="1:7" x14ac:dyDescent="0.25">
      <c r="A1224" s="3">
        <v>1552</v>
      </c>
      <c r="B1224" s="3" t="str">
        <f>_xlfn.XLOOKUP(A1224,'Data Cleaning'!A1224:A2693, 'Data Cleaning'!I1224:I2693)</f>
        <v>35-44</v>
      </c>
      <c r="C1224">
        <f>_xlfn.XLOOKUP(A1224,'Data Cleaning'!A1224:A2693,'Data Cleaning'!K1224:K2693)</f>
        <v>0</v>
      </c>
      <c r="D1224" t="str">
        <f>_xlfn.XLOOKUP(A1224,'Data Cleaning'!A1224:A2693, 'Data Cleaning'!D1224:D2693)</f>
        <v>College</v>
      </c>
      <c r="E1224" s="3" t="str">
        <f>_xlfn.XLOOKUP(A1224,'Data Cleaning'!A1224:A2693, 'Data Cleaning'!E1224:E2693)</f>
        <v>Divorced</v>
      </c>
      <c r="F1224" t="str">
        <f>_xlfn.XLOOKUP(A1224,'Data Cleaning'!A1224:A2693, 'Data Cleaning'!F1224:F2693)</f>
        <v>None</v>
      </c>
      <c r="G1224" s="3" t="str">
        <f>_xlfn.XLOOKUP(A1224,'Data Cleaning'!A1224:A2693, 'Data Cleaning'!J1224:J2693)</f>
        <v>Promoted in 1-3 years</v>
      </c>
    </row>
    <row r="1225" spans="1:7" x14ac:dyDescent="0.25">
      <c r="A1225" s="3">
        <v>1746</v>
      </c>
      <c r="B1225" s="3" t="str">
        <f>_xlfn.XLOOKUP(A1225,'Data Cleaning'!A1225:A2694, 'Data Cleaning'!I1225:I2694)</f>
        <v>18-24</v>
      </c>
      <c r="C1225">
        <f>_xlfn.XLOOKUP(A1225,'Data Cleaning'!A1225:A2694,'Data Cleaning'!K1225:K2694)</f>
        <v>0</v>
      </c>
      <c r="D1225" t="str">
        <f>_xlfn.XLOOKUP(A1225,'Data Cleaning'!A1225:A2694, 'Data Cleaning'!D1225:D2694)</f>
        <v>Bachelor</v>
      </c>
      <c r="E1225" s="3" t="str">
        <f>_xlfn.XLOOKUP(A1225,'Data Cleaning'!A1225:A2694, 'Data Cleaning'!E1225:E2694)</f>
        <v>Married</v>
      </c>
      <c r="F1225" t="str">
        <f>_xlfn.XLOOKUP(A1225,'Data Cleaning'!A1225:A2694, 'Data Cleaning'!F1225:F2694)</f>
        <v>Low</v>
      </c>
      <c r="G1225" s="3" t="str">
        <f>_xlfn.XLOOKUP(A1225,'Data Cleaning'!A1225:A2694, 'Data Cleaning'!J1225:J2694)</f>
        <v>Promoted in 1-3 years</v>
      </c>
    </row>
    <row r="1226" spans="1:7" x14ac:dyDescent="0.25">
      <c r="A1226" s="3">
        <v>792</v>
      </c>
      <c r="B1226" s="3" t="str">
        <f>_xlfn.XLOOKUP(A1226,'Data Cleaning'!A1226:A2695, 'Data Cleaning'!I1226:I2695)</f>
        <v>25-34</v>
      </c>
      <c r="C1226">
        <f>_xlfn.XLOOKUP(A1226,'Data Cleaning'!A1226:A2695,'Data Cleaning'!K1226:K2695)</f>
        <v>0</v>
      </c>
      <c r="D1226" t="str">
        <f>_xlfn.XLOOKUP(A1226,'Data Cleaning'!A1226:A2695, 'Data Cleaning'!D1226:D2695)</f>
        <v>College</v>
      </c>
      <c r="E1226" s="3" t="str">
        <f>_xlfn.XLOOKUP(A1226,'Data Cleaning'!A1226:A2695, 'Data Cleaning'!E1226:E2695)</f>
        <v>Divorced</v>
      </c>
      <c r="F1226" t="str">
        <f>_xlfn.XLOOKUP(A1226,'Data Cleaning'!A1226:A2695, 'Data Cleaning'!F1226:F2695)</f>
        <v>Low</v>
      </c>
      <c r="G1226" s="3" t="str">
        <f>_xlfn.XLOOKUP(A1226,'Data Cleaning'!A1226:A2695, 'Data Cleaning'!J1226:J2695)</f>
        <v>Promoted in 1-3 years</v>
      </c>
    </row>
    <row r="1227" spans="1:7" x14ac:dyDescent="0.25">
      <c r="A1227" s="3">
        <v>1060</v>
      </c>
      <c r="B1227" s="3" t="str">
        <f>_xlfn.XLOOKUP(A1227,'Data Cleaning'!A1227:A2696, 'Data Cleaning'!I1227:I2696)</f>
        <v>35-44</v>
      </c>
      <c r="C1227">
        <f>_xlfn.XLOOKUP(A1227,'Data Cleaning'!A1227:A2696,'Data Cleaning'!K1227:K2696)</f>
        <v>0</v>
      </c>
      <c r="D1227" t="str">
        <f>_xlfn.XLOOKUP(A1227,'Data Cleaning'!A1227:A2696, 'Data Cleaning'!D1227:D2696)</f>
        <v>Master</v>
      </c>
      <c r="E1227" s="3" t="str">
        <f>_xlfn.XLOOKUP(A1227,'Data Cleaning'!A1227:A2696, 'Data Cleaning'!E1227:E2696)</f>
        <v>Married</v>
      </c>
      <c r="F1227" t="str">
        <f>_xlfn.XLOOKUP(A1227,'Data Cleaning'!A1227:A2696, 'Data Cleaning'!F1227:F2696)</f>
        <v>Low</v>
      </c>
      <c r="G1227" s="3" t="str">
        <f>_xlfn.XLOOKUP(A1227,'Data Cleaning'!A1227:A2696, 'Data Cleaning'!J1227:J2696)</f>
        <v>Promoted in 1-3 years</v>
      </c>
    </row>
    <row r="1228" spans="1:7" x14ac:dyDescent="0.25">
      <c r="A1228" s="3">
        <v>1801</v>
      </c>
      <c r="B1228" s="3" t="str">
        <f>_xlfn.XLOOKUP(A1228,'Data Cleaning'!A1228:A2697, 'Data Cleaning'!I1228:I2697)</f>
        <v>45-54</v>
      </c>
      <c r="C1228">
        <f>_xlfn.XLOOKUP(A1228,'Data Cleaning'!A1228:A2697,'Data Cleaning'!K1228:K2697)</f>
        <v>0</v>
      </c>
      <c r="D1228" t="str">
        <f>_xlfn.XLOOKUP(A1228,'Data Cleaning'!A1228:A2697, 'Data Cleaning'!D1228:D2697)</f>
        <v>College</v>
      </c>
      <c r="E1228" s="3" t="str">
        <f>_xlfn.XLOOKUP(A1228,'Data Cleaning'!A1228:A2697, 'Data Cleaning'!E1228:E2697)</f>
        <v>Single</v>
      </c>
      <c r="F1228" t="str">
        <f>_xlfn.XLOOKUP(A1228,'Data Cleaning'!A1228:A2697, 'Data Cleaning'!F1228:F2697)</f>
        <v>None</v>
      </c>
      <c r="G1228" s="3" t="str">
        <f>_xlfn.XLOOKUP(A1228,'Data Cleaning'!A1228:A2697, 'Data Cleaning'!J1228:J2697)</f>
        <v>Promoted in 1-3 years</v>
      </c>
    </row>
    <row r="1229" spans="1:7" x14ac:dyDescent="0.25">
      <c r="A1229" s="3">
        <v>754</v>
      </c>
      <c r="B1229" s="3" t="str">
        <f>_xlfn.XLOOKUP(A1229,'Data Cleaning'!A1229:A2698, 'Data Cleaning'!I1229:I2698)</f>
        <v>35-44</v>
      </c>
      <c r="C1229">
        <f>_xlfn.XLOOKUP(A1229,'Data Cleaning'!A1229:A2698,'Data Cleaning'!K1229:K2698)</f>
        <v>0</v>
      </c>
      <c r="D1229" t="str">
        <f>_xlfn.XLOOKUP(A1229,'Data Cleaning'!A1229:A2698, 'Data Cleaning'!D1229:D2698)</f>
        <v>Bachelor</v>
      </c>
      <c r="E1229" s="3" t="str">
        <f>_xlfn.XLOOKUP(A1229,'Data Cleaning'!A1229:A2698, 'Data Cleaning'!E1229:E2698)</f>
        <v>Married</v>
      </c>
      <c r="F1229" t="str">
        <f>_xlfn.XLOOKUP(A1229,'Data Cleaning'!A1229:A2698, 'Data Cleaning'!F1229:F2698)</f>
        <v>Low</v>
      </c>
      <c r="G1229" s="3" t="str">
        <f>_xlfn.XLOOKUP(A1229,'Data Cleaning'!A1229:A2698, 'Data Cleaning'!J1229:J2698)</f>
        <v>Promoted in 1-3 years</v>
      </c>
    </row>
    <row r="1230" spans="1:7" x14ac:dyDescent="0.25">
      <c r="A1230" s="3">
        <v>399</v>
      </c>
      <c r="B1230" s="3" t="str">
        <f>_xlfn.XLOOKUP(A1230,'Data Cleaning'!A1230:A2699, 'Data Cleaning'!I1230:I2699)</f>
        <v>25-34</v>
      </c>
      <c r="C1230">
        <f>_xlfn.XLOOKUP(A1230,'Data Cleaning'!A1230:A2699,'Data Cleaning'!K1230:K2699)</f>
        <v>0</v>
      </c>
      <c r="D1230" t="str">
        <f>_xlfn.XLOOKUP(A1230,'Data Cleaning'!A1230:A2699, 'Data Cleaning'!D1230:D2699)</f>
        <v>Bachelor</v>
      </c>
      <c r="E1230" s="3" t="str">
        <f>_xlfn.XLOOKUP(A1230,'Data Cleaning'!A1230:A2699, 'Data Cleaning'!E1230:E2699)</f>
        <v>Divorced</v>
      </c>
      <c r="F1230" t="str">
        <f>_xlfn.XLOOKUP(A1230,'Data Cleaning'!A1230:A2699, 'Data Cleaning'!F1230:F2699)</f>
        <v>Low</v>
      </c>
      <c r="G1230" s="3" t="str">
        <f>_xlfn.XLOOKUP(A1230,'Data Cleaning'!A1230:A2699, 'Data Cleaning'!J1230:J2699)</f>
        <v>Promoted in 1-3 years</v>
      </c>
    </row>
    <row r="1231" spans="1:7" x14ac:dyDescent="0.25">
      <c r="A1231" s="3">
        <v>1837</v>
      </c>
      <c r="B1231" s="3" t="str">
        <f>_xlfn.XLOOKUP(A1231,'Data Cleaning'!A1231:A2700, 'Data Cleaning'!I1231:I2700)</f>
        <v>55-60</v>
      </c>
      <c r="C1231">
        <f>_xlfn.XLOOKUP(A1231,'Data Cleaning'!A1231:A2700,'Data Cleaning'!K1231:K2700)</f>
        <v>0</v>
      </c>
      <c r="D1231" t="str">
        <f>_xlfn.XLOOKUP(A1231,'Data Cleaning'!A1231:A2700, 'Data Cleaning'!D1231:D2700)</f>
        <v>Master</v>
      </c>
      <c r="E1231" s="3" t="str">
        <f>_xlfn.XLOOKUP(A1231,'Data Cleaning'!A1231:A2700, 'Data Cleaning'!E1231:E2700)</f>
        <v>Married</v>
      </c>
      <c r="F1231" t="str">
        <f>_xlfn.XLOOKUP(A1231,'Data Cleaning'!A1231:A2700, 'Data Cleaning'!F1231:F2700)</f>
        <v>None</v>
      </c>
      <c r="G1231" s="3" t="str">
        <f>_xlfn.XLOOKUP(A1231,'Data Cleaning'!A1231:A2700, 'Data Cleaning'!J1231:J2700)</f>
        <v>Promoted in 1-3 years</v>
      </c>
    </row>
    <row r="1232" spans="1:7" x14ac:dyDescent="0.25">
      <c r="A1232" s="3">
        <v>1135</v>
      </c>
      <c r="B1232" s="3" t="str">
        <f>_xlfn.XLOOKUP(A1232,'Data Cleaning'!A1232:A2701, 'Data Cleaning'!I1232:I2701)</f>
        <v>25-34</v>
      </c>
      <c r="C1232">
        <f>_xlfn.XLOOKUP(A1232,'Data Cleaning'!A1232:A2701,'Data Cleaning'!K1232:K2701)</f>
        <v>0</v>
      </c>
      <c r="D1232" t="str">
        <f>_xlfn.XLOOKUP(A1232,'Data Cleaning'!A1232:A2701, 'Data Cleaning'!D1232:D2701)</f>
        <v>Bachelor</v>
      </c>
      <c r="E1232" s="3" t="str">
        <f>_xlfn.XLOOKUP(A1232,'Data Cleaning'!A1232:A2701, 'Data Cleaning'!E1232:E2701)</f>
        <v>Married</v>
      </c>
      <c r="F1232" t="str">
        <f>_xlfn.XLOOKUP(A1232,'Data Cleaning'!A1232:A2701, 'Data Cleaning'!F1232:F2701)</f>
        <v>Low</v>
      </c>
      <c r="G1232" s="3" t="str">
        <f>_xlfn.XLOOKUP(A1232,'Data Cleaning'!A1232:A2701, 'Data Cleaning'!J1232:J2701)</f>
        <v>Promoted in 1-3 years</v>
      </c>
    </row>
    <row r="1233" spans="1:7" x14ac:dyDescent="0.25">
      <c r="A1233" s="3">
        <v>274</v>
      </c>
      <c r="B1233" s="3" t="str">
        <f>_xlfn.XLOOKUP(A1233,'Data Cleaning'!A1233:A2702, 'Data Cleaning'!I1233:I2702)</f>
        <v>25-34</v>
      </c>
      <c r="C1233">
        <f>_xlfn.XLOOKUP(A1233,'Data Cleaning'!A1233:A2702,'Data Cleaning'!K1233:K2702)</f>
        <v>0</v>
      </c>
      <c r="D1233" t="str">
        <f>_xlfn.XLOOKUP(A1233,'Data Cleaning'!A1233:A2702, 'Data Cleaning'!D1233:D2702)</f>
        <v>Below College</v>
      </c>
      <c r="E1233" s="3" t="str">
        <f>_xlfn.XLOOKUP(A1233,'Data Cleaning'!A1233:A2702, 'Data Cleaning'!E1233:E2702)</f>
        <v>Married</v>
      </c>
      <c r="F1233" t="str">
        <f>_xlfn.XLOOKUP(A1233,'Data Cleaning'!A1233:A2702, 'Data Cleaning'!F1233:F2702)</f>
        <v>Low</v>
      </c>
      <c r="G1233" s="3" t="str">
        <f>_xlfn.XLOOKUP(A1233,'Data Cleaning'!A1233:A2702, 'Data Cleaning'!J1233:J2702)</f>
        <v>Promoted in 1-3 years</v>
      </c>
    </row>
    <row r="1234" spans="1:7" x14ac:dyDescent="0.25">
      <c r="A1234" s="3">
        <v>632</v>
      </c>
      <c r="B1234" s="3" t="str">
        <f>_xlfn.XLOOKUP(A1234,'Data Cleaning'!A1234:A2703, 'Data Cleaning'!I1234:I2703)</f>
        <v>18-24</v>
      </c>
      <c r="C1234">
        <f>_xlfn.XLOOKUP(A1234,'Data Cleaning'!A1234:A2703,'Data Cleaning'!K1234:K2703)</f>
        <v>0</v>
      </c>
      <c r="D1234" t="str">
        <f>_xlfn.XLOOKUP(A1234,'Data Cleaning'!A1234:A2703, 'Data Cleaning'!D1234:D2703)</f>
        <v>Bachelor</v>
      </c>
      <c r="E1234" s="3" t="str">
        <f>_xlfn.XLOOKUP(A1234,'Data Cleaning'!A1234:A2703, 'Data Cleaning'!E1234:E2703)</f>
        <v>Married</v>
      </c>
      <c r="F1234" t="str">
        <f>_xlfn.XLOOKUP(A1234,'Data Cleaning'!A1234:A2703, 'Data Cleaning'!F1234:F2703)</f>
        <v>Mid</v>
      </c>
      <c r="G1234" s="3" t="str">
        <f>_xlfn.XLOOKUP(A1234,'Data Cleaning'!A1234:A2703, 'Data Cleaning'!J1234:J2703)</f>
        <v>Promoted in 1-3 years</v>
      </c>
    </row>
    <row r="1235" spans="1:7" x14ac:dyDescent="0.25">
      <c r="A1235" s="3">
        <v>218</v>
      </c>
      <c r="B1235" s="3" t="str">
        <f>_xlfn.XLOOKUP(A1235,'Data Cleaning'!A1235:A2704, 'Data Cleaning'!I1235:I2704)</f>
        <v>25-34</v>
      </c>
      <c r="C1235">
        <f>_xlfn.XLOOKUP(A1235,'Data Cleaning'!A1235:A2704,'Data Cleaning'!K1235:K2704)</f>
        <v>0</v>
      </c>
      <c r="D1235" t="str">
        <f>_xlfn.XLOOKUP(A1235,'Data Cleaning'!A1235:A2704, 'Data Cleaning'!D1235:D2704)</f>
        <v>Bachelor</v>
      </c>
      <c r="E1235" s="3" t="str">
        <f>_xlfn.XLOOKUP(A1235,'Data Cleaning'!A1235:A2704, 'Data Cleaning'!E1235:E2704)</f>
        <v>Divorced</v>
      </c>
      <c r="F1235" t="str">
        <f>_xlfn.XLOOKUP(A1235,'Data Cleaning'!A1235:A2704, 'Data Cleaning'!F1235:F2704)</f>
        <v>Low</v>
      </c>
      <c r="G1235" s="3" t="str">
        <f>_xlfn.XLOOKUP(A1235,'Data Cleaning'!A1235:A2704, 'Data Cleaning'!J1235:J2704)</f>
        <v>Promoted in 1-3 years</v>
      </c>
    </row>
    <row r="1236" spans="1:7" x14ac:dyDescent="0.25">
      <c r="A1236" s="3">
        <v>1496</v>
      </c>
      <c r="B1236" s="3" t="str">
        <f>_xlfn.XLOOKUP(A1236,'Data Cleaning'!A1236:A2705, 'Data Cleaning'!I1236:I2705)</f>
        <v>35-44</v>
      </c>
      <c r="C1236">
        <f>_xlfn.XLOOKUP(A1236,'Data Cleaning'!A1236:A2705,'Data Cleaning'!K1236:K2705)</f>
        <v>0</v>
      </c>
      <c r="D1236" t="str">
        <f>_xlfn.XLOOKUP(A1236,'Data Cleaning'!A1236:A2705, 'Data Cleaning'!D1236:D2705)</f>
        <v>Below College</v>
      </c>
      <c r="E1236" s="3" t="str">
        <f>_xlfn.XLOOKUP(A1236,'Data Cleaning'!A1236:A2705, 'Data Cleaning'!E1236:E2705)</f>
        <v>Single</v>
      </c>
      <c r="F1236" t="str">
        <f>_xlfn.XLOOKUP(A1236,'Data Cleaning'!A1236:A2705, 'Data Cleaning'!F1236:F2705)</f>
        <v>None</v>
      </c>
      <c r="G1236" s="3" t="str">
        <f>_xlfn.XLOOKUP(A1236,'Data Cleaning'!A1236:A2705, 'Data Cleaning'!J1236:J2705)</f>
        <v>Promoted in 1-3 years</v>
      </c>
    </row>
    <row r="1237" spans="1:7" x14ac:dyDescent="0.25">
      <c r="A1237" s="3">
        <v>174</v>
      </c>
      <c r="B1237" s="3" t="str">
        <f>_xlfn.XLOOKUP(A1237,'Data Cleaning'!A1237:A2706, 'Data Cleaning'!I1237:I2706)</f>
        <v>45-54</v>
      </c>
      <c r="C1237">
        <f>_xlfn.XLOOKUP(A1237,'Data Cleaning'!A1237:A2706,'Data Cleaning'!K1237:K2706)</f>
        <v>0</v>
      </c>
      <c r="D1237" t="str">
        <f>_xlfn.XLOOKUP(A1237,'Data Cleaning'!A1237:A2706, 'Data Cleaning'!D1237:D2706)</f>
        <v>Bachelor</v>
      </c>
      <c r="E1237" s="3" t="str">
        <f>_xlfn.XLOOKUP(A1237,'Data Cleaning'!A1237:A2706, 'Data Cleaning'!E1237:E2706)</f>
        <v>Single</v>
      </c>
      <c r="F1237" t="str">
        <f>_xlfn.XLOOKUP(A1237,'Data Cleaning'!A1237:A2706, 'Data Cleaning'!F1237:F2706)</f>
        <v>None</v>
      </c>
      <c r="G1237" s="3" t="str">
        <f>_xlfn.XLOOKUP(A1237,'Data Cleaning'!A1237:A2706, 'Data Cleaning'!J1237:J2706)</f>
        <v>Promoted in 1-3 years</v>
      </c>
    </row>
    <row r="1238" spans="1:7" x14ac:dyDescent="0.25">
      <c r="A1238" s="3">
        <v>1412</v>
      </c>
      <c r="B1238" s="3" t="str">
        <f>_xlfn.XLOOKUP(A1238,'Data Cleaning'!A1238:A2707, 'Data Cleaning'!I1238:I2707)</f>
        <v>35-44</v>
      </c>
      <c r="C1238">
        <f>_xlfn.XLOOKUP(A1238,'Data Cleaning'!A1238:A2707,'Data Cleaning'!K1238:K2707)</f>
        <v>0</v>
      </c>
      <c r="D1238" t="str">
        <f>_xlfn.XLOOKUP(A1238,'Data Cleaning'!A1238:A2707, 'Data Cleaning'!D1238:D2707)</f>
        <v>College</v>
      </c>
      <c r="E1238" s="3" t="str">
        <f>_xlfn.XLOOKUP(A1238,'Data Cleaning'!A1238:A2707, 'Data Cleaning'!E1238:E2707)</f>
        <v>Single</v>
      </c>
      <c r="F1238" t="str">
        <f>_xlfn.XLOOKUP(A1238,'Data Cleaning'!A1238:A2707, 'Data Cleaning'!F1238:F2707)</f>
        <v>None</v>
      </c>
      <c r="G1238" s="3" t="str">
        <f>_xlfn.XLOOKUP(A1238,'Data Cleaning'!A1238:A2707, 'Data Cleaning'!J1238:J2707)</f>
        <v>Promoted in 1-3 years</v>
      </c>
    </row>
    <row r="1239" spans="1:7" x14ac:dyDescent="0.25">
      <c r="A1239" s="3">
        <v>1812</v>
      </c>
      <c r="B1239" s="3" t="str">
        <f>_xlfn.XLOOKUP(A1239,'Data Cleaning'!A1239:A2708, 'Data Cleaning'!I1239:I2708)</f>
        <v>35-44</v>
      </c>
      <c r="C1239">
        <f>_xlfn.XLOOKUP(A1239,'Data Cleaning'!A1239:A2708,'Data Cleaning'!K1239:K2708)</f>
        <v>0</v>
      </c>
      <c r="D1239" t="str">
        <f>_xlfn.XLOOKUP(A1239,'Data Cleaning'!A1239:A2708, 'Data Cleaning'!D1239:D2708)</f>
        <v>Bachelor</v>
      </c>
      <c r="E1239" s="3" t="str">
        <f>_xlfn.XLOOKUP(A1239,'Data Cleaning'!A1239:A2708, 'Data Cleaning'!E1239:E2708)</f>
        <v>Divorced</v>
      </c>
      <c r="F1239" t="str">
        <f>_xlfn.XLOOKUP(A1239,'Data Cleaning'!A1239:A2708, 'Data Cleaning'!F1239:F2708)</f>
        <v>Low</v>
      </c>
      <c r="G1239" s="3" t="str">
        <f>_xlfn.XLOOKUP(A1239,'Data Cleaning'!A1239:A2708, 'Data Cleaning'!J1239:J2708)</f>
        <v>Promoted in 1-3 years</v>
      </c>
    </row>
    <row r="1240" spans="1:7" x14ac:dyDescent="0.25">
      <c r="A1240" s="3">
        <v>23</v>
      </c>
      <c r="B1240" s="3" t="str">
        <f>_xlfn.XLOOKUP(A1240,'Data Cleaning'!A1240:A2709, 'Data Cleaning'!I1240:I2709)</f>
        <v>45-54</v>
      </c>
      <c r="C1240">
        <f>_xlfn.XLOOKUP(A1240,'Data Cleaning'!A1240:A2709,'Data Cleaning'!K1240:K2709)</f>
        <v>0</v>
      </c>
      <c r="D1240" t="str">
        <f>_xlfn.XLOOKUP(A1240,'Data Cleaning'!A1240:A2709, 'Data Cleaning'!D1240:D2709)</f>
        <v>Master</v>
      </c>
      <c r="E1240" s="3" t="str">
        <f>_xlfn.XLOOKUP(A1240,'Data Cleaning'!A1240:A2709, 'Data Cleaning'!E1240:E2709)</f>
        <v>Married</v>
      </c>
      <c r="F1240" t="str">
        <f>_xlfn.XLOOKUP(A1240,'Data Cleaning'!A1240:A2709, 'Data Cleaning'!F1240:F2709)</f>
        <v>None</v>
      </c>
      <c r="G1240" s="3" t="str">
        <f>_xlfn.XLOOKUP(A1240,'Data Cleaning'!A1240:A2709, 'Data Cleaning'!J1240:J2709)</f>
        <v>Promoted in 1-3 years</v>
      </c>
    </row>
    <row r="1241" spans="1:7" x14ac:dyDescent="0.25">
      <c r="A1241" s="3">
        <v>734</v>
      </c>
      <c r="B1241" s="3" t="str">
        <f>_xlfn.XLOOKUP(A1241,'Data Cleaning'!A1241:A2710, 'Data Cleaning'!I1241:I2710)</f>
        <v>35-44</v>
      </c>
      <c r="C1241">
        <f>_xlfn.XLOOKUP(A1241,'Data Cleaning'!A1241:A2710,'Data Cleaning'!K1241:K2710)</f>
        <v>0</v>
      </c>
      <c r="D1241" t="str">
        <f>_xlfn.XLOOKUP(A1241,'Data Cleaning'!A1241:A2710, 'Data Cleaning'!D1241:D2710)</f>
        <v>Bachelor</v>
      </c>
      <c r="E1241" s="3" t="str">
        <f>_xlfn.XLOOKUP(A1241,'Data Cleaning'!A1241:A2710, 'Data Cleaning'!E1241:E2710)</f>
        <v>Married</v>
      </c>
      <c r="F1241" t="str">
        <f>_xlfn.XLOOKUP(A1241,'Data Cleaning'!A1241:A2710, 'Data Cleaning'!F1241:F2710)</f>
        <v>Low</v>
      </c>
      <c r="G1241" s="3" t="str">
        <f>_xlfn.XLOOKUP(A1241,'Data Cleaning'!A1241:A2710, 'Data Cleaning'!J1241:J2710)</f>
        <v>Promoted in 1-3 years</v>
      </c>
    </row>
    <row r="1242" spans="1:7" x14ac:dyDescent="0.25">
      <c r="A1242" s="3">
        <v>1267</v>
      </c>
      <c r="B1242" s="3" t="str">
        <f>_xlfn.XLOOKUP(A1242,'Data Cleaning'!A1242:A2711, 'Data Cleaning'!I1242:I2711)</f>
        <v>35-44</v>
      </c>
      <c r="C1242">
        <f>_xlfn.XLOOKUP(A1242,'Data Cleaning'!A1242:A2711,'Data Cleaning'!K1242:K2711)</f>
        <v>0</v>
      </c>
      <c r="D1242" t="str">
        <f>_xlfn.XLOOKUP(A1242,'Data Cleaning'!A1242:A2711, 'Data Cleaning'!D1242:D2711)</f>
        <v>Bachelor</v>
      </c>
      <c r="E1242" s="3" t="str">
        <f>_xlfn.XLOOKUP(A1242,'Data Cleaning'!A1242:A2711, 'Data Cleaning'!E1242:E2711)</f>
        <v>Married</v>
      </c>
      <c r="F1242" t="str">
        <f>_xlfn.XLOOKUP(A1242,'Data Cleaning'!A1242:A2711, 'Data Cleaning'!F1242:F2711)</f>
        <v>Low</v>
      </c>
      <c r="G1242" s="3" t="str">
        <f>_xlfn.XLOOKUP(A1242,'Data Cleaning'!A1242:A2711, 'Data Cleaning'!J1242:J2711)</f>
        <v>Promoted in 1-3 years</v>
      </c>
    </row>
    <row r="1243" spans="1:7" x14ac:dyDescent="0.25">
      <c r="A1243" s="3">
        <v>731</v>
      </c>
      <c r="B1243" s="3" t="str">
        <f>_xlfn.XLOOKUP(A1243,'Data Cleaning'!A1243:A2712, 'Data Cleaning'!I1243:I2712)</f>
        <v>35-44</v>
      </c>
      <c r="C1243">
        <f>_xlfn.XLOOKUP(A1243,'Data Cleaning'!A1243:A2712,'Data Cleaning'!K1243:K2712)</f>
        <v>0</v>
      </c>
      <c r="D1243" t="str">
        <f>_xlfn.XLOOKUP(A1243,'Data Cleaning'!A1243:A2712, 'Data Cleaning'!D1243:D2712)</f>
        <v>Master</v>
      </c>
      <c r="E1243" s="3" t="str">
        <f>_xlfn.XLOOKUP(A1243,'Data Cleaning'!A1243:A2712, 'Data Cleaning'!E1243:E2712)</f>
        <v>Divorced</v>
      </c>
      <c r="F1243" t="str">
        <f>_xlfn.XLOOKUP(A1243,'Data Cleaning'!A1243:A2712, 'Data Cleaning'!F1243:F2712)</f>
        <v>High</v>
      </c>
      <c r="G1243" s="3" t="str">
        <f>_xlfn.XLOOKUP(A1243,'Data Cleaning'!A1243:A2712, 'Data Cleaning'!J1243:J2712)</f>
        <v>Long Promotion gap</v>
      </c>
    </row>
    <row r="1244" spans="1:7" x14ac:dyDescent="0.25">
      <c r="A1244" s="3">
        <v>1293</v>
      </c>
      <c r="B1244" s="3" t="str">
        <f>_xlfn.XLOOKUP(A1244,'Data Cleaning'!A1244:A2713, 'Data Cleaning'!I1244:I2713)</f>
        <v>35-44</v>
      </c>
      <c r="C1244">
        <f>_xlfn.XLOOKUP(A1244,'Data Cleaning'!A1244:A2713,'Data Cleaning'!K1244:K2713)</f>
        <v>0</v>
      </c>
      <c r="D1244" t="str">
        <f>_xlfn.XLOOKUP(A1244,'Data Cleaning'!A1244:A2713, 'Data Cleaning'!D1244:D2713)</f>
        <v>Master</v>
      </c>
      <c r="E1244" s="3" t="str">
        <f>_xlfn.XLOOKUP(A1244,'Data Cleaning'!A1244:A2713, 'Data Cleaning'!E1244:E2713)</f>
        <v>Single</v>
      </c>
      <c r="F1244" t="str">
        <f>_xlfn.XLOOKUP(A1244,'Data Cleaning'!A1244:A2713, 'Data Cleaning'!F1244:F2713)</f>
        <v>None</v>
      </c>
      <c r="G1244" s="3" t="str">
        <f>_xlfn.XLOOKUP(A1244,'Data Cleaning'!A1244:A2713, 'Data Cleaning'!J1244:J2713)</f>
        <v>Long Promotion gap</v>
      </c>
    </row>
    <row r="1245" spans="1:7" x14ac:dyDescent="0.25">
      <c r="A1245" s="3">
        <v>1740</v>
      </c>
      <c r="B1245" s="3" t="str">
        <f>_xlfn.XLOOKUP(A1245,'Data Cleaning'!A1245:A2714, 'Data Cleaning'!I1245:I2714)</f>
        <v>35-44</v>
      </c>
      <c r="C1245">
        <f>_xlfn.XLOOKUP(A1245,'Data Cleaning'!A1245:A2714,'Data Cleaning'!K1245:K2714)</f>
        <v>0</v>
      </c>
      <c r="D1245" t="str">
        <f>_xlfn.XLOOKUP(A1245,'Data Cleaning'!A1245:A2714, 'Data Cleaning'!D1245:D2714)</f>
        <v>Master</v>
      </c>
      <c r="E1245" s="3" t="str">
        <f>_xlfn.XLOOKUP(A1245,'Data Cleaning'!A1245:A2714, 'Data Cleaning'!E1245:E2714)</f>
        <v>Single</v>
      </c>
      <c r="F1245" t="str">
        <f>_xlfn.XLOOKUP(A1245,'Data Cleaning'!A1245:A2714, 'Data Cleaning'!F1245:F2714)</f>
        <v>None</v>
      </c>
      <c r="G1245" s="3" t="str">
        <f>_xlfn.XLOOKUP(A1245,'Data Cleaning'!A1245:A2714, 'Data Cleaning'!J1245:J2714)</f>
        <v>Long Promotion gap</v>
      </c>
    </row>
    <row r="1246" spans="1:7" x14ac:dyDescent="0.25">
      <c r="A1246" s="3">
        <v>81</v>
      </c>
      <c r="B1246" s="3" t="str">
        <f>_xlfn.XLOOKUP(A1246,'Data Cleaning'!A1246:A2715, 'Data Cleaning'!I1246:I2715)</f>
        <v>55-60</v>
      </c>
      <c r="C1246">
        <f>_xlfn.XLOOKUP(A1246,'Data Cleaning'!A1246:A2715,'Data Cleaning'!K1246:K2715)</f>
        <v>0</v>
      </c>
      <c r="D1246" t="str">
        <f>_xlfn.XLOOKUP(A1246,'Data Cleaning'!A1246:A2715, 'Data Cleaning'!D1246:D2715)</f>
        <v>Bachelor</v>
      </c>
      <c r="E1246" s="3" t="str">
        <f>_xlfn.XLOOKUP(A1246,'Data Cleaning'!A1246:A2715, 'Data Cleaning'!E1246:E2715)</f>
        <v>Single</v>
      </c>
      <c r="F1246" t="str">
        <f>_xlfn.XLOOKUP(A1246,'Data Cleaning'!A1246:A2715, 'Data Cleaning'!F1246:F2715)</f>
        <v>None</v>
      </c>
      <c r="G1246" s="3" t="str">
        <f>_xlfn.XLOOKUP(A1246,'Data Cleaning'!A1246:A2715, 'Data Cleaning'!J1246:J2715)</f>
        <v>Long Promotion gap</v>
      </c>
    </row>
    <row r="1247" spans="1:7" x14ac:dyDescent="0.25">
      <c r="A1247" s="3">
        <v>1975</v>
      </c>
      <c r="B1247" s="3" t="str">
        <f>_xlfn.XLOOKUP(A1247,'Data Cleaning'!A1247:A2716, 'Data Cleaning'!I1247:I2716)</f>
        <v>35-44</v>
      </c>
      <c r="C1247">
        <f>_xlfn.XLOOKUP(A1247,'Data Cleaning'!A1247:A2716,'Data Cleaning'!K1247:K2716)</f>
        <v>0</v>
      </c>
      <c r="D1247" t="str">
        <f>_xlfn.XLOOKUP(A1247,'Data Cleaning'!A1247:A2716, 'Data Cleaning'!D1247:D2716)</f>
        <v>Master</v>
      </c>
      <c r="E1247" s="3" t="str">
        <f>_xlfn.XLOOKUP(A1247,'Data Cleaning'!A1247:A2716, 'Data Cleaning'!E1247:E2716)</f>
        <v>Single</v>
      </c>
      <c r="F1247" t="str">
        <f>_xlfn.XLOOKUP(A1247,'Data Cleaning'!A1247:A2716, 'Data Cleaning'!F1247:F2716)</f>
        <v>None</v>
      </c>
      <c r="G1247" s="3" t="str">
        <f>_xlfn.XLOOKUP(A1247,'Data Cleaning'!A1247:A2716, 'Data Cleaning'!J1247:J2716)</f>
        <v>Long Promotion gap</v>
      </c>
    </row>
    <row r="1248" spans="1:7" x14ac:dyDescent="0.25">
      <c r="A1248" s="3">
        <v>2056</v>
      </c>
      <c r="B1248" s="3" t="str">
        <f>_xlfn.XLOOKUP(A1248,'Data Cleaning'!A1248:A2717, 'Data Cleaning'!I1248:I2717)</f>
        <v>35-44</v>
      </c>
      <c r="C1248">
        <f>_xlfn.XLOOKUP(A1248,'Data Cleaning'!A1248:A2717,'Data Cleaning'!K1248:K2717)</f>
        <v>0</v>
      </c>
      <c r="D1248" t="str">
        <f>_xlfn.XLOOKUP(A1248,'Data Cleaning'!A1248:A2717, 'Data Cleaning'!D1248:D2717)</f>
        <v>Below College</v>
      </c>
      <c r="E1248" s="3" t="str">
        <f>_xlfn.XLOOKUP(A1248,'Data Cleaning'!A1248:A2717, 'Data Cleaning'!E1248:E2717)</f>
        <v>Married</v>
      </c>
      <c r="F1248" t="str">
        <f>_xlfn.XLOOKUP(A1248,'Data Cleaning'!A1248:A2717, 'Data Cleaning'!F1248:F2717)</f>
        <v>Low</v>
      </c>
      <c r="G1248" s="3" t="str">
        <f>_xlfn.XLOOKUP(A1248,'Data Cleaning'!A1248:A2717, 'Data Cleaning'!J1248:J2717)</f>
        <v>Long Promotion gap</v>
      </c>
    </row>
    <row r="1249" spans="1:7" x14ac:dyDescent="0.25">
      <c r="A1249" s="3">
        <v>851</v>
      </c>
      <c r="B1249" s="3" t="str">
        <f>_xlfn.XLOOKUP(A1249,'Data Cleaning'!A1249:A2718, 'Data Cleaning'!I1249:I2718)</f>
        <v>45-54</v>
      </c>
      <c r="C1249">
        <f>_xlfn.XLOOKUP(A1249,'Data Cleaning'!A1249:A2718,'Data Cleaning'!K1249:K2718)</f>
        <v>0</v>
      </c>
      <c r="D1249" t="str">
        <f>_xlfn.XLOOKUP(A1249,'Data Cleaning'!A1249:A2718, 'Data Cleaning'!D1249:D2718)</f>
        <v>Master</v>
      </c>
      <c r="E1249" s="3" t="str">
        <f>_xlfn.XLOOKUP(A1249,'Data Cleaning'!A1249:A2718, 'Data Cleaning'!E1249:E2718)</f>
        <v>Married</v>
      </c>
      <c r="F1249" t="str">
        <f>_xlfn.XLOOKUP(A1249,'Data Cleaning'!A1249:A2718, 'Data Cleaning'!F1249:F2718)</f>
        <v>Low</v>
      </c>
      <c r="G1249" s="3" t="str">
        <f>_xlfn.XLOOKUP(A1249,'Data Cleaning'!A1249:A2718, 'Data Cleaning'!J1249:J2718)</f>
        <v>Long Promotion gap</v>
      </c>
    </row>
    <row r="1250" spans="1:7" x14ac:dyDescent="0.25">
      <c r="A1250" s="3">
        <v>1863</v>
      </c>
      <c r="B1250" s="3" t="str">
        <f>_xlfn.XLOOKUP(A1250,'Data Cleaning'!A1250:A2719, 'Data Cleaning'!I1250:I2719)</f>
        <v>45-54</v>
      </c>
      <c r="C1250">
        <f>_xlfn.XLOOKUP(A1250,'Data Cleaning'!A1250:A2719,'Data Cleaning'!K1250:K2719)</f>
        <v>0</v>
      </c>
      <c r="D1250" t="str">
        <f>_xlfn.XLOOKUP(A1250,'Data Cleaning'!A1250:A2719, 'Data Cleaning'!D1250:D2719)</f>
        <v>Bachelor</v>
      </c>
      <c r="E1250" s="3" t="str">
        <f>_xlfn.XLOOKUP(A1250,'Data Cleaning'!A1250:A2719, 'Data Cleaning'!E1250:E2719)</f>
        <v>Divorced</v>
      </c>
      <c r="F1250" t="str">
        <f>_xlfn.XLOOKUP(A1250,'Data Cleaning'!A1250:A2719, 'Data Cleaning'!F1250:F2719)</f>
        <v>Low</v>
      </c>
      <c r="G1250" s="3" t="str">
        <f>_xlfn.XLOOKUP(A1250,'Data Cleaning'!A1250:A2719, 'Data Cleaning'!J1250:J2719)</f>
        <v>Promoted in 1-3 years</v>
      </c>
    </row>
    <row r="1251" spans="1:7" x14ac:dyDescent="0.25">
      <c r="A1251" s="3">
        <v>625</v>
      </c>
      <c r="B1251" s="3" t="str">
        <f>_xlfn.XLOOKUP(A1251,'Data Cleaning'!A1251:A2720, 'Data Cleaning'!I1251:I2720)</f>
        <v>35-44</v>
      </c>
      <c r="C1251">
        <f>_xlfn.XLOOKUP(A1251,'Data Cleaning'!A1251:A2720,'Data Cleaning'!K1251:K2720)</f>
        <v>0</v>
      </c>
      <c r="D1251" t="str">
        <f>_xlfn.XLOOKUP(A1251,'Data Cleaning'!A1251:A2720, 'Data Cleaning'!D1251:D2720)</f>
        <v>Doctor</v>
      </c>
      <c r="E1251" s="3" t="str">
        <f>_xlfn.XLOOKUP(A1251,'Data Cleaning'!A1251:A2720, 'Data Cleaning'!E1251:E2720)</f>
        <v>Married</v>
      </c>
      <c r="F1251" t="str">
        <f>_xlfn.XLOOKUP(A1251,'Data Cleaning'!A1251:A2720, 'Data Cleaning'!F1251:F2720)</f>
        <v>Low</v>
      </c>
      <c r="G1251" s="3" t="str">
        <f>_xlfn.XLOOKUP(A1251,'Data Cleaning'!A1251:A2720, 'Data Cleaning'!J1251:J2720)</f>
        <v>Long Promotion gap</v>
      </c>
    </row>
    <row r="1252" spans="1:7" x14ac:dyDescent="0.25">
      <c r="A1252" s="3">
        <v>857</v>
      </c>
      <c r="B1252" s="3" t="str">
        <f>_xlfn.XLOOKUP(A1252,'Data Cleaning'!A1252:A2721, 'Data Cleaning'!I1252:I2721)</f>
        <v>35-44</v>
      </c>
      <c r="C1252">
        <f>_xlfn.XLOOKUP(A1252,'Data Cleaning'!A1252:A2721,'Data Cleaning'!K1252:K2721)</f>
        <v>0</v>
      </c>
      <c r="D1252" t="str">
        <f>_xlfn.XLOOKUP(A1252,'Data Cleaning'!A1252:A2721, 'Data Cleaning'!D1252:D2721)</f>
        <v>College</v>
      </c>
      <c r="E1252" s="3" t="str">
        <f>_xlfn.XLOOKUP(A1252,'Data Cleaning'!A1252:A2721, 'Data Cleaning'!E1252:E2721)</f>
        <v>Married</v>
      </c>
      <c r="F1252" t="str">
        <f>_xlfn.XLOOKUP(A1252,'Data Cleaning'!A1252:A2721, 'Data Cleaning'!F1252:F2721)</f>
        <v>Low</v>
      </c>
      <c r="G1252" s="3" t="str">
        <f>_xlfn.XLOOKUP(A1252,'Data Cleaning'!A1252:A2721, 'Data Cleaning'!J1252:J2721)</f>
        <v>Long Promotion gap</v>
      </c>
    </row>
    <row r="1253" spans="1:7" x14ac:dyDescent="0.25">
      <c r="A1253" s="3">
        <v>981</v>
      </c>
      <c r="B1253" s="3" t="str">
        <f>_xlfn.XLOOKUP(A1253,'Data Cleaning'!A1253:A2722, 'Data Cleaning'!I1253:I2722)</f>
        <v>45-54</v>
      </c>
      <c r="C1253">
        <f>_xlfn.XLOOKUP(A1253,'Data Cleaning'!A1253:A2722,'Data Cleaning'!K1253:K2722)</f>
        <v>0</v>
      </c>
      <c r="D1253" t="str">
        <f>_xlfn.XLOOKUP(A1253,'Data Cleaning'!A1253:A2722, 'Data Cleaning'!D1253:D2722)</f>
        <v>College</v>
      </c>
      <c r="E1253" s="3" t="str">
        <f>_xlfn.XLOOKUP(A1253,'Data Cleaning'!A1253:A2722, 'Data Cleaning'!E1253:E2722)</f>
        <v>Divorced</v>
      </c>
      <c r="F1253" t="str">
        <f>_xlfn.XLOOKUP(A1253,'Data Cleaning'!A1253:A2722, 'Data Cleaning'!F1253:F2722)</f>
        <v>Low</v>
      </c>
      <c r="G1253" s="3" t="str">
        <f>_xlfn.XLOOKUP(A1253,'Data Cleaning'!A1253:A2722, 'Data Cleaning'!J1253:J2722)</f>
        <v>Long Promotion gap</v>
      </c>
    </row>
    <row r="1254" spans="1:7" x14ac:dyDescent="0.25">
      <c r="A1254" s="3">
        <v>307</v>
      </c>
      <c r="B1254" s="3" t="str">
        <f>_xlfn.XLOOKUP(A1254,'Data Cleaning'!A1254:A2723, 'Data Cleaning'!I1254:I2723)</f>
        <v>35-44</v>
      </c>
      <c r="C1254">
        <f>_xlfn.XLOOKUP(A1254,'Data Cleaning'!A1254:A2723,'Data Cleaning'!K1254:K2723)</f>
        <v>0</v>
      </c>
      <c r="D1254" t="str">
        <f>_xlfn.XLOOKUP(A1254,'Data Cleaning'!A1254:A2723, 'Data Cleaning'!D1254:D2723)</f>
        <v>Bachelor</v>
      </c>
      <c r="E1254" s="3" t="str">
        <f>_xlfn.XLOOKUP(A1254,'Data Cleaning'!A1254:A2723, 'Data Cleaning'!E1254:E2723)</f>
        <v>Divorced</v>
      </c>
      <c r="F1254" t="str">
        <f>_xlfn.XLOOKUP(A1254,'Data Cleaning'!A1254:A2723, 'Data Cleaning'!F1254:F2723)</f>
        <v>Mid</v>
      </c>
      <c r="G1254" s="3" t="str">
        <f>_xlfn.XLOOKUP(A1254,'Data Cleaning'!A1254:A2723, 'Data Cleaning'!J1254:J2723)</f>
        <v>Long Promotion gap</v>
      </c>
    </row>
    <row r="1255" spans="1:7" x14ac:dyDescent="0.25">
      <c r="A1255" s="3">
        <v>182</v>
      </c>
      <c r="B1255" s="3" t="str">
        <f>_xlfn.XLOOKUP(A1255,'Data Cleaning'!A1255:A2724, 'Data Cleaning'!I1255:I2724)</f>
        <v>35-44</v>
      </c>
      <c r="C1255">
        <f>_xlfn.XLOOKUP(A1255,'Data Cleaning'!A1255:A2724,'Data Cleaning'!K1255:K2724)</f>
        <v>0</v>
      </c>
      <c r="D1255" t="str">
        <f>_xlfn.XLOOKUP(A1255,'Data Cleaning'!A1255:A2724, 'Data Cleaning'!D1255:D2724)</f>
        <v>Master</v>
      </c>
      <c r="E1255" s="3" t="str">
        <f>_xlfn.XLOOKUP(A1255,'Data Cleaning'!A1255:A2724, 'Data Cleaning'!E1255:E2724)</f>
        <v>Married</v>
      </c>
      <c r="F1255" t="str">
        <f>_xlfn.XLOOKUP(A1255,'Data Cleaning'!A1255:A2724, 'Data Cleaning'!F1255:F2724)</f>
        <v>Low</v>
      </c>
      <c r="G1255" s="3" t="str">
        <f>_xlfn.XLOOKUP(A1255,'Data Cleaning'!A1255:A2724, 'Data Cleaning'!J1255:J2724)</f>
        <v>Long Promotion gap</v>
      </c>
    </row>
    <row r="1256" spans="1:7" x14ac:dyDescent="0.25">
      <c r="A1256" s="3">
        <v>100</v>
      </c>
      <c r="B1256" s="3" t="str">
        <f>_xlfn.XLOOKUP(A1256,'Data Cleaning'!A1256:A2725, 'Data Cleaning'!I1256:I2725)</f>
        <v>35-44</v>
      </c>
      <c r="C1256">
        <f>_xlfn.XLOOKUP(A1256,'Data Cleaning'!A1256:A2725,'Data Cleaning'!K1256:K2725)</f>
        <v>0</v>
      </c>
      <c r="D1256" t="str">
        <f>_xlfn.XLOOKUP(A1256,'Data Cleaning'!A1256:A2725, 'Data Cleaning'!D1256:D2725)</f>
        <v>Master</v>
      </c>
      <c r="E1256" s="3" t="str">
        <f>_xlfn.XLOOKUP(A1256,'Data Cleaning'!A1256:A2725, 'Data Cleaning'!E1256:E2725)</f>
        <v>Single</v>
      </c>
      <c r="F1256" t="str">
        <f>_xlfn.XLOOKUP(A1256,'Data Cleaning'!A1256:A2725, 'Data Cleaning'!F1256:F2725)</f>
        <v>None</v>
      </c>
      <c r="G1256" s="3" t="str">
        <f>_xlfn.XLOOKUP(A1256,'Data Cleaning'!A1256:A2725, 'Data Cleaning'!J1256:J2725)</f>
        <v>Promoted in 1-3 years</v>
      </c>
    </row>
    <row r="1257" spans="1:7" x14ac:dyDescent="0.25">
      <c r="A1257" s="3">
        <v>1995</v>
      </c>
      <c r="B1257" s="3" t="str">
        <f>_xlfn.XLOOKUP(A1257,'Data Cleaning'!A1257:A2726, 'Data Cleaning'!I1257:I2726)</f>
        <v>35-44</v>
      </c>
      <c r="C1257">
        <f>_xlfn.XLOOKUP(A1257,'Data Cleaning'!A1257:A2726,'Data Cleaning'!K1257:K2726)</f>
        <v>0</v>
      </c>
      <c r="D1257" t="str">
        <f>_xlfn.XLOOKUP(A1257,'Data Cleaning'!A1257:A2726, 'Data Cleaning'!D1257:D2726)</f>
        <v>Master</v>
      </c>
      <c r="E1257" s="3" t="str">
        <f>_xlfn.XLOOKUP(A1257,'Data Cleaning'!A1257:A2726, 'Data Cleaning'!E1257:E2726)</f>
        <v>Married</v>
      </c>
      <c r="F1257" t="str">
        <f>_xlfn.XLOOKUP(A1257,'Data Cleaning'!A1257:A2726, 'Data Cleaning'!F1257:F2726)</f>
        <v>Mid</v>
      </c>
      <c r="G1257" s="3" t="str">
        <f>_xlfn.XLOOKUP(A1257,'Data Cleaning'!A1257:A2726, 'Data Cleaning'!J1257:J2726)</f>
        <v>Long Promotion gap</v>
      </c>
    </row>
    <row r="1258" spans="1:7" x14ac:dyDescent="0.25">
      <c r="A1258" s="3">
        <v>2016</v>
      </c>
      <c r="B1258" s="3" t="str">
        <f>_xlfn.XLOOKUP(A1258,'Data Cleaning'!A1258:A2727, 'Data Cleaning'!I1258:I2727)</f>
        <v>25-34</v>
      </c>
      <c r="C1258">
        <f>_xlfn.XLOOKUP(A1258,'Data Cleaning'!A1258:A2727,'Data Cleaning'!K1258:K2727)</f>
        <v>0</v>
      </c>
      <c r="D1258" t="str">
        <f>_xlfn.XLOOKUP(A1258,'Data Cleaning'!A1258:A2727, 'Data Cleaning'!D1258:D2727)</f>
        <v>Master</v>
      </c>
      <c r="E1258" s="3" t="str">
        <f>_xlfn.XLOOKUP(A1258,'Data Cleaning'!A1258:A2727, 'Data Cleaning'!E1258:E2727)</f>
        <v>Married</v>
      </c>
      <c r="F1258" t="str">
        <f>_xlfn.XLOOKUP(A1258,'Data Cleaning'!A1258:A2727, 'Data Cleaning'!F1258:F2727)</f>
        <v>Mid</v>
      </c>
      <c r="G1258" s="3" t="str">
        <f>_xlfn.XLOOKUP(A1258,'Data Cleaning'!A1258:A2727, 'Data Cleaning'!J1258:J2727)</f>
        <v>Long Promotion gap</v>
      </c>
    </row>
    <row r="1259" spans="1:7" x14ac:dyDescent="0.25">
      <c r="A1259" s="3">
        <v>1710</v>
      </c>
      <c r="B1259" s="3" t="str">
        <f>_xlfn.XLOOKUP(A1259,'Data Cleaning'!A1259:A2728, 'Data Cleaning'!I1259:I2728)</f>
        <v>35-44</v>
      </c>
      <c r="C1259">
        <f>_xlfn.XLOOKUP(A1259,'Data Cleaning'!A1259:A2728,'Data Cleaning'!K1259:K2728)</f>
        <v>0</v>
      </c>
      <c r="D1259" t="str">
        <f>_xlfn.XLOOKUP(A1259,'Data Cleaning'!A1259:A2728, 'Data Cleaning'!D1259:D2728)</f>
        <v>Master</v>
      </c>
      <c r="E1259" s="3" t="str">
        <f>_xlfn.XLOOKUP(A1259,'Data Cleaning'!A1259:A2728, 'Data Cleaning'!E1259:E2728)</f>
        <v>Single</v>
      </c>
      <c r="F1259" t="str">
        <f>_xlfn.XLOOKUP(A1259,'Data Cleaning'!A1259:A2728, 'Data Cleaning'!F1259:F2728)</f>
        <v>None</v>
      </c>
      <c r="G1259" s="3" t="str">
        <f>_xlfn.XLOOKUP(A1259,'Data Cleaning'!A1259:A2728, 'Data Cleaning'!J1259:J2728)</f>
        <v>Long Promotion gap</v>
      </c>
    </row>
    <row r="1260" spans="1:7" x14ac:dyDescent="0.25">
      <c r="A1260" s="3">
        <v>1527</v>
      </c>
      <c r="B1260" s="3" t="str">
        <f>_xlfn.XLOOKUP(A1260,'Data Cleaning'!A1260:A2729, 'Data Cleaning'!I1260:I2729)</f>
        <v>45-54</v>
      </c>
      <c r="C1260">
        <f>_xlfn.XLOOKUP(A1260,'Data Cleaning'!A1260:A2729,'Data Cleaning'!K1260:K2729)</f>
        <v>0</v>
      </c>
      <c r="D1260" t="str">
        <f>_xlfn.XLOOKUP(A1260,'Data Cleaning'!A1260:A2729, 'Data Cleaning'!D1260:D2729)</f>
        <v>Bachelor</v>
      </c>
      <c r="E1260" s="3" t="str">
        <f>_xlfn.XLOOKUP(A1260,'Data Cleaning'!A1260:A2729, 'Data Cleaning'!E1260:E2729)</f>
        <v>Married</v>
      </c>
      <c r="F1260" t="str">
        <f>_xlfn.XLOOKUP(A1260,'Data Cleaning'!A1260:A2729, 'Data Cleaning'!F1260:F2729)</f>
        <v>Low</v>
      </c>
      <c r="G1260" s="3" t="str">
        <f>_xlfn.XLOOKUP(A1260,'Data Cleaning'!A1260:A2729, 'Data Cleaning'!J1260:J2729)</f>
        <v>Long Promotion gap</v>
      </c>
    </row>
    <row r="1261" spans="1:7" x14ac:dyDescent="0.25">
      <c r="A1261" s="3">
        <v>420</v>
      </c>
      <c r="B1261" s="3" t="str">
        <f>_xlfn.XLOOKUP(A1261,'Data Cleaning'!A1261:A2730, 'Data Cleaning'!I1261:I2730)</f>
        <v>25-34</v>
      </c>
      <c r="C1261">
        <f>_xlfn.XLOOKUP(A1261,'Data Cleaning'!A1261:A2730,'Data Cleaning'!K1261:K2730)</f>
        <v>0</v>
      </c>
      <c r="D1261" t="str">
        <f>_xlfn.XLOOKUP(A1261,'Data Cleaning'!A1261:A2730, 'Data Cleaning'!D1261:D2730)</f>
        <v>Bachelor</v>
      </c>
      <c r="E1261" s="3" t="str">
        <f>_xlfn.XLOOKUP(A1261,'Data Cleaning'!A1261:A2730, 'Data Cleaning'!E1261:E2730)</f>
        <v>Married</v>
      </c>
      <c r="F1261" t="str">
        <f>_xlfn.XLOOKUP(A1261,'Data Cleaning'!A1261:A2730, 'Data Cleaning'!F1261:F2730)</f>
        <v>Low</v>
      </c>
      <c r="G1261" s="3" t="str">
        <f>_xlfn.XLOOKUP(A1261,'Data Cleaning'!A1261:A2730, 'Data Cleaning'!J1261:J2730)</f>
        <v>Long Promotion gap</v>
      </c>
    </row>
    <row r="1262" spans="1:7" x14ac:dyDescent="0.25">
      <c r="A1262" s="3">
        <v>1478</v>
      </c>
      <c r="B1262" s="3" t="str">
        <f>_xlfn.XLOOKUP(A1262,'Data Cleaning'!A1262:A2731, 'Data Cleaning'!I1262:I2731)</f>
        <v>25-34</v>
      </c>
      <c r="C1262">
        <f>_xlfn.XLOOKUP(A1262,'Data Cleaning'!A1262:A2731,'Data Cleaning'!K1262:K2731)</f>
        <v>0</v>
      </c>
      <c r="D1262" t="str">
        <f>_xlfn.XLOOKUP(A1262,'Data Cleaning'!A1262:A2731, 'Data Cleaning'!D1262:D2731)</f>
        <v>Bachelor</v>
      </c>
      <c r="E1262" s="3" t="str">
        <f>_xlfn.XLOOKUP(A1262,'Data Cleaning'!A1262:A2731, 'Data Cleaning'!E1262:E2731)</f>
        <v>Single</v>
      </c>
      <c r="F1262" t="str">
        <f>_xlfn.XLOOKUP(A1262,'Data Cleaning'!A1262:A2731, 'Data Cleaning'!F1262:F2731)</f>
        <v>None</v>
      </c>
      <c r="G1262" s="3" t="str">
        <f>_xlfn.XLOOKUP(A1262,'Data Cleaning'!A1262:A2731, 'Data Cleaning'!J1262:J2731)</f>
        <v>Promoted in 1-3 years</v>
      </c>
    </row>
    <row r="1263" spans="1:7" x14ac:dyDescent="0.25">
      <c r="A1263" s="3">
        <v>1453</v>
      </c>
      <c r="B1263" s="3" t="str">
        <f>_xlfn.XLOOKUP(A1263,'Data Cleaning'!A1263:A2732, 'Data Cleaning'!I1263:I2732)</f>
        <v>25-34</v>
      </c>
      <c r="C1263">
        <f>_xlfn.XLOOKUP(A1263,'Data Cleaning'!A1263:A2732,'Data Cleaning'!K1263:K2732)</f>
        <v>0</v>
      </c>
      <c r="D1263" t="str">
        <f>_xlfn.XLOOKUP(A1263,'Data Cleaning'!A1263:A2732, 'Data Cleaning'!D1263:D2732)</f>
        <v>College</v>
      </c>
      <c r="E1263" s="3" t="str">
        <f>_xlfn.XLOOKUP(A1263,'Data Cleaning'!A1263:A2732, 'Data Cleaning'!E1263:E2732)</f>
        <v>Divorced</v>
      </c>
      <c r="F1263" t="str">
        <f>_xlfn.XLOOKUP(A1263,'Data Cleaning'!A1263:A2732, 'Data Cleaning'!F1263:F2732)</f>
        <v>Low</v>
      </c>
      <c r="G1263" s="3" t="str">
        <f>_xlfn.XLOOKUP(A1263,'Data Cleaning'!A1263:A2732, 'Data Cleaning'!J1263:J2732)</f>
        <v>Long Promotion gap</v>
      </c>
    </row>
    <row r="1264" spans="1:7" x14ac:dyDescent="0.25">
      <c r="A1264" s="3">
        <v>436</v>
      </c>
      <c r="B1264" s="3" t="str">
        <f>_xlfn.XLOOKUP(A1264,'Data Cleaning'!A1264:A2733, 'Data Cleaning'!I1264:I2733)</f>
        <v>25-34</v>
      </c>
      <c r="C1264">
        <f>_xlfn.XLOOKUP(A1264,'Data Cleaning'!A1264:A2733,'Data Cleaning'!K1264:K2733)</f>
        <v>0</v>
      </c>
      <c r="D1264" t="str">
        <f>_xlfn.XLOOKUP(A1264,'Data Cleaning'!A1264:A2733, 'Data Cleaning'!D1264:D2733)</f>
        <v>College</v>
      </c>
      <c r="E1264" s="3" t="str">
        <f>_xlfn.XLOOKUP(A1264,'Data Cleaning'!A1264:A2733, 'Data Cleaning'!E1264:E2733)</f>
        <v>Married</v>
      </c>
      <c r="F1264" t="str">
        <f>_xlfn.XLOOKUP(A1264,'Data Cleaning'!A1264:A2733, 'Data Cleaning'!F1264:F2733)</f>
        <v>None</v>
      </c>
      <c r="G1264" s="3" t="str">
        <f>_xlfn.XLOOKUP(A1264,'Data Cleaning'!A1264:A2733, 'Data Cleaning'!J1264:J2733)</f>
        <v>Long Promotion gap</v>
      </c>
    </row>
    <row r="1265" spans="1:7" x14ac:dyDescent="0.25">
      <c r="A1265" s="3">
        <v>1039</v>
      </c>
      <c r="B1265" s="3" t="str">
        <f>_xlfn.XLOOKUP(A1265,'Data Cleaning'!A1265:A2734, 'Data Cleaning'!I1265:I2734)</f>
        <v>35-44</v>
      </c>
      <c r="C1265">
        <f>_xlfn.XLOOKUP(A1265,'Data Cleaning'!A1265:A2734,'Data Cleaning'!K1265:K2734)</f>
        <v>0</v>
      </c>
      <c r="D1265" t="str">
        <f>_xlfn.XLOOKUP(A1265,'Data Cleaning'!A1265:A2734, 'Data Cleaning'!D1265:D2734)</f>
        <v>Bachelor</v>
      </c>
      <c r="E1265" s="3" t="str">
        <f>_xlfn.XLOOKUP(A1265,'Data Cleaning'!A1265:A2734, 'Data Cleaning'!E1265:E2734)</f>
        <v>Married</v>
      </c>
      <c r="F1265" t="str">
        <f>_xlfn.XLOOKUP(A1265,'Data Cleaning'!A1265:A2734, 'Data Cleaning'!F1265:F2734)</f>
        <v>Low</v>
      </c>
      <c r="G1265" s="3" t="str">
        <f>_xlfn.XLOOKUP(A1265,'Data Cleaning'!A1265:A2734, 'Data Cleaning'!J1265:J2734)</f>
        <v>Long Promotion gap</v>
      </c>
    </row>
    <row r="1266" spans="1:7" x14ac:dyDescent="0.25">
      <c r="A1266" s="3">
        <v>215</v>
      </c>
      <c r="B1266" s="3" t="str">
        <f>_xlfn.XLOOKUP(A1266,'Data Cleaning'!A1266:A2735, 'Data Cleaning'!I1266:I2735)</f>
        <v>35-44</v>
      </c>
      <c r="C1266">
        <f>_xlfn.XLOOKUP(A1266,'Data Cleaning'!A1266:A2735,'Data Cleaning'!K1266:K2735)</f>
        <v>0</v>
      </c>
      <c r="D1266" t="str">
        <f>_xlfn.XLOOKUP(A1266,'Data Cleaning'!A1266:A2735, 'Data Cleaning'!D1266:D2735)</f>
        <v>Master</v>
      </c>
      <c r="E1266" s="3" t="str">
        <f>_xlfn.XLOOKUP(A1266,'Data Cleaning'!A1266:A2735, 'Data Cleaning'!E1266:E2735)</f>
        <v>Married</v>
      </c>
      <c r="F1266" t="str">
        <f>_xlfn.XLOOKUP(A1266,'Data Cleaning'!A1266:A2735, 'Data Cleaning'!F1266:F2735)</f>
        <v>Low</v>
      </c>
      <c r="G1266" s="3" t="str">
        <f>_xlfn.XLOOKUP(A1266,'Data Cleaning'!A1266:A2735, 'Data Cleaning'!J1266:J2735)</f>
        <v>Promoted in 1-3 years</v>
      </c>
    </row>
    <row r="1267" spans="1:7" x14ac:dyDescent="0.25">
      <c r="A1267" s="3">
        <v>1784</v>
      </c>
      <c r="B1267" s="3" t="str">
        <f>_xlfn.XLOOKUP(A1267,'Data Cleaning'!A1267:A2736, 'Data Cleaning'!I1267:I2736)</f>
        <v>25-34</v>
      </c>
      <c r="C1267">
        <f>_xlfn.XLOOKUP(A1267,'Data Cleaning'!A1267:A2736,'Data Cleaning'!K1267:K2736)</f>
        <v>0</v>
      </c>
      <c r="D1267" t="str">
        <f>_xlfn.XLOOKUP(A1267,'Data Cleaning'!A1267:A2736, 'Data Cleaning'!D1267:D2736)</f>
        <v>Master</v>
      </c>
      <c r="E1267" s="3" t="str">
        <f>_xlfn.XLOOKUP(A1267,'Data Cleaning'!A1267:A2736, 'Data Cleaning'!E1267:E2736)</f>
        <v>Married</v>
      </c>
      <c r="F1267" t="str">
        <f>_xlfn.XLOOKUP(A1267,'Data Cleaning'!A1267:A2736, 'Data Cleaning'!F1267:F2736)</f>
        <v>Mid</v>
      </c>
      <c r="G1267" s="3" t="str">
        <f>_xlfn.XLOOKUP(A1267,'Data Cleaning'!A1267:A2736, 'Data Cleaning'!J1267:J2736)</f>
        <v>Long Promotion gap</v>
      </c>
    </row>
    <row r="1268" spans="1:7" x14ac:dyDescent="0.25">
      <c r="A1268" s="3">
        <v>1124</v>
      </c>
      <c r="B1268" s="3" t="str">
        <f>_xlfn.XLOOKUP(A1268,'Data Cleaning'!A1268:A2737, 'Data Cleaning'!I1268:I2737)</f>
        <v>45-54</v>
      </c>
      <c r="C1268">
        <f>_xlfn.XLOOKUP(A1268,'Data Cleaning'!A1268:A2737,'Data Cleaning'!K1268:K2737)</f>
        <v>0</v>
      </c>
      <c r="D1268" t="str">
        <f>_xlfn.XLOOKUP(A1268,'Data Cleaning'!A1268:A2737, 'Data Cleaning'!D1268:D2737)</f>
        <v>Below College</v>
      </c>
      <c r="E1268" s="3" t="str">
        <f>_xlfn.XLOOKUP(A1268,'Data Cleaning'!A1268:A2737, 'Data Cleaning'!E1268:E2737)</f>
        <v>Married</v>
      </c>
      <c r="F1268" t="str">
        <f>_xlfn.XLOOKUP(A1268,'Data Cleaning'!A1268:A2737, 'Data Cleaning'!F1268:F2737)</f>
        <v>Low</v>
      </c>
      <c r="G1268" s="3" t="str">
        <f>_xlfn.XLOOKUP(A1268,'Data Cleaning'!A1268:A2737, 'Data Cleaning'!J1268:J2737)</f>
        <v>Long Promotion gap</v>
      </c>
    </row>
    <row r="1269" spans="1:7" x14ac:dyDescent="0.25">
      <c r="A1269" s="3">
        <v>406</v>
      </c>
      <c r="B1269" s="3" t="str">
        <f>_xlfn.XLOOKUP(A1269,'Data Cleaning'!A1269:A2738, 'Data Cleaning'!I1269:I2738)</f>
        <v>35-44</v>
      </c>
      <c r="C1269">
        <f>_xlfn.XLOOKUP(A1269,'Data Cleaning'!A1269:A2738,'Data Cleaning'!K1269:K2738)</f>
        <v>0</v>
      </c>
      <c r="D1269" t="str">
        <f>_xlfn.XLOOKUP(A1269,'Data Cleaning'!A1269:A2738, 'Data Cleaning'!D1269:D2738)</f>
        <v>Bachelor</v>
      </c>
      <c r="E1269" s="3" t="str">
        <f>_xlfn.XLOOKUP(A1269,'Data Cleaning'!A1269:A2738, 'Data Cleaning'!E1269:E2738)</f>
        <v>Married</v>
      </c>
      <c r="F1269" t="str">
        <f>_xlfn.XLOOKUP(A1269,'Data Cleaning'!A1269:A2738, 'Data Cleaning'!F1269:F2738)</f>
        <v>Mid</v>
      </c>
      <c r="G1269" s="3" t="str">
        <f>_xlfn.XLOOKUP(A1269,'Data Cleaning'!A1269:A2738, 'Data Cleaning'!J1269:J2738)</f>
        <v>Long Promotion gap</v>
      </c>
    </row>
    <row r="1270" spans="1:7" x14ac:dyDescent="0.25">
      <c r="A1270" s="3">
        <v>600</v>
      </c>
      <c r="B1270" s="3" t="str">
        <f>_xlfn.XLOOKUP(A1270,'Data Cleaning'!A1270:A2739, 'Data Cleaning'!I1270:I2739)</f>
        <v>35-44</v>
      </c>
      <c r="C1270">
        <f>_xlfn.XLOOKUP(A1270,'Data Cleaning'!A1270:A2739,'Data Cleaning'!K1270:K2739)</f>
        <v>0</v>
      </c>
      <c r="D1270" t="str">
        <f>_xlfn.XLOOKUP(A1270,'Data Cleaning'!A1270:A2739, 'Data Cleaning'!D1270:D2739)</f>
        <v>Bachelor</v>
      </c>
      <c r="E1270" s="3" t="str">
        <f>_xlfn.XLOOKUP(A1270,'Data Cleaning'!A1270:A2739, 'Data Cleaning'!E1270:E2739)</f>
        <v>Married</v>
      </c>
      <c r="F1270" t="str">
        <f>_xlfn.XLOOKUP(A1270,'Data Cleaning'!A1270:A2739, 'Data Cleaning'!F1270:F2739)</f>
        <v>None</v>
      </c>
      <c r="G1270" s="3" t="str">
        <f>_xlfn.XLOOKUP(A1270,'Data Cleaning'!A1270:A2739, 'Data Cleaning'!J1270:J2739)</f>
        <v>Long Promotion gap</v>
      </c>
    </row>
    <row r="1271" spans="1:7" x14ac:dyDescent="0.25">
      <c r="A1271" s="3">
        <v>121</v>
      </c>
      <c r="B1271" s="3" t="str">
        <f>_xlfn.XLOOKUP(A1271,'Data Cleaning'!A1271:A2740, 'Data Cleaning'!I1271:I2740)</f>
        <v>25-34</v>
      </c>
      <c r="C1271">
        <f>_xlfn.XLOOKUP(A1271,'Data Cleaning'!A1271:A2740,'Data Cleaning'!K1271:K2740)</f>
        <v>0</v>
      </c>
      <c r="D1271" t="str">
        <f>_xlfn.XLOOKUP(A1271,'Data Cleaning'!A1271:A2740, 'Data Cleaning'!D1271:D2740)</f>
        <v>College</v>
      </c>
      <c r="E1271" s="3" t="str">
        <f>_xlfn.XLOOKUP(A1271,'Data Cleaning'!A1271:A2740, 'Data Cleaning'!E1271:E2740)</f>
        <v>Divorced</v>
      </c>
      <c r="F1271" t="str">
        <f>_xlfn.XLOOKUP(A1271,'Data Cleaning'!A1271:A2740, 'Data Cleaning'!F1271:F2740)</f>
        <v>High</v>
      </c>
      <c r="G1271" s="3" t="str">
        <f>_xlfn.XLOOKUP(A1271,'Data Cleaning'!A1271:A2740, 'Data Cleaning'!J1271:J2740)</f>
        <v>Promoted in 1-3 years</v>
      </c>
    </row>
    <row r="1272" spans="1:7" x14ac:dyDescent="0.25">
      <c r="A1272" s="3">
        <v>184</v>
      </c>
      <c r="B1272" s="3" t="str">
        <f>_xlfn.XLOOKUP(A1272,'Data Cleaning'!A1272:A2741, 'Data Cleaning'!I1272:I2741)</f>
        <v>25-34</v>
      </c>
      <c r="C1272">
        <f>_xlfn.XLOOKUP(A1272,'Data Cleaning'!A1272:A2741,'Data Cleaning'!K1272:K2741)</f>
        <v>0</v>
      </c>
      <c r="D1272" t="str">
        <f>_xlfn.XLOOKUP(A1272,'Data Cleaning'!A1272:A2741, 'Data Cleaning'!D1272:D2741)</f>
        <v>Bachelor</v>
      </c>
      <c r="E1272" s="3" t="str">
        <f>_xlfn.XLOOKUP(A1272,'Data Cleaning'!A1272:A2741, 'Data Cleaning'!E1272:E2741)</f>
        <v>Married</v>
      </c>
      <c r="F1272" t="str">
        <f>_xlfn.XLOOKUP(A1272,'Data Cleaning'!A1272:A2741, 'Data Cleaning'!F1272:F2741)</f>
        <v>None</v>
      </c>
      <c r="G1272" s="3" t="str">
        <f>_xlfn.XLOOKUP(A1272,'Data Cleaning'!A1272:A2741, 'Data Cleaning'!J1272:J2741)</f>
        <v>Long Promotion gap</v>
      </c>
    </row>
    <row r="1273" spans="1:7" x14ac:dyDescent="0.25">
      <c r="A1273" s="3">
        <v>1986</v>
      </c>
      <c r="B1273" s="3" t="str">
        <f>_xlfn.XLOOKUP(A1273,'Data Cleaning'!A1273:A2742, 'Data Cleaning'!I1273:I2742)</f>
        <v>35-44</v>
      </c>
      <c r="C1273">
        <f>_xlfn.XLOOKUP(A1273,'Data Cleaning'!A1273:A2742,'Data Cleaning'!K1273:K2742)</f>
        <v>0</v>
      </c>
      <c r="D1273" t="str">
        <f>_xlfn.XLOOKUP(A1273,'Data Cleaning'!A1273:A2742, 'Data Cleaning'!D1273:D2742)</f>
        <v>College</v>
      </c>
      <c r="E1273" s="3" t="str">
        <f>_xlfn.XLOOKUP(A1273,'Data Cleaning'!A1273:A2742, 'Data Cleaning'!E1273:E2742)</f>
        <v>Married</v>
      </c>
      <c r="F1273" t="str">
        <f>_xlfn.XLOOKUP(A1273,'Data Cleaning'!A1273:A2742, 'Data Cleaning'!F1273:F2742)</f>
        <v>Low</v>
      </c>
      <c r="G1273" s="3" t="str">
        <f>_xlfn.XLOOKUP(A1273,'Data Cleaning'!A1273:A2742, 'Data Cleaning'!J1273:J2742)</f>
        <v>Long Promotion gap</v>
      </c>
    </row>
    <row r="1274" spans="1:7" x14ac:dyDescent="0.25">
      <c r="A1274" s="3">
        <v>125</v>
      </c>
      <c r="B1274" s="3" t="str">
        <f>_xlfn.XLOOKUP(A1274,'Data Cleaning'!A1274:A2743, 'Data Cleaning'!I1274:I2743)</f>
        <v>25-34</v>
      </c>
      <c r="C1274">
        <f>_xlfn.XLOOKUP(A1274,'Data Cleaning'!A1274:A2743,'Data Cleaning'!K1274:K2743)</f>
        <v>0</v>
      </c>
      <c r="D1274" t="str">
        <f>_xlfn.XLOOKUP(A1274,'Data Cleaning'!A1274:A2743, 'Data Cleaning'!D1274:D2743)</f>
        <v>Master</v>
      </c>
      <c r="E1274" s="3" t="str">
        <f>_xlfn.XLOOKUP(A1274,'Data Cleaning'!A1274:A2743, 'Data Cleaning'!E1274:E2743)</f>
        <v>Single</v>
      </c>
      <c r="F1274" t="str">
        <f>_xlfn.XLOOKUP(A1274,'Data Cleaning'!A1274:A2743, 'Data Cleaning'!F1274:F2743)</f>
        <v>None</v>
      </c>
      <c r="G1274" s="3" t="str">
        <f>_xlfn.XLOOKUP(A1274,'Data Cleaning'!A1274:A2743, 'Data Cleaning'!J1274:J2743)</f>
        <v>Long Promotion gap</v>
      </c>
    </row>
    <row r="1275" spans="1:7" x14ac:dyDescent="0.25">
      <c r="A1275" s="3">
        <v>1794</v>
      </c>
      <c r="B1275" s="3" t="str">
        <f>_xlfn.XLOOKUP(A1275,'Data Cleaning'!A1275:A2744, 'Data Cleaning'!I1275:I2744)</f>
        <v>35-44</v>
      </c>
      <c r="C1275">
        <f>_xlfn.XLOOKUP(A1275,'Data Cleaning'!A1275:A2744,'Data Cleaning'!K1275:K2744)</f>
        <v>0</v>
      </c>
      <c r="D1275" t="str">
        <f>_xlfn.XLOOKUP(A1275,'Data Cleaning'!A1275:A2744, 'Data Cleaning'!D1275:D2744)</f>
        <v>College</v>
      </c>
      <c r="E1275" s="3" t="str">
        <f>_xlfn.XLOOKUP(A1275,'Data Cleaning'!A1275:A2744, 'Data Cleaning'!E1275:E2744)</f>
        <v>Divorced</v>
      </c>
      <c r="F1275" t="str">
        <f>_xlfn.XLOOKUP(A1275,'Data Cleaning'!A1275:A2744, 'Data Cleaning'!F1275:F2744)</f>
        <v>None</v>
      </c>
      <c r="G1275" s="3" t="str">
        <f>_xlfn.XLOOKUP(A1275,'Data Cleaning'!A1275:A2744, 'Data Cleaning'!J1275:J2744)</f>
        <v>Long Promotion gap</v>
      </c>
    </row>
    <row r="1276" spans="1:7" x14ac:dyDescent="0.25">
      <c r="A1276" s="3">
        <v>228</v>
      </c>
      <c r="B1276" s="3" t="str">
        <f>_xlfn.XLOOKUP(A1276,'Data Cleaning'!A1276:A2745, 'Data Cleaning'!I1276:I2745)</f>
        <v>25-34</v>
      </c>
      <c r="C1276">
        <f>_xlfn.XLOOKUP(A1276,'Data Cleaning'!A1276:A2745,'Data Cleaning'!K1276:K2745)</f>
        <v>0</v>
      </c>
      <c r="D1276" t="str">
        <f>_xlfn.XLOOKUP(A1276,'Data Cleaning'!A1276:A2745, 'Data Cleaning'!D1276:D2745)</f>
        <v>Bachelor</v>
      </c>
      <c r="E1276" s="3" t="str">
        <f>_xlfn.XLOOKUP(A1276,'Data Cleaning'!A1276:A2745, 'Data Cleaning'!E1276:E2745)</f>
        <v>Married</v>
      </c>
      <c r="F1276" t="str">
        <f>_xlfn.XLOOKUP(A1276,'Data Cleaning'!A1276:A2745, 'Data Cleaning'!F1276:F2745)</f>
        <v>Low</v>
      </c>
      <c r="G1276" s="3" t="str">
        <f>_xlfn.XLOOKUP(A1276,'Data Cleaning'!A1276:A2745, 'Data Cleaning'!J1276:J2745)</f>
        <v>Long Promotion gap</v>
      </c>
    </row>
    <row r="1277" spans="1:7" x14ac:dyDescent="0.25">
      <c r="A1277" s="3">
        <v>1356</v>
      </c>
      <c r="B1277" s="3" t="str">
        <f>_xlfn.XLOOKUP(A1277,'Data Cleaning'!A1277:A2746, 'Data Cleaning'!I1277:I2746)</f>
        <v>25-34</v>
      </c>
      <c r="C1277">
        <f>_xlfn.XLOOKUP(A1277,'Data Cleaning'!A1277:A2746,'Data Cleaning'!K1277:K2746)</f>
        <v>0</v>
      </c>
      <c r="D1277" t="str">
        <f>_xlfn.XLOOKUP(A1277,'Data Cleaning'!A1277:A2746, 'Data Cleaning'!D1277:D2746)</f>
        <v>College</v>
      </c>
      <c r="E1277" s="3" t="str">
        <f>_xlfn.XLOOKUP(A1277,'Data Cleaning'!A1277:A2746, 'Data Cleaning'!E1277:E2746)</f>
        <v>Single</v>
      </c>
      <c r="F1277" t="str">
        <f>_xlfn.XLOOKUP(A1277,'Data Cleaning'!A1277:A2746, 'Data Cleaning'!F1277:F2746)</f>
        <v>None</v>
      </c>
      <c r="G1277" s="3" t="str">
        <f>_xlfn.XLOOKUP(A1277,'Data Cleaning'!A1277:A2746, 'Data Cleaning'!J1277:J2746)</f>
        <v>Long Promotion gap</v>
      </c>
    </row>
    <row r="1278" spans="1:7" x14ac:dyDescent="0.25">
      <c r="A1278" s="3">
        <v>621</v>
      </c>
      <c r="B1278" s="3" t="str">
        <f>_xlfn.XLOOKUP(A1278,'Data Cleaning'!A1278:A2747, 'Data Cleaning'!I1278:I2747)</f>
        <v>25-34</v>
      </c>
      <c r="C1278">
        <f>_xlfn.XLOOKUP(A1278,'Data Cleaning'!A1278:A2747,'Data Cleaning'!K1278:K2747)</f>
        <v>0</v>
      </c>
      <c r="D1278" t="str">
        <f>_xlfn.XLOOKUP(A1278,'Data Cleaning'!A1278:A2747, 'Data Cleaning'!D1278:D2747)</f>
        <v>Master</v>
      </c>
      <c r="E1278" s="3" t="str">
        <f>_xlfn.XLOOKUP(A1278,'Data Cleaning'!A1278:A2747, 'Data Cleaning'!E1278:E2747)</f>
        <v>Single</v>
      </c>
      <c r="F1278" t="str">
        <f>_xlfn.XLOOKUP(A1278,'Data Cleaning'!A1278:A2747, 'Data Cleaning'!F1278:F2747)</f>
        <v>None</v>
      </c>
      <c r="G1278" s="3" t="str">
        <f>_xlfn.XLOOKUP(A1278,'Data Cleaning'!A1278:A2747, 'Data Cleaning'!J1278:J2747)</f>
        <v>Long Promotion gap</v>
      </c>
    </row>
    <row r="1279" spans="1:7" x14ac:dyDescent="0.25">
      <c r="A1279" s="3">
        <v>1708</v>
      </c>
      <c r="B1279" s="3" t="str">
        <f>_xlfn.XLOOKUP(A1279,'Data Cleaning'!A1279:A2748, 'Data Cleaning'!I1279:I2748)</f>
        <v>35-44</v>
      </c>
      <c r="C1279">
        <f>_xlfn.XLOOKUP(A1279,'Data Cleaning'!A1279:A2748,'Data Cleaning'!K1279:K2748)</f>
        <v>0</v>
      </c>
      <c r="D1279" t="str">
        <f>_xlfn.XLOOKUP(A1279,'Data Cleaning'!A1279:A2748, 'Data Cleaning'!D1279:D2748)</f>
        <v>Bachelor</v>
      </c>
      <c r="E1279" s="3" t="str">
        <f>_xlfn.XLOOKUP(A1279,'Data Cleaning'!A1279:A2748, 'Data Cleaning'!E1279:E2748)</f>
        <v>Single</v>
      </c>
      <c r="F1279" t="str">
        <f>_xlfn.XLOOKUP(A1279,'Data Cleaning'!A1279:A2748, 'Data Cleaning'!F1279:F2748)</f>
        <v>None</v>
      </c>
      <c r="G1279" s="3" t="str">
        <f>_xlfn.XLOOKUP(A1279,'Data Cleaning'!A1279:A2748, 'Data Cleaning'!J1279:J2748)</f>
        <v>Long Promotion gap</v>
      </c>
    </row>
    <row r="1280" spans="1:7" x14ac:dyDescent="0.25">
      <c r="A1280" s="3">
        <v>1706</v>
      </c>
      <c r="B1280" s="3" t="str">
        <f>_xlfn.XLOOKUP(A1280,'Data Cleaning'!A1280:A2749, 'Data Cleaning'!I1280:I2749)</f>
        <v>35-44</v>
      </c>
      <c r="C1280">
        <f>_xlfn.XLOOKUP(A1280,'Data Cleaning'!A1280:A2749,'Data Cleaning'!K1280:K2749)</f>
        <v>0</v>
      </c>
      <c r="D1280" t="str">
        <f>_xlfn.XLOOKUP(A1280,'Data Cleaning'!A1280:A2749, 'Data Cleaning'!D1280:D2749)</f>
        <v>Bachelor</v>
      </c>
      <c r="E1280" s="3" t="str">
        <f>_xlfn.XLOOKUP(A1280,'Data Cleaning'!A1280:A2749, 'Data Cleaning'!E1280:E2749)</f>
        <v>Married</v>
      </c>
      <c r="F1280" t="str">
        <f>_xlfn.XLOOKUP(A1280,'Data Cleaning'!A1280:A2749, 'Data Cleaning'!F1280:F2749)</f>
        <v>Low</v>
      </c>
      <c r="G1280" s="3" t="str">
        <f>_xlfn.XLOOKUP(A1280,'Data Cleaning'!A1280:A2749, 'Data Cleaning'!J1280:J2749)</f>
        <v>Long Promotion gap</v>
      </c>
    </row>
    <row r="1281" spans="1:7" x14ac:dyDescent="0.25">
      <c r="A1281" s="3">
        <v>513</v>
      </c>
      <c r="B1281" s="3" t="str">
        <f>_xlfn.XLOOKUP(A1281,'Data Cleaning'!A1281:A2750, 'Data Cleaning'!I1281:I2750)</f>
        <v>35-44</v>
      </c>
      <c r="C1281">
        <f>_xlfn.XLOOKUP(A1281,'Data Cleaning'!A1281:A2750,'Data Cleaning'!K1281:K2750)</f>
        <v>0</v>
      </c>
      <c r="D1281" t="str">
        <f>_xlfn.XLOOKUP(A1281,'Data Cleaning'!A1281:A2750, 'Data Cleaning'!D1281:D2750)</f>
        <v>College</v>
      </c>
      <c r="E1281" s="3" t="str">
        <f>_xlfn.XLOOKUP(A1281,'Data Cleaning'!A1281:A2750, 'Data Cleaning'!E1281:E2750)</f>
        <v>Married</v>
      </c>
      <c r="F1281" t="str">
        <f>_xlfn.XLOOKUP(A1281,'Data Cleaning'!A1281:A2750, 'Data Cleaning'!F1281:F2750)</f>
        <v>Mid</v>
      </c>
      <c r="G1281" s="3" t="str">
        <f>_xlfn.XLOOKUP(A1281,'Data Cleaning'!A1281:A2750, 'Data Cleaning'!J1281:J2750)</f>
        <v>Long Promotion gap</v>
      </c>
    </row>
    <row r="1282" spans="1:7" x14ac:dyDescent="0.25">
      <c r="A1282" s="3">
        <v>1535</v>
      </c>
      <c r="B1282" s="3" t="str">
        <f>_xlfn.XLOOKUP(A1282,'Data Cleaning'!A1282:A2751, 'Data Cleaning'!I1282:I2751)</f>
        <v>25-34</v>
      </c>
      <c r="C1282">
        <f>_xlfn.XLOOKUP(A1282,'Data Cleaning'!A1282:A2751,'Data Cleaning'!K1282:K2751)</f>
        <v>0</v>
      </c>
      <c r="D1282" t="str">
        <f>_xlfn.XLOOKUP(A1282,'Data Cleaning'!A1282:A2751, 'Data Cleaning'!D1282:D2751)</f>
        <v>Bachelor</v>
      </c>
      <c r="E1282" s="3" t="str">
        <f>_xlfn.XLOOKUP(A1282,'Data Cleaning'!A1282:A2751, 'Data Cleaning'!E1282:E2751)</f>
        <v>Married</v>
      </c>
      <c r="F1282" t="str">
        <f>_xlfn.XLOOKUP(A1282,'Data Cleaning'!A1282:A2751, 'Data Cleaning'!F1282:F2751)</f>
        <v>None</v>
      </c>
      <c r="G1282" s="3" t="str">
        <f>_xlfn.XLOOKUP(A1282,'Data Cleaning'!A1282:A2751, 'Data Cleaning'!J1282:J2751)</f>
        <v>Long Promotion gap</v>
      </c>
    </row>
    <row r="1283" spans="1:7" x14ac:dyDescent="0.25">
      <c r="A1283" s="3">
        <v>1138</v>
      </c>
      <c r="B1283" s="3" t="str">
        <f>_xlfn.XLOOKUP(A1283,'Data Cleaning'!A1283:A2752, 'Data Cleaning'!I1283:I2752)</f>
        <v>45-54</v>
      </c>
      <c r="C1283">
        <f>_xlfn.XLOOKUP(A1283,'Data Cleaning'!A1283:A2752,'Data Cleaning'!K1283:K2752)</f>
        <v>0</v>
      </c>
      <c r="D1283" t="str">
        <f>_xlfn.XLOOKUP(A1283,'Data Cleaning'!A1283:A2752, 'Data Cleaning'!D1283:D2752)</f>
        <v>Master</v>
      </c>
      <c r="E1283" s="3" t="str">
        <f>_xlfn.XLOOKUP(A1283,'Data Cleaning'!A1283:A2752, 'Data Cleaning'!E1283:E2752)</f>
        <v>Married</v>
      </c>
      <c r="F1283" t="str">
        <f>_xlfn.XLOOKUP(A1283,'Data Cleaning'!A1283:A2752, 'Data Cleaning'!F1283:F2752)</f>
        <v>Low</v>
      </c>
      <c r="G1283" s="3" t="str">
        <f>_xlfn.XLOOKUP(A1283,'Data Cleaning'!A1283:A2752, 'Data Cleaning'!J1283:J2752)</f>
        <v>Promoted in 1-3 years</v>
      </c>
    </row>
    <row r="1284" spans="1:7" x14ac:dyDescent="0.25">
      <c r="A1284" s="3">
        <v>1070</v>
      </c>
      <c r="B1284" s="3" t="str">
        <f>_xlfn.XLOOKUP(A1284,'Data Cleaning'!A1284:A2753, 'Data Cleaning'!I1284:I2753)</f>
        <v>45-54</v>
      </c>
      <c r="C1284">
        <f>_xlfn.XLOOKUP(A1284,'Data Cleaning'!A1284:A2753,'Data Cleaning'!K1284:K2753)</f>
        <v>0</v>
      </c>
      <c r="D1284" t="str">
        <f>_xlfn.XLOOKUP(A1284,'Data Cleaning'!A1284:A2753, 'Data Cleaning'!D1284:D2753)</f>
        <v>Master</v>
      </c>
      <c r="E1284" s="3" t="str">
        <f>_xlfn.XLOOKUP(A1284,'Data Cleaning'!A1284:A2753, 'Data Cleaning'!E1284:E2753)</f>
        <v>Married</v>
      </c>
      <c r="F1284" t="str">
        <f>_xlfn.XLOOKUP(A1284,'Data Cleaning'!A1284:A2753, 'Data Cleaning'!F1284:F2753)</f>
        <v>Low</v>
      </c>
      <c r="G1284" s="3" t="str">
        <f>_xlfn.XLOOKUP(A1284,'Data Cleaning'!A1284:A2753, 'Data Cleaning'!J1284:J2753)</f>
        <v>Long Promotion gap</v>
      </c>
    </row>
    <row r="1285" spans="1:7" x14ac:dyDescent="0.25">
      <c r="A1285" s="3">
        <v>698</v>
      </c>
      <c r="B1285" s="3" t="str">
        <f>_xlfn.XLOOKUP(A1285,'Data Cleaning'!A1285:A2754, 'Data Cleaning'!I1285:I2754)</f>
        <v>45-54</v>
      </c>
      <c r="C1285">
        <f>_xlfn.XLOOKUP(A1285,'Data Cleaning'!A1285:A2754,'Data Cleaning'!K1285:K2754)</f>
        <v>0</v>
      </c>
      <c r="D1285" t="str">
        <f>_xlfn.XLOOKUP(A1285,'Data Cleaning'!A1285:A2754, 'Data Cleaning'!D1285:D2754)</f>
        <v>Master</v>
      </c>
      <c r="E1285" s="3" t="str">
        <f>_xlfn.XLOOKUP(A1285,'Data Cleaning'!A1285:A2754, 'Data Cleaning'!E1285:E2754)</f>
        <v>Married</v>
      </c>
      <c r="F1285" t="str">
        <f>_xlfn.XLOOKUP(A1285,'Data Cleaning'!A1285:A2754, 'Data Cleaning'!F1285:F2754)</f>
        <v>Low</v>
      </c>
      <c r="G1285" s="3" t="str">
        <f>_xlfn.XLOOKUP(A1285,'Data Cleaning'!A1285:A2754, 'Data Cleaning'!J1285:J2754)</f>
        <v>Long Promotion gap</v>
      </c>
    </row>
    <row r="1286" spans="1:7" x14ac:dyDescent="0.25">
      <c r="A1286" s="3">
        <v>2024</v>
      </c>
      <c r="B1286" s="3" t="str">
        <f>_xlfn.XLOOKUP(A1286,'Data Cleaning'!A1286:A2755, 'Data Cleaning'!I1286:I2755)</f>
        <v>35-44</v>
      </c>
      <c r="C1286">
        <f>_xlfn.XLOOKUP(A1286,'Data Cleaning'!A1286:A2755,'Data Cleaning'!K1286:K2755)</f>
        <v>0</v>
      </c>
      <c r="D1286" t="str">
        <f>_xlfn.XLOOKUP(A1286,'Data Cleaning'!A1286:A2755, 'Data Cleaning'!D1286:D2755)</f>
        <v>Bachelor</v>
      </c>
      <c r="E1286" s="3" t="str">
        <f>_xlfn.XLOOKUP(A1286,'Data Cleaning'!A1286:A2755, 'Data Cleaning'!E1286:E2755)</f>
        <v>Married</v>
      </c>
      <c r="F1286" t="str">
        <f>_xlfn.XLOOKUP(A1286,'Data Cleaning'!A1286:A2755, 'Data Cleaning'!F1286:F2755)</f>
        <v>Mid</v>
      </c>
      <c r="G1286" s="3" t="str">
        <f>_xlfn.XLOOKUP(A1286,'Data Cleaning'!A1286:A2755, 'Data Cleaning'!J1286:J2755)</f>
        <v>Promoted in 1-3 years</v>
      </c>
    </row>
    <row r="1287" spans="1:7" x14ac:dyDescent="0.25">
      <c r="A1287" s="3">
        <v>595</v>
      </c>
      <c r="B1287" s="3" t="str">
        <f>_xlfn.XLOOKUP(A1287,'Data Cleaning'!A1287:A2756, 'Data Cleaning'!I1287:I2756)</f>
        <v>45-54</v>
      </c>
      <c r="C1287">
        <f>_xlfn.XLOOKUP(A1287,'Data Cleaning'!A1287:A2756,'Data Cleaning'!K1287:K2756)</f>
        <v>0</v>
      </c>
      <c r="D1287" t="str">
        <f>_xlfn.XLOOKUP(A1287,'Data Cleaning'!A1287:A2756, 'Data Cleaning'!D1287:D2756)</f>
        <v>Doctor</v>
      </c>
      <c r="E1287" s="3" t="str">
        <f>_xlfn.XLOOKUP(A1287,'Data Cleaning'!A1287:A2756, 'Data Cleaning'!E1287:E2756)</f>
        <v>Married</v>
      </c>
      <c r="F1287" t="str">
        <f>_xlfn.XLOOKUP(A1287,'Data Cleaning'!A1287:A2756, 'Data Cleaning'!F1287:F2756)</f>
        <v>Low</v>
      </c>
      <c r="G1287" s="3" t="str">
        <f>_xlfn.XLOOKUP(A1287,'Data Cleaning'!A1287:A2756, 'Data Cleaning'!J1287:J2756)</f>
        <v>Long Promotion gap</v>
      </c>
    </row>
    <row r="1288" spans="1:7" x14ac:dyDescent="0.25">
      <c r="A1288" s="3">
        <v>1582</v>
      </c>
      <c r="B1288" s="3" t="str">
        <f>_xlfn.XLOOKUP(A1288,'Data Cleaning'!A1288:A2757, 'Data Cleaning'!I1288:I2757)</f>
        <v>35-44</v>
      </c>
      <c r="C1288">
        <f>_xlfn.XLOOKUP(A1288,'Data Cleaning'!A1288:A2757,'Data Cleaning'!K1288:K2757)</f>
        <v>0</v>
      </c>
      <c r="D1288" t="str">
        <f>_xlfn.XLOOKUP(A1288,'Data Cleaning'!A1288:A2757, 'Data Cleaning'!D1288:D2757)</f>
        <v>Bachelor</v>
      </c>
      <c r="E1288" s="3" t="str">
        <f>_xlfn.XLOOKUP(A1288,'Data Cleaning'!A1288:A2757, 'Data Cleaning'!E1288:E2757)</f>
        <v>Married</v>
      </c>
      <c r="F1288" t="str">
        <f>_xlfn.XLOOKUP(A1288,'Data Cleaning'!A1288:A2757, 'Data Cleaning'!F1288:F2757)</f>
        <v>Low</v>
      </c>
      <c r="G1288" s="3" t="str">
        <f>_xlfn.XLOOKUP(A1288,'Data Cleaning'!A1288:A2757, 'Data Cleaning'!J1288:J2757)</f>
        <v>Long Promotion gap</v>
      </c>
    </row>
    <row r="1289" spans="1:7" x14ac:dyDescent="0.25">
      <c r="A1289" s="3">
        <v>35</v>
      </c>
      <c r="B1289" s="3" t="str">
        <f>_xlfn.XLOOKUP(A1289,'Data Cleaning'!A1289:A2758, 'Data Cleaning'!I1289:I2758)</f>
        <v>35-44</v>
      </c>
      <c r="C1289">
        <f>_xlfn.XLOOKUP(A1289,'Data Cleaning'!A1289:A2758,'Data Cleaning'!K1289:K2758)</f>
        <v>0</v>
      </c>
      <c r="D1289" t="str">
        <f>_xlfn.XLOOKUP(A1289,'Data Cleaning'!A1289:A2758, 'Data Cleaning'!D1289:D2758)</f>
        <v>Master</v>
      </c>
      <c r="E1289" s="3" t="str">
        <f>_xlfn.XLOOKUP(A1289,'Data Cleaning'!A1289:A2758, 'Data Cleaning'!E1289:E2758)</f>
        <v>Married</v>
      </c>
      <c r="F1289" t="str">
        <f>_xlfn.XLOOKUP(A1289,'Data Cleaning'!A1289:A2758, 'Data Cleaning'!F1289:F2758)</f>
        <v>Low</v>
      </c>
      <c r="G1289" s="3" t="str">
        <f>_xlfn.XLOOKUP(A1289,'Data Cleaning'!A1289:A2758, 'Data Cleaning'!J1289:J2758)</f>
        <v>Long Promotion gap</v>
      </c>
    </row>
    <row r="1290" spans="1:7" x14ac:dyDescent="0.25">
      <c r="A1290" s="3">
        <v>416</v>
      </c>
      <c r="B1290" s="3" t="str">
        <f>_xlfn.XLOOKUP(A1290,'Data Cleaning'!A1290:A2759, 'Data Cleaning'!I1290:I2759)</f>
        <v>25-34</v>
      </c>
      <c r="C1290">
        <f>_xlfn.XLOOKUP(A1290,'Data Cleaning'!A1290:A2759,'Data Cleaning'!K1290:K2759)</f>
        <v>0</v>
      </c>
      <c r="D1290" t="str">
        <f>_xlfn.XLOOKUP(A1290,'Data Cleaning'!A1290:A2759, 'Data Cleaning'!D1290:D2759)</f>
        <v>Bachelor</v>
      </c>
      <c r="E1290" s="3" t="str">
        <f>_xlfn.XLOOKUP(A1290,'Data Cleaning'!A1290:A2759, 'Data Cleaning'!E1290:E2759)</f>
        <v>Married</v>
      </c>
      <c r="F1290" t="str">
        <f>_xlfn.XLOOKUP(A1290,'Data Cleaning'!A1290:A2759, 'Data Cleaning'!F1290:F2759)</f>
        <v>Low</v>
      </c>
      <c r="G1290" s="3" t="str">
        <f>_xlfn.XLOOKUP(A1290,'Data Cleaning'!A1290:A2759, 'Data Cleaning'!J1290:J2759)</f>
        <v>Long Promotion gap</v>
      </c>
    </row>
    <row r="1291" spans="1:7" x14ac:dyDescent="0.25">
      <c r="A1291" s="3">
        <v>1548</v>
      </c>
      <c r="B1291" s="3" t="str">
        <f>_xlfn.XLOOKUP(A1291,'Data Cleaning'!A1291:A2760, 'Data Cleaning'!I1291:I2760)</f>
        <v>35-44</v>
      </c>
      <c r="C1291">
        <f>_xlfn.XLOOKUP(A1291,'Data Cleaning'!A1291:A2760,'Data Cleaning'!K1291:K2760)</f>
        <v>0</v>
      </c>
      <c r="D1291" t="str">
        <f>_xlfn.XLOOKUP(A1291,'Data Cleaning'!A1291:A2760, 'Data Cleaning'!D1291:D2760)</f>
        <v>College</v>
      </c>
      <c r="E1291" s="3" t="str">
        <f>_xlfn.XLOOKUP(A1291,'Data Cleaning'!A1291:A2760, 'Data Cleaning'!E1291:E2760)</f>
        <v>Married</v>
      </c>
      <c r="F1291" t="str">
        <f>_xlfn.XLOOKUP(A1291,'Data Cleaning'!A1291:A2760, 'Data Cleaning'!F1291:F2760)</f>
        <v>None</v>
      </c>
      <c r="G1291" s="3" t="str">
        <f>_xlfn.XLOOKUP(A1291,'Data Cleaning'!A1291:A2760, 'Data Cleaning'!J1291:J2760)</f>
        <v>Long Promotion gap</v>
      </c>
    </row>
    <row r="1292" spans="1:7" x14ac:dyDescent="0.25">
      <c r="A1292" s="3">
        <v>606</v>
      </c>
      <c r="B1292" s="3" t="str">
        <f>_xlfn.XLOOKUP(A1292,'Data Cleaning'!A1292:A2761, 'Data Cleaning'!I1292:I2761)</f>
        <v>45-54</v>
      </c>
      <c r="C1292">
        <f>_xlfn.XLOOKUP(A1292,'Data Cleaning'!A1292:A2761,'Data Cleaning'!K1292:K2761)</f>
        <v>0</v>
      </c>
      <c r="D1292" t="str">
        <f>_xlfn.XLOOKUP(A1292,'Data Cleaning'!A1292:A2761, 'Data Cleaning'!D1292:D2761)</f>
        <v>Bachelor</v>
      </c>
      <c r="E1292" s="3" t="str">
        <f>_xlfn.XLOOKUP(A1292,'Data Cleaning'!A1292:A2761, 'Data Cleaning'!E1292:E2761)</f>
        <v>Married</v>
      </c>
      <c r="F1292" t="str">
        <f>_xlfn.XLOOKUP(A1292,'Data Cleaning'!A1292:A2761, 'Data Cleaning'!F1292:F2761)</f>
        <v>Low</v>
      </c>
      <c r="G1292" s="3" t="str">
        <f>_xlfn.XLOOKUP(A1292,'Data Cleaning'!A1292:A2761, 'Data Cleaning'!J1292:J2761)</f>
        <v>Promoted in 1-3 years</v>
      </c>
    </row>
    <row r="1293" spans="1:7" x14ac:dyDescent="0.25">
      <c r="A1293" s="3">
        <v>760</v>
      </c>
      <c r="B1293" s="3" t="str">
        <f>_xlfn.XLOOKUP(A1293,'Data Cleaning'!A1293:A2762, 'Data Cleaning'!I1293:I2762)</f>
        <v>35-44</v>
      </c>
      <c r="C1293">
        <f>_xlfn.XLOOKUP(A1293,'Data Cleaning'!A1293:A2762,'Data Cleaning'!K1293:K2762)</f>
        <v>0</v>
      </c>
      <c r="D1293" t="str">
        <f>_xlfn.XLOOKUP(A1293,'Data Cleaning'!A1293:A2762, 'Data Cleaning'!D1293:D2762)</f>
        <v>Bachelor</v>
      </c>
      <c r="E1293" s="3" t="str">
        <f>_xlfn.XLOOKUP(A1293,'Data Cleaning'!A1293:A2762, 'Data Cleaning'!E1293:E2762)</f>
        <v>Married</v>
      </c>
      <c r="F1293" t="str">
        <f>_xlfn.XLOOKUP(A1293,'Data Cleaning'!A1293:A2762, 'Data Cleaning'!F1293:F2762)</f>
        <v>Low</v>
      </c>
      <c r="G1293" s="3" t="str">
        <f>_xlfn.XLOOKUP(A1293,'Data Cleaning'!A1293:A2762, 'Data Cleaning'!J1293:J2762)</f>
        <v>Promoted in 1-3 years</v>
      </c>
    </row>
    <row r="1294" spans="1:7" x14ac:dyDescent="0.25">
      <c r="A1294" s="3">
        <v>1557</v>
      </c>
      <c r="B1294" s="3" t="str">
        <f>_xlfn.XLOOKUP(A1294,'Data Cleaning'!A1294:A2763, 'Data Cleaning'!I1294:I2763)</f>
        <v>45-54</v>
      </c>
      <c r="C1294">
        <f>_xlfn.XLOOKUP(A1294,'Data Cleaning'!A1294:A2763,'Data Cleaning'!K1294:K2763)</f>
        <v>0</v>
      </c>
      <c r="D1294" t="str">
        <f>_xlfn.XLOOKUP(A1294,'Data Cleaning'!A1294:A2763, 'Data Cleaning'!D1294:D2763)</f>
        <v>Master</v>
      </c>
      <c r="E1294" s="3" t="str">
        <f>_xlfn.XLOOKUP(A1294,'Data Cleaning'!A1294:A2763, 'Data Cleaning'!E1294:E2763)</f>
        <v>Divorced</v>
      </c>
      <c r="F1294" t="str">
        <f>_xlfn.XLOOKUP(A1294,'Data Cleaning'!A1294:A2763, 'Data Cleaning'!F1294:F2763)</f>
        <v>Low</v>
      </c>
      <c r="G1294" s="3" t="str">
        <f>_xlfn.XLOOKUP(A1294,'Data Cleaning'!A1294:A2763, 'Data Cleaning'!J1294:J2763)</f>
        <v>Long Promotion gap</v>
      </c>
    </row>
    <row r="1295" spans="1:7" x14ac:dyDescent="0.25">
      <c r="A1295" s="3">
        <v>783</v>
      </c>
      <c r="B1295" s="3" t="str">
        <f>_xlfn.XLOOKUP(A1295,'Data Cleaning'!A1295:A2764, 'Data Cleaning'!I1295:I2764)</f>
        <v>45-54</v>
      </c>
      <c r="C1295">
        <f>_xlfn.XLOOKUP(A1295,'Data Cleaning'!A1295:A2764,'Data Cleaning'!K1295:K2764)</f>
        <v>0</v>
      </c>
      <c r="D1295" t="str">
        <f>_xlfn.XLOOKUP(A1295,'Data Cleaning'!A1295:A2764, 'Data Cleaning'!D1295:D2764)</f>
        <v>College</v>
      </c>
      <c r="E1295" s="3" t="str">
        <f>_xlfn.XLOOKUP(A1295,'Data Cleaning'!A1295:A2764, 'Data Cleaning'!E1295:E2764)</f>
        <v>Single</v>
      </c>
      <c r="F1295" t="str">
        <f>_xlfn.XLOOKUP(A1295,'Data Cleaning'!A1295:A2764, 'Data Cleaning'!F1295:F2764)</f>
        <v>None</v>
      </c>
      <c r="G1295" s="3" t="str">
        <f>_xlfn.XLOOKUP(A1295,'Data Cleaning'!A1295:A2764, 'Data Cleaning'!J1295:J2764)</f>
        <v>Promoted in 1-3 years</v>
      </c>
    </row>
    <row r="1296" spans="1:7" x14ac:dyDescent="0.25">
      <c r="A1296" s="3">
        <v>1119</v>
      </c>
      <c r="B1296" s="3" t="str">
        <f>_xlfn.XLOOKUP(A1296,'Data Cleaning'!A1296:A2765, 'Data Cleaning'!I1296:I2765)</f>
        <v>35-44</v>
      </c>
      <c r="C1296">
        <f>_xlfn.XLOOKUP(A1296,'Data Cleaning'!A1296:A2765,'Data Cleaning'!K1296:K2765)</f>
        <v>0</v>
      </c>
      <c r="D1296" t="str">
        <f>_xlfn.XLOOKUP(A1296,'Data Cleaning'!A1296:A2765, 'Data Cleaning'!D1296:D2765)</f>
        <v>Master</v>
      </c>
      <c r="E1296" s="3" t="str">
        <f>_xlfn.XLOOKUP(A1296,'Data Cleaning'!A1296:A2765, 'Data Cleaning'!E1296:E2765)</f>
        <v>Divorced</v>
      </c>
      <c r="F1296" t="str">
        <f>_xlfn.XLOOKUP(A1296,'Data Cleaning'!A1296:A2765, 'Data Cleaning'!F1296:F2765)</f>
        <v>Mid</v>
      </c>
      <c r="G1296" s="3" t="str">
        <f>_xlfn.XLOOKUP(A1296,'Data Cleaning'!A1296:A2765, 'Data Cleaning'!J1296:J2765)</f>
        <v>Promoted in 1-3 years</v>
      </c>
    </row>
    <row r="1297" spans="1:7" x14ac:dyDescent="0.25">
      <c r="A1297" s="3">
        <v>476</v>
      </c>
      <c r="B1297" s="3" t="str">
        <f>_xlfn.XLOOKUP(A1297,'Data Cleaning'!A1297:A2766, 'Data Cleaning'!I1297:I2766)</f>
        <v>25-34</v>
      </c>
      <c r="C1297">
        <f>_xlfn.XLOOKUP(A1297,'Data Cleaning'!A1297:A2766,'Data Cleaning'!K1297:K2766)</f>
        <v>0</v>
      </c>
      <c r="D1297" t="str">
        <f>_xlfn.XLOOKUP(A1297,'Data Cleaning'!A1297:A2766, 'Data Cleaning'!D1297:D2766)</f>
        <v>Bachelor</v>
      </c>
      <c r="E1297" s="3" t="str">
        <f>_xlfn.XLOOKUP(A1297,'Data Cleaning'!A1297:A2766, 'Data Cleaning'!E1297:E2766)</f>
        <v>Married</v>
      </c>
      <c r="F1297" t="str">
        <f>_xlfn.XLOOKUP(A1297,'Data Cleaning'!A1297:A2766, 'Data Cleaning'!F1297:F2766)</f>
        <v>Low</v>
      </c>
      <c r="G1297" s="3" t="str">
        <f>_xlfn.XLOOKUP(A1297,'Data Cleaning'!A1297:A2766, 'Data Cleaning'!J1297:J2766)</f>
        <v>Long Promotion gap</v>
      </c>
    </row>
    <row r="1298" spans="1:7" x14ac:dyDescent="0.25">
      <c r="A1298" s="3">
        <v>1588</v>
      </c>
      <c r="B1298" s="3" t="str">
        <f>_xlfn.XLOOKUP(A1298,'Data Cleaning'!A1298:A2767, 'Data Cleaning'!I1298:I2767)</f>
        <v>35-44</v>
      </c>
      <c r="C1298">
        <f>_xlfn.XLOOKUP(A1298,'Data Cleaning'!A1298:A2767,'Data Cleaning'!K1298:K2767)</f>
        <v>0</v>
      </c>
      <c r="D1298" t="str">
        <f>_xlfn.XLOOKUP(A1298,'Data Cleaning'!A1298:A2767, 'Data Cleaning'!D1298:D2767)</f>
        <v>Bachelor</v>
      </c>
      <c r="E1298" s="3" t="str">
        <f>_xlfn.XLOOKUP(A1298,'Data Cleaning'!A1298:A2767, 'Data Cleaning'!E1298:E2767)</f>
        <v>Married</v>
      </c>
      <c r="F1298" t="str">
        <f>_xlfn.XLOOKUP(A1298,'Data Cleaning'!A1298:A2767, 'Data Cleaning'!F1298:F2767)</f>
        <v>Low</v>
      </c>
      <c r="G1298" s="3" t="str">
        <f>_xlfn.XLOOKUP(A1298,'Data Cleaning'!A1298:A2767, 'Data Cleaning'!J1298:J2767)</f>
        <v>Long Promotion gap</v>
      </c>
    </row>
    <row r="1299" spans="1:7" x14ac:dyDescent="0.25">
      <c r="A1299" s="3">
        <v>1338</v>
      </c>
      <c r="B1299" s="3" t="str">
        <f>_xlfn.XLOOKUP(A1299,'Data Cleaning'!A1299:A2768, 'Data Cleaning'!I1299:I2768)</f>
        <v>55-60</v>
      </c>
      <c r="C1299">
        <f>_xlfn.XLOOKUP(A1299,'Data Cleaning'!A1299:A2768,'Data Cleaning'!K1299:K2768)</f>
        <v>0</v>
      </c>
      <c r="D1299" t="str">
        <f>_xlfn.XLOOKUP(A1299,'Data Cleaning'!A1299:A2768, 'Data Cleaning'!D1299:D2768)</f>
        <v>Master</v>
      </c>
      <c r="E1299" s="3" t="str">
        <f>_xlfn.XLOOKUP(A1299,'Data Cleaning'!A1299:A2768, 'Data Cleaning'!E1299:E2768)</f>
        <v>Single</v>
      </c>
      <c r="F1299" t="str">
        <f>_xlfn.XLOOKUP(A1299,'Data Cleaning'!A1299:A2768, 'Data Cleaning'!F1299:F2768)</f>
        <v>None</v>
      </c>
      <c r="G1299" s="3" t="str">
        <f>_xlfn.XLOOKUP(A1299,'Data Cleaning'!A1299:A2768, 'Data Cleaning'!J1299:J2768)</f>
        <v>Long Promotion gap</v>
      </c>
    </row>
    <row r="1300" spans="1:7" x14ac:dyDescent="0.25">
      <c r="A1300" s="3">
        <v>1066</v>
      </c>
      <c r="B1300" s="3" t="str">
        <f>_xlfn.XLOOKUP(A1300,'Data Cleaning'!A1300:A2769, 'Data Cleaning'!I1300:I2769)</f>
        <v>35-44</v>
      </c>
      <c r="C1300">
        <f>_xlfn.XLOOKUP(A1300,'Data Cleaning'!A1300:A2769,'Data Cleaning'!K1300:K2769)</f>
        <v>0</v>
      </c>
      <c r="D1300" t="str">
        <f>_xlfn.XLOOKUP(A1300,'Data Cleaning'!A1300:A2769, 'Data Cleaning'!D1300:D2769)</f>
        <v>Bachelor</v>
      </c>
      <c r="E1300" s="3" t="str">
        <f>_xlfn.XLOOKUP(A1300,'Data Cleaning'!A1300:A2769, 'Data Cleaning'!E1300:E2769)</f>
        <v>Married</v>
      </c>
      <c r="F1300" t="str">
        <f>_xlfn.XLOOKUP(A1300,'Data Cleaning'!A1300:A2769, 'Data Cleaning'!F1300:F2769)</f>
        <v>Low</v>
      </c>
      <c r="G1300" s="3" t="str">
        <f>_xlfn.XLOOKUP(A1300,'Data Cleaning'!A1300:A2769, 'Data Cleaning'!J1300:J2769)</f>
        <v>Long Promotion gap</v>
      </c>
    </row>
    <row r="1301" spans="1:7" x14ac:dyDescent="0.25">
      <c r="A1301" s="3">
        <v>363</v>
      </c>
      <c r="B1301" s="3" t="str">
        <f>_xlfn.XLOOKUP(A1301,'Data Cleaning'!A1301:A2770, 'Data Cleaning'!I1301:I2770)</f>
        <v>45-54</v>
      </c>
      <c r="C1301">
        <f>_xlfn.XLOOKUP(A1301,'Data Cleaning'!A1301:A2770,'Data Cleaning'!K1301:K2770)</f>
        <v>0</v>
      </c>
      <c r="D1301" t="str">
        <f>_xlfn.XLOOKUP(A1301,'Data Cleaning'!A1301:A2770, 'Data Cleaning'!D1301:D2770)</f>
        <v>Bachelor</v>
      </c>
      <c r="E1301" s="3" t="str">
        <f>_xlfn.XLOOKUP(A1301,'Data Cleaning'!A1301:A2770, 'Data Cleaning'!E1301:E2770)</f>
        <v>Married</v>
      </c>
      <c r="F1301" t="str">
        <f>_xlfn.XLOOKUP(A1301,'Data Cleaning'!A1301:A2770, 'Data Cleaning'!F1301:F2770)</f>
        <v>Low</v>
      </c>
      <c r="G1301" s="3" t="str">
        <f>_xlfn.XLOOKUP(A1301,'Data Cleaning'!A1301:A2770, 'Data Cleaning'!J1301:J2770)</f>
        <v>Long Promotion gap</v>
      </c>
    </row>
    <row r="1302" spans="1:7" x14ac:dyDescent="0.25">
      <c r="A1302" s="3">
        <v>941</v>
      </c>
      <c r="B1302" s="3" t="str">
        <f>_xlfn.XLOOKUP(A1302,'Data Cleaning'!A1302:A2771, 'Data Cleaning'!I1302:I2771)</f>
        <v>25-34</v>
      </c>
      <c r="C1302">
        <f>_xlfn.XLOOKUP(A1302,'Data Cleaning'!A1302:A2771,'Data Cleaning'!K1302:K2771)</f>
        <v>0</v>
      </c>
      <c r="D1302" t="str">
        <f>_xlfn.XLOOKUP(A1302,'Data Cleaning'!A1302:A2771, 'Data Cleaning'!D1302:D2771)</f>
        <v>Master</v>
      </c>
      <c r="E1302" s="3" t="str">
        <f>_xlfn.XLOOKUP(A1302,'Data Cleaning'!A1302:A2771, 'Data Cleaning'!E1302:E2771)</f>
        <v>Married</v>
      </c>
      <c r="F1302" t="str">
        <f>_xlfn.XLOOKUP(A1302,'Data Cleaning'!A1302:A2771, 'Data Cleaning'!F1302:F2771)</f>
        <v>None</v>
      </c>
      <c r="G1302" s="3" t="str">
        <f>_xlfn.XLOOKUP(A1302,'Data Cleaning'!A1302:A2771, 'Data Cleaning'!J1302:J2771)</f>
        <v>Long Promotion gap</v>
      </c>
    </row>
    <row r="1303" spans="1:7" x14ac:dyDescent="0.25">
      <c r="A1303" s="3">
        <v>1403</v>
      </c>
      <c r="B1303" s="3" t="str">
        <f>_xlfn.XLOOKUP(A1303,'Data Cleaning'!A1303:A2772, 'Data Cleaning'!I1303:I2772)</f>
        <v>25-34</v>
      </c>
      <c r="C1303">
        <f>_xlfn.XLOOKUP(A1303,'Data Cleaning'!A1303:A2772,'Data Cleaning'!K1303:K2772)</f>
        <v>0</v>
      </c>
      <c r="D1303" t="str">
        <f>_xlfn.XLOOKUP(A1303,'Data Cleaning'!A1303:A2772, 'Data Cleaning'!D1303:D2772)</f>
        <v>Bachelor</v>
      </c>
      <c r="E1303" s="3" t="str">
        <f>_xlfn.XLOOKUP(A1303,'Data Cleaning'!A1303:A2772, 'Data Cleaning'!E1303:E2772)</f>
        <v>Married</v>
      </c>
      <c r="F1303" t="str">
        <f>_xlfn.XLOOKUP(A1303,'Data Cleaning'!A1303:A2772, 'Data Cleaning'!F1303:F2772)</f>
        <v>None</v>
      </c>
      <c r="G1303" s="3" t="str">
        <f>_xlfn.XLOOKUP(A1303,'Data Cleaning'!A1303:A2772, 'Data Cleaning'!J1303:J2772)</f>
        <v>Long Promotion gap</v>
      </c>
    </row>
    <row r="1304" spans="1:7" x14ac:dyDescent="0.25">
      <c r="A1304" s="3">
        <v>533</v>
      </c>
      <c r="B1304" s="3" t="str">
        <f>_xlfn.XLOOKUP(A1304,'Data Cleaning'!A1304:A2773, 'Data Cleaning'!I1304:I2773)</f>
        <v>25-34</v>
      </c>
      <c r="C1304">
        <f>_xlfn.XLOOKUP(A1304,'Data Cleaning'!A1304:A2773,'Data Cleaning'!K1304:K2773)</f>
        <v>0</v>
      </c>
      <c r="D1304" t="str">
        <f>_xlfn.XLOOKUP(A1304,'Data Cleaning'!A1304:A2773, 'Data Cleaning'!D1304:D2773)</f>
        <v>Bachelor</v>
      </c>
      <c r="E1304" s="3" t="str">
        <f>_xlfn.XLOOKUP(A1304,'Data Cleaning'!A1304:A2773, 'Data Cleaning'!E1304:E2773)</f>
        <v>Single</v>
      </c>
      <c r="F1304" t="str">
        <f>_xlfn.XLOOKUP(A1304,'Data Cleaning'!A1304:A2773, 'Data Cleaning'!F1304:F2773)</f>
        <v>None</v>
      </c>
      <c r="G1304" s="3" t="str">
        <f>_xlfn.XLOOKUP(A1304,'Data Cleaning'!A1304:A2773, 'Data Cleaning'!J1304:J2773)</f>
        <v>Long Promotion gap</v>
      </c>
    </row>
    <row r="1305" spans="1:7" x14ac:dyDescent="0.25">
      <c r="A1305" s="3">
        <v>2013</v>
      </c>
      <c r="B1305" s="3" t="str">
        <f>_xlfn.XLOOKUP(A1305,'Data Cleaning'!A1305:A2774, 'Data Cleaning'!I1305:I2774)</f>
        <v>25-34</v>
      </c>
      <c r="C1305">
        <f>_xlfn.XLOOKUP(A1305,'Data Cleaning'!A1305:A2774,'Data Cleaning'!K1305:K2774)</f>
        <v>0</v>
      </c>
      <c r="D1305" t="str">
        <f>_xlfn.XLOOKUP(A1305,'Data Cleaning'!A1305:A2774, 'Data Cleaning'!D1305:D2774)</f>
        <v>Master</v>
      </c>
      <c r="E1305" s="3" t="str">
        <f>_xlfn.XLOOKUP(A1305,'Data Cleaning'!A1305:A2774, 'Data Cleaning'!E1305:E2774)</f>
        <v>Married</v>
      </c>
      <c r="F1305" t="str">
        <f>_xlfn.XLOOKUP(A1305,'Data Cleaning'!A1305:A2774, 'Data Cleaning'!F1305:F2774)</f>
        <v>Low</v>
      </c>
      <c r="G1305" s="3" t="str">
        <f>_xlfn.XLOOKUP(A1305,'Data Cleaning'!A1305:A2774, 'Data Cleaning'!J1305:J2774)</f>
        <v>Promoted in 1-3 years</v>
      </c>
    </row>
    <row r="1306" spans="1:7" x14ac:dyDescent="0.25">
      <c r="A1306" s="3">
        <v>1657</v>
      </c>
      <c r="B1306" s="3" t="str">
        <f>_xlfn.XLOOKUP(A1306,'Data Cleaning'!A1306:A2775, 'Data Cleaning'!I1306:I2775)</f>
        <v>18-24</v>
      </c>
      <c r="C1306">
        <f>_xlfn.XLOOKUP(A1306,'Data Cleaning'!A1306:A2775,'Data Cleaning'!K1306:K2775)</f>
        <v>0</v>
      </c>
      <c r="D1306" t="str">
        <f>_xlfn.XLOOKUP(A1306,'Data Cleaning'!A1306:A2775, 'Data Cleaning'!D1306:D2775)</f>
        <v>Bachelor</v>
      </c>
      <c r="E1306" s="3" t="str">
        <f>_xlfn.XLOOKUP(A1306,'Data Cleaning'!A1306:A2775, 'Data Cleaning'!E1306:E2775)</f>
        <v>Single</v>
      </c>
      <c r="F1306" t="str">
        <f>_xlfn.XLOOKUP(A1306,'Data Cleaning'!A1306:A2775, 'Data Cleaning'!F1306:F2775)</f>
        <v>None</v>
      </c>
      <c r="G1306" s="3" t="str">
        <f>_xlfn.XLOOKUP(A1306,'Data Cleaning'!A1306:A2775, 'Data Cleaning'!J1306:J2775)</f>
        <v>Promoted in 1-3 years</v>
      </c>
    </row>
    <row r="1307" spans="1:7" x14ac:dyDescent="0.25">
      <c r="A1307" s="3">
        <v>1226</v>
      </c>
      <c r="B1307" s="3" t="str">
        <f>_xlfn.XLOOKUP(A1307,'Data Cleaning'!A1307:A2776, 'Data Cleaning'!I1307:I2776)</f>
        <v>18-24</v>
      </c>
      <c r="C1307">
        <f>_xlfn.XLOOKUP(A1307,'Data Cleaning'!A1307:A2776,'Data Cleaning'!K1307:K2776)</f>
        <v>0</v>
      </c>
      <c r="D1307" t="str">
        <f>_xlfn.XLOOKUP(A1307,'Data Cleaning'!A1307:A2776, 'Data Cleaning'!D1307:D2776)</f>
        <v>Bachelor</v>
      </c>
      <c r="E1307" s="3" t="str">
        <f>_xlfn.XLOOKUP(A1307,'Data Cleaning'!A1307:A2776, 'Data Cleaning'!E1307:E2776)</f>
        <v>Single</v>
      </c>
      <c r="F1307" t="str">
        <f>_xlfn.XLOOKUP(A1307,'Data Cleaning'!A1307:A2776, 'Data Cleaning'!F1307:F2776)</f>
        <v>None</v>
      </c>
      <c r="G1307" s="3" t="str">
        <f>_xlfn.XLOOKUP(A1307,'Data Cleaning'!A1307:A2776, 'Data Cleaning'!J1307:J2776)</f>
        <v>Promoted in 1-3 years</v>
      </c>
    </row>
    <row r="1308" spans="1:7" x14ac:dyDescent="0.25">
      <c r="A1308" s="3">
        <v>1683</v>
      </c>
      <c r="B1308" s="3" t="str">
        <f>_xlfn.XLOOKUP(A1308,'Data Cleaning'!A1308:A2777, 'Data Cleaning'!I1308:I2777)</f>
        <v>35-44</v>
      </c>
      <c r="C1308">
        <f>_xlfn.XLOOKUP(A1308,'Data Cleaning'!A1308:A2777,'Data Cleaning'!K1308:K2777)</f>
        <v>0</v>
      </c>
      <c r="D1308" t="str">
        <f>_xlfn.XLOOKUP(A1308,'Data Cleaning'!A1308:A2777, 'Data Cleaning'!D1308:D2777)</f>
        <v>Bachelor</v>
      </c>
      <c r="E1308" s="3" t="str">
        <f>_xlfn.XLOOKUP(A1308,'Data Cleaning'!A1308:A2777, 'Data Cleaning'!E1308:E2777)</f>
        <v>Divorced</v>
      </c>
      <c r="F1308" t="str">
        <f>_xlfn.XLOOKUP(A1308,'Data Cleaning'!A1308:A2777, 'Data Cleaning'!F1308:F2777)</f>
        <v>High</v>
      </c>
      <c r="G1308" s="3" t="str">
        <f>_xlfn.XLOOKUP(A1308,'Data Cleaning'!A1308:A2777, 'Data Cleaning'!J1308:J2777)</f>
        <v>Promoted in 1-3 years</v>
      </c>
    </row>
    <row r="1309" spans="1:7" x14ac:dyDescent="0.25">
      <c r="A1309" s="3">
        <v>712</v>
      </c>
      <c r="B1309" s="3" t="str">
        <f>_xlfn.XLOOKUP(A1309,'Data Cleaning'!A1309:A2778, 'Data Cleaning'!I1309:I2778)</f>
        <v>45-54</v>
      </c>
      <c r="C1309">
        <f>_xlfn.XLOOKUP(A1309,'Data Cleaning'!A1309:A2778,'Data Cleaning'!K1309:K2778)</f>
        <v>0</v>
      </c>
      <c r="D1309" t="str">
        <f>_xlfn.XLOOKUP(A1309,'Data Cleaning'!A1309:A2778, 'Data Cleaning'!D1309:D2778)</f>
        <v>Below College</v>
      </c>
      <c r="E1309" s="3" t="str">
        <f>_xlfn.XLOOKUP(A1309,'Data Cleaning'!A1309:A2778, 'Data Cleaning'!E1309:E2778)</f>
        <v>Married</v>
      </c>
      <c r="F1309" t="str">
        <f>_xlfn.XLOOKUP(A1309,'Data Cleaning'!A1309:A2778, 'Data Cleaning'!F1309:F2778)</f>
        <v>None</v>
      </c>
      <c r="G1309" s="3" t="str">
        <f>_xlfn.XLOOKUP(A1309,'Data Cleaning'!A1309:A2778, 'Data Cleaning'!J1309:J2778)</f>
        <v>Promoted in 1-3 years</v>
      </c>
    </row>
    <row r="1310" spans="1:7" x14ac:dyDescent="0.25">
      <c r="A1310" s="3">
        <v>1466</v>
      </c>
      <c r="B1310" s="3" t="str">
        <f>_xlfn.XLOOKUP(A1310,'Data Cleaning'!A1310:A2779, 'Data Cleaning'!I1310:I2779)</f>
        <v>45-54</v>
      </c>
      <c r="C1310">
        <f>_xlfn.XLOOKUP(A1310,'Data Cleaning'!A1310:A2779,'Data Cleaning'!K1310:K2779)</f>
        <v>0</v>
      </c>
      <c r="D1310" t="str">
        <f>_xlfn.XLOOKUP(A1310,'Data Cleaning'!A1310:A2779, 'Data Cleaning'!D1310:D2779)</f>
        <v>Bachelor</v>
      </c>
      <c r="E1310" s="3" t="str">
        <f>_xlfn.XLOOKUP(A1310,'Data Cleaning'!A1310:A2779, 'Data Cleaning'!E1310:E2779)</f>
        <v>Divorced</v>
      </c>
      <c r="F1310" t="str">
        <f>_xlfn.XLOOKUP(A1310,'Data Cleaning'!A1310:A2779, 'Data Cleaning'!F1310:F2779)</f>
        <v>High</v>
      </c>
      <c r="G1310" s="3" t="str">
        <f>_xlfn.XLOOKUP(A1310,'Data Cleaning'!A1310:A2779, 'Data Cleaning'!J1310:J2779)</f>
        <v>Promoted in 1-3 years</v>
      </c>
    </row>
    <row r="1311" spans="1:7" x14ac:dyDescent="0.25">
      <c r="A1311" s="3">
        <v>183</v>
      </c>
      <c r="B1311" s="3" t="str">
        <f>_xlfn.XLOOKUP(A1311,'Data Cleaning'!A1311:A2780, 'Data Cleaning'!I1311:I2780)</f>
        <v>25-34</v>
      </c>
      <c r="C1311">
        <f>_xlfn.XLOOKUP(A1311,'Data Cleaning'!A1311:A2780,'Data Cleaning'!K1311:K2780)</f>
        <v>0</v>
      </c>
      <c r="D1311" t="str">
        <f>_xlfn.XLOOKUP(A1311,'Data Cleaning'!A1311:A2780, 'Data Cleaning'!D1311:D2780)</f>
        <v>Bachelor</v>
      </c>
      <c r="E1311" s="3" t="str">
        <f>_xlfn.XLOOKUP(A1311,'Data Cleaning'!A1311:A2780, 'Data Cleaning'!E1311:E2780)</f>
        <v>Married</v>
      </c>
      <c r="F1311" t="str">
        <f>_xlfn.XLOOKUP(A1311,'Data Cleaning'!A1311:A2780, 'Data Cleaning'!F1311:F2780)</f>
        <v>None</v>
      </c>
      <c r="G1311" s="3" t="str">
        <f>_xlfn.XLOOKUP(A1311,'Data Cleaning'!A1311:A2780, 'Data Cleaning'!J1311:J2780)</f>
        <v>Promoted in 1-3 years</v>
      </c>
    </row>
    <row r="1312" spans="1:7" x14ac:dyDescent="0.25">
      <c r="A1312" s="3">
        <v>766</v>
      </c>
      <c r="B1312" s="3" t="str">
        <f>_xlfn.XLOOKUP(A1312,'Data Cleaning'!A1312:A2781, 'Data Cleaning'!I1312:I2781)</f>
        <v>25-34</v>
      </c>
      <c r="C1312">
        <f>_xlfn.XLOOKUP(A1312,'Data Cleaning'!A1312:A2781,'Data Cleaning'!K1312:K2781)</f>
        <v>0</v>
      </c>
      <c r="D1312" t="str">
        <f>_xlfn.XLOOKUP(A1312,'Data Cleaning'!A1312:A2781, 'Data Cleaning'!D1312:D2781)</f>
        <v>Bachelor</v>
      </c>
      <c r="E1312" s="3" t="str">
        <f>_xlfn.XLOOKUP(A1312,'Data Cleaning'!A1312:A2781, 'Data Cleaning'!E1312:E2781)</f>
        <v>Divorced</v>
      </c>
      <c r="F1312" t="str">
        <f>_xlfn.XLOOKUP(A1312,'Data Cleaning'!A1312:A2781, 'Data Cleaning'!F1312:F2781)</f>
        <v>Mid</v>
      </c>
      <c r="G1312" s="3" t="str">
        <f>_xlfn.XLOOKUP(A1312,'Data Cleaning'!A1312:A2781, 'Data Cleaning'!J1312:J2781)</f>
        <v>Promoted in 1-3 years</v>
      </c>
    </row>
    <row r="1313" spans="1:7" x14ac:dyDescent="0.25">
      <c r="A1313" s="3">
        <v>374</v>
      </c>
      <c r="B1313" s="3" t="str">
        <f>_xlfn.XLOOKUP(A1313,'Data Cleaning'!A1313:A2782, 'Data Cleaning'!I1313:I2782)</f>
        <v>55-60</v>
      </c>
      <c r="C1313">
        <f>_xlfn.XLOOKUP(A1313,'Data Cleaning'!A1313:A2782,'Data Cleaning'!K1313:K2782)</f>
        <v>0</v>
      </c>
      <c r="D1313" t="str">
        <f>_xlfn.XLOOKUP(A1313,'Data Cleaning'!A1313:A2782, 'Data Cleaning'!D1313:D2782)</f>
        <v>Bachelor</v>
      </c>
      <c r="E1313" s="3" t="str">
        <f>_xlfn.XLOOKUP(A1313,'Data Cleaning'!A1313:A2782, 'Data Cleaning'!E1313:E2782)</f>
        <v>Single</v>
      </c>
      <c r="F1313" t="str">
        <f>_xlfn.XLOOKUP(A1313,'Data Cleaning'!A1313:A2782, 'Data Cleaning'!F1313:F2782)</f>
        <v>None</v>
      </c>
      <c r="G1313" s="3" t="str">
        <f>_xlfn.XLOOKUP(A1313,'Data Cleaning'!A1313:A2782, 'Data Cleaning'!J1313:J2782)</f>
        <v>Promoted in 1-3 years</v>
      </c>
    </row>
    <row r="1314" spans="1:7" x14ac:dyDescent="0.25">
      <c r="A1314" s="3">
        <v>259</v>
      </c>
      <c r="B1314" s="3" t="str">
        <f>_xlfn.XLOOKUP(A1314,'Data Cleaning'!A1314:A2783, 'Data Cleaning'!I1314:I2783)</f>
        <v>45-54</v>
      </c>
      <c r="C1314">
        <f>_xlfn.XLOOKUP(A1314,'Data Cleaning'!A1314:A2783,'Data Cleaning'!K1314:K2783)</f>
        <v>0</v>
      </c>
      <c r="D1314" t="str">
        <f>_xlfn.XLOOKUP(A1314,'Data Cleaning'!A1314:A2783, 'Data Cleaning'!D1314:D2783)</f>
        <v>Master</v>
      </c>
      <c r="E1314" s="3" t="str">
        <f>_xlfn.XLOOKUP(A1314,'Data Cleaning'!A1314:A2783, 'Data Cleaning'!E1314:E2783)</f>
        <v>Married</v>
      </c>
      <c r="F1314" t="str">
        <f>_xlfn.XLOOKUP(A1314,'Data Cleaning'!A1314:A2783, 'Data Cleaning'!F1314:F2783)</f>
        <v>Low</v>
      </c>
      <c r="G1314" s="3" t="str">
        <f>_xlfn.XLOOKUP(A1314,'Data Cleaning'!A1314:A2783, 'Data Cleaning'!J1314:J2783)</f>
        <v>Long Promotion gap</v>
      </c>
    </row>
    <row r="1315" spans="1:7" x14ac:dyDescent="0.25">
      <c r="A1315" s="3">
        <v>549</v>
      </c>
      <c r="B1315" s="3" t="str">
        <f>_xlfn.XLOOKUP(A1315,'Data Cleaning'!A1315:A2784, 'Data Cleaning'!I1315:I2784)</f>
        <v>55-60</v>
      </c>
      <c r="C1315">
        <f>_xlfn.XLOOKUP(A1315,'Data Cleaning'!A1315:A2784,'Data Cleaning'!K1315:K2784)</f>
        <v>0</v>
      </c>
      <c r="D1315" t="str">
        <f>_xlfn.XLOOKUP(A1315,'Data Cleaning'!A1315:A2784, 'Data Cleaning'!D1315:D2784)</f>
        <v>Bachelor</v>
      </c>
      <c r="E1315" s="3" t="str">
        <f>_xlfn.XLOOKUP(A1315,'Data Cleaning'!A1315:A2784, 'Data Cleaning'!E1315:E2784)</f>
        <v>Married</v>
      </c>
      <c r="F1315" t="str">
        <f>_xlfn.XLOOKUP(A1315,'Data Cleaning'!A1315:A2784, 'Data Cleaning'!F1315:F2784)</f>
        <v>None</v>
      </c>
      <c r="G1315" s="3" t="str">
        <f>_xlfn.XLOOKUP(A1315,'Data Cleaning'!A1315:A2784, 'Data Cleaning'!J1315:J2784)</f>
        <v>Long Promotion gap</v>
      </c>
    </row>
    <row r="1316" spans="1:7" x14ac:dyDescent="0.25">
      <c r="A1316" s="3">
        <v>569</v>
      </c>
      <c r="B1316" s="3" t="str">
        <f>_xlfn.XLOOKUP(A1316,'Data Cleaning'!A1316:A2785, 'Data Cleaning'!I1316:I2785)</f>
        <v>45-54</v>
      </c>
      <c r="C1316">
        <f>_xlfn.XLOOKUP(A1316,'Data Cleaning'!A1316:A2785,'Data Cleaning'!K1316:K2785)</f>
        <v>0</v>
      </c>
      <c r="D1316" t="str">
        <f>_xlfn.XLOOKUP(A1316,'Data Cleaning'!A1316:A2785, 'Data Cleaning'!D1316:D2785)</f>
        <v>Master</v>
      </c>
      <c r="E1316" s="3" t="str">
        <f>_xlfn.XLOOKUP(A1316,'Data Cleaning'!A1316:A2785, 'Data Cleaning'!E1316:E2785)</f>
        <v>Married</v>
      </c>
      <c r="F1316" t="str">
        <f>_xlfn.XLOOKUP(A1316,'Data Cleaning'!A1316:A2785, 'Data Cleaning'!F1316:F2785)</f>
        <v>Low</v>
      </c>
      <c r="G1316" s="3" t="str">
        <f>_xlfn.XLOOKUP(A1316,'Data Cleaning'!A1316:A2785, 'Data Cleaning'!J1316:J2785)</f>
        <v>Long Promotion gap</v>
      </c>
    </row>
    <row r="1317" spans="1:7" x14ac:dyDescent="0.25">
      <c r="A1317" s="3">
        <v>80</v>
      </c>
      <c r="B1317" s="3" t="str">
        <f>_xlfn.XLOOKUP(A1317,'Data Cleaning'!A1317:A2786, 'Data Cleaning'!I1317:I2786)</f>
        <v>45-54</v>
      </c>
      <c r="C1317">
        <f>_xlfn.XLOOKUP(A1317,'Data Cleaning'!A1317:A2786,'Data Cleaning'!K1317:K2786)</f>
        <v>0</v>
      </c>
      <c r="D1317" t="str">
        <f>_xlfn.XLOOKUP(A1317,'Data Cleaning'!A1317:A2786, 'Data Cleaning'!D1317:D2786)</f>
        <v>College</v>
      </c>
      <c r="E1317" s="3" t="str">
        <f>_xlfn.XLOOKUP(A1317,'Data Cleaning'!A1317:A2786, 'Data Cleaning'!E1317:E2786)</f>
        <v>Divorced</v>
      </c>
      <c r="F1317" t="str">
        <f>_xlfn.XLOOKUP(A1317,'Data Cleaning'!A1317:A2786, 'Data Cleaning'!F1317:F2786)</f>
        <v>Low</v>
      </c>
      <c r="G1317" s="3" t="str">
        <f>_xlfn.XLOOKUP(A1317,'Data Cleaning'!A1317:A2786, 'Data Cleaning'!J1317:J2786)</f>
        <v>Long Promotion gap</v>
      </c>
    </row>
    <row r="1318" spans="1:7" x14ac:dyDescent="0.25">
      <c r="A1318" s="3">
        <v>820</v>
      </c>
      <c r="B1318" s="3" t="str">
        <f>_xlfn.XLOOKUP(A1318,'Data Cleaning'!A1318:A2787, 'Data Cleaning'!I1318:I2787)</f>
        <v>45-54</v>
      </c>
      <c r="C1318">
        <f>_xlfn.XLOOKUP(A1318,'Data Cleaning'!A1318:A2787,'Data Cleaning'!K1318:K2787)</f>
        <v>0</v>
      </c>
      <c r="D1318" t="str">
        <f>_xlfn.XLOOKUP(A1318,'Data Cleaning'!A1318:A2787, 'Data Cleaning'!D1318:D2787)</f>
        <v>College</v>
      </c>
      <c r="E1318" s="3" t="str">
        <f>_xlfn.XLOOKUP(A1318,'Data Cleaning'!A1318:A2787, 'Data Cleaning'!E1318:E2787)</f>
        <v>Married</v>
      </c>
      <c r="F1318" t="str">
        <f>_xlfn.XLOOKUP(A1318,'Data Cleaning'!A1318:A2787, 'Data Cleaning'!F1318:F2787)</f>
        <v>Low</v>
      </c>
      <c r="G1318" s="3" t="str">
        <f>_xlfn.XLOOKUP(A1318,'Data Cleaning'!A1318:A2787, 'Data Cleaning'!J1318:J2787)</f>
        <v>Promoted in 1-3 years</v>
      </c>
    </row>
    <row r="1319" spans="1:7" x14ac:dyDescent="0.25">
      <c r="A1319" s="3">
        <v>520</v>
      </c>
      <c r="B1319" s="3" t="str">
        <f>_xlfn.XLOOKUP(A1319,'Data Cleaning'!A1319:A2788, 'Data Cleaning'!I1319:I2788)</f>
        <v>35-44</v>
      </c>
      <c r="C1319">
        <f>_xlfn.XLOOKUP(A1319,'Data Cleaning'!A1319:A2788,'Data Cleaning'!K1319:K2788)</f>
        <v>0</v>
      </c>
      <c r="D1319" t="str">
        <f>_xlfn.XLOOKUP(A1319,'Data Cleaning'!A1319:A2788, 'Data Cleaning'!D1319:D2788)</f>
        <v>Bachelor</v>
      </c>
      <c r="E1319" s="3" t="str">
        <f>_xlfn.XLOOKUP(A1319,'Data Cleaning'!A1319:A2788, 'Data Cleaning'!E1319:E2788)</f>
        <v>Divorced</v>
      </c>
      <c r="F1319" t="str">
        <f>_xlfn.XLOOKUP(A1319,'Data Cleaning'!A1319:A2788, 'Data Cleaning'!F1319:F2788)</f>
        <v>Low</v>
      </c>
      <c r="G1319" s="3" t="str">
        <f>_xlfn.XLOOKUP(A1319,'Data Cleaning'!A1319:A2788, 'Data Cleaning'!J1319:J2788)</f>
        <v>Promoted in 1-3 years</v>
      </c>
    </row>
    <row r="1320" spans="1:7" x14ac:dyDescent="0.25">
      <c r="A1320" s="3">
        <v>1288</v>
      </c>
      <c r="B1320" s="3" t="str">
        <f>_xlfn.XLOOKUP(A1320,'Data Cleaning'!A1320:A2789, 'Data Cleaning'!I1320:I2789)</f>
        <v>35-44</v>
      </c>
      <c r="C1320">
        <f>_xlfn.XLOOKUP(A1320,'Data Cleaning'!A1320:A2789,'Data Cleaning'!K1320:K2789)</f>
        <v>0</v>
      </c>
      <c r="D1320" t="str">
        <f>_xlfn.XLOOKUP(A1320,'Data Cleaning'!A1320:A2789, 'Data Cleaning'!D1320:D2789)</f>
        <v>College</v>
      </c>
      <c r="E1320" s="3" t="str">
        <f>_xlfn.XLOOKUP(A1320,'Data Cleaning'!A1320:A2789, 'Data Cleaning'!E1320:E2789)</f>
        <v>Divorced</v>
      </c>
      <c r="F1320" t="str">
        <f>_xlfn.XLOOKUP(A1320,'Data Cleaning'!A1320:A2789, 'Data Cleaning'!F1320:F2789)</f>
        <v>Mid</v>
      </c>
      <c r="G1320" s="3" t="str">
        <f>_xlfn.XLOOKUP(A1320,'Data Cleaning'!A1320:A2789, 'Data Cleaning'!J1320:J2789)</f>
        <v>Long Promotion gap</v>
      </c>
    </row>
    <row r="1321" spans="1:7" x14ac:dyDescent="0.25">
      <c r="A1321" s="3">
        <v>254</v>
      </c>
      <c r="B1321" s="3" t="str">
        <f>_xlfn.XLOOKUP(A1321,'Data Cleaning'!A1321:A2790, 'Data Cleaning'!I1321:I2790)</f>
        <v>55-60</v>
      </c>
      <c r="C1321">
        <f>_xlfn.XLOOKUP(A1321,'Data Cleaning'!A1321:A2790,'Data Cleaning'!K1321:K2790)</f>
        <v>0</v>
      </c>
      <c r="D1321" t="str">
        <f>_xlfn.XLOOKUP(A1321,'Data Cleaning'!A1321:A2790, 'Data Cleaning'!D1321:D2790)</f>
        <v>Master</v>
      </c>
      <c r="E1321" s="3" t="str">
        <f>_xlfn.XLOOKUP(A1321,'Data Cleaning'!A1321:A2790, 'Data Cleaning'!E1321:E2790)</f>
        <v>Single</v>
      </c>
      <c r="F1321" t="str">
        <f>_xlfn.XLOOKUP(A1321,'Data Cleaning'!A1321:A2790, 'Data Cleaning'!F1321:F2790)</f>
        <v>None</v>
      </c>
      <c r="G1321" s="3" t="str">
        <f>_xlfn.XLOOKUP(A1321,'Data Cleaning'!A1321:A2790, 'Data Cleaning'!J1321:J2790)</f>
        <v>Promoted in 1-3 years</v>
      </c>
    </row>
    <row r="1322" spans="1:7" x14ac:dyDescent="0.25">
      <c r="A1322" s="3">
        <v>36</v>
      </c>
      <c r="B1322" s="3" t="str">
        <f>_xlfn.XLOOKUP(A1322,'Data Cleaning'!A1322:A2791, 'Data Cleaning'!I1322:I2791)</f>
        <v>35-44</v>
      </c>
      <c r="C1322">
        <f>_xlfn.XLOOKUP(A1322,'Data Cleaning'!A1322:A2791,'Data Cleaning'!K1322:K2791)</f>
        <v>0</v>
      </c>
      <c r="D1322" t="str">
        <f>_xlfn.XLOOKUP(A1322,'Data Cleaning'!A1322:A2791, 'Data Cleaning'!D1322:D2791)</f>
        <v>Master</v>
      </c>
      <c r="E1322" s="3" t="str">
        <f>_xlfn.XLOOKUP(A1322,'Data Cleaning'!A1322:A2791, 'Data Cleaning'!E1322:E2791)</f>
        <v>Married</v>
      </c>
      <c r="F1322" t="str">
        <f>_xlfn.XLOOKUP(A1322,'Data Cleaning'!A1322:A2791, 'Data Cleaning'!F1322:F2791)</f>
        <v>Low</v>
      </c>
      <c r="G1322" s="3" t="str">
        <f>_xlfn.XLOOKUP(A1322,'Data Cleaning'!A1322:A2791, 'Data Cleaning'!J1322:J2791)</f>
        <v>Long Promotion gap</v>
      </c>
    </row>
    <row r="1323" spans="1:7" x14ac:dyDescent="0.25">
      <c r="A1323" s="3">
        <v>2031</v>
      </c>
      <c r="B1323" s="3" t="str">
        <f>_xlfn.XLOOKUP(A1323,'Data Cleaning'!A1323:A2792, 'Data Cleaning'!I1323:I2792)</f>
        <v>35-44</v>
      </c>
      <c r="C1323">
        <f>_xlfn.XLOOKUP(A1323,'Data Cleaning'!A1323:A2792,'Data Cleaning'!K1323:K2792)</f>
        <v>0</v>
      </c>
      <c r="D1323" t="str">
        <f>_xlfn.XLOOKUP(A1323,'Data Cleaning'!A1323:A2792, 'Data Cleaning'!D1323:D2792)</f>
        <v>Bachelor</v>
      </c>
      <c r="E1323" s="3" t="str">
        <f>_xlfn.XLOOKUP(A1323,'Data Cleaning'!A1323:A2792, 'Data Cleaning'!E1323:E2792)</f>
        <v>Married</v>
      </c>
      <c r="F1323" t="str">
        <f>_xlfn.XLOOKUP(A1323,'Data Cleaning'!A1323:A2792, 'Data Cleaning'!F1323:F2792)</f>
        <v>None</v>
      </c>
      <c r="G1323" s="3" t="str">
        <f>_xlfn.XLOOKUP(A1323,'Data Cleaning'!A1323:A2792, 'Data Cleaning'!J1323:J2792)</f>
        <v>Long Promotion gap</v>
      </c>
    </row>
    <row r="1324" spans="1:7" x14ac:dyDescent="0.25">
      <c r="A1324" s="3">
        <v>319</v>
      </c>
      <c r="B1324" s="3" t="str">
        <f>_xlfn.XLOOKUP(A1324,'Data Cleaning'!A1324:A2793, 'Data Cleaning'!I1324:I2793)</f>
        <v>35-44</v>
      </c>
      <c r="C1324">
        <f>_xlfn.XLOOKUP(A1324,'Data Cleaning'!A1324:A2793,'Data Cleaning'!K1324:K2793)</f>
        <v>0</v>
      </c>
      <c r="D1324" t="str">
        <f>_xlfn.XLOOKUP(A1324,'Data Cleaning'!A1324:A2793, 'Data Cleaning'!D1324:D2793)</f>
        <v>College</v>
      </c>
      <c r="E1324" s="3" t="str">
        <f>_xlfn.XLOOKUP(A1324,'Data Cleaning'!A1324:A2793, 'Data Cleaning'!E1324:E2793)</f>
        <v>Married</v>
      </c>
      <c r="F1324" t="str">
        <f>_xlfn.XLOOKUP(A1324,'Data Cleaning'!A1324:A2793, 'Data Cleaning'!F1324:F2793)</f>
        <v>None</v>
      </c>
      <c r="G1324" s="3" t="str">
        <f>_xlfn.XLOOKUP(A1324,'Data Cleaning'!A1324:A2793, 'Data Cleaning'!J1324:J2793)</f>
        <v>Long Promotion gap</v>
      </c>
    </row>
    <row r="1325" spans="1:7" x14ac:dyDescent="0.25">
      <c r="A1325" s="3">
        <v>1867</v>
      </c>
      <c r="B1325" s="3" t="str">
        <f>_xlfn.XLOOKUP(A1325,'Data Cleaning'!A1325:A2794, 'Data Cleaning'!I1325:I2794)</f>
        <v>45-54</v>
      </c>
      <c r="C1325">
        <f>_xlfn.XLOOKUP(A1325,'Data Cleaning'!A1325:A2794,'Data Cleaning'!K1325:K2794)</f>
        <v>0</v>
      </c>
      <c r="D1325" t="str">
        <f>_xlfn.XLOOKUP(A1325,'Data Cleaning'!A1325:A2794, 'Data Cleaning'!D1325:D2794)</f>
        <v>Bachelor</v>
      </c>
      <c r="E1325" s="3" t="str">
        <f>_xlfn.XLOOKUP(A1325,'Data Cleaning'!A1325:A2794, 'Data Cleaning'!E1325:E2794)</f>
        <v>Married</v>
      </c>
      <c r="F1325" t="str">
        <f>_xlfn.XLOOKUP(A1325,'Data Cleaning'!A1325:A2794, 'Data Cleaning'!F1325:F2794)</f>
        <v>None</v>
      </c>
      <c r="G1325" s="3" t="str">
        <f>_xlfn.XLOOKUP(A1325,'Data Cleaning'!A1325:A2794, 'Data Cleaning'!J1325:J2794)</f>
        <v>Long Promotion gap</v>
      </c>
    </row>
    <row r="1326" spans="1:7" x14ac:dyDescent="0.25">
      <c r="A1326" s="3">
        <v>1109</v>
      </c>
      <c r="B1326" s="3" t="str">
        <f>_xlfn.XLOOKUP(A1326,'Data Cleaning'!A1326:A2795, 'Data Cleaning'!I1326:I2795)</f>
        <v>35-44</v>
      </c>
      <c r="C1326">
        <f>_xlfn.XLOOKUP(A1326,'Data Cleaning'!A1326:A2795,'Data Cleaning'!K1326:K2795)</f>
        <v>0</v>
      </c>
      <c r="D1326" t="str">
        <f>_xlfn.XLOOKUP(A1326,'Data Cleaning'!A1326:A2795, 'Data Cleaning'!D1326:D2795)</f>
        <v>College</v>
      </c>
      <c r="E1326" s="3" t="str">
        <f>_xlfn.XLOOKUP(A1326,'Data Cleaning'!A1326:A2795, 'Data Cleaning'!E1326:E2795)</f>
        <v>Married</v>
      </c>
      <c r="F1326" t="str">
        <f>_xlfn.XLOOKUP(A1326,'Data Cleaning'!A1326:A2795, 'Data Cleaning'!F1326:F2795)</f>
        <v>Low</v>
      </c>
      <c r="G1326" s="3" t="str">
        <f>_xlfn.XLOOKUP(A1326,'Data Cleaning'!A1326:A2795, 'Data Cleaning'!J1326:J2795)</f>
        <v>Long Promotion gap</v>
      </c>
    </row>
    <row r="1327" spans="1:7" x14ac:dyDescent="0.25">
      <c r="A1327" s="3">
        <v>1827</v>
      </c>
      <c r="B1327" s="3" t="str">
        <f>_xlfn.XLOOKUP(A1327,'Data Cleaning'!A1327:A2796, 'Data Cleaning'!I1327:I2796)</f>
        <v>45-54</v>
      </c>
      <c r="C1327">
        <f>_xlfn.XLOOKUP(A1327,'Data Cleaning'!A1327:A2796,'Data Cleaning'!K1327:K2796)</f>
        <v>0</v>
      </c>
      <c r="D1327" t="str">
        <f>_xlfn.XLOOKUP(A1327,'Data Cleaning'!A1327:A2796, 'Data Cleaning'!D1327:D2796)</f>
        <v>Bachelor</v>
      </c>
      <c r="E1327" s="3" t="str">
        <f>_xlfn.XLOOKUP(A1327,'Data Cleaning'!A1327:A2796, 'Data Cleaning'!E1327:E2796)</f>
        <v>Divorced</v>
      </c>
      <c r="F1327" t="str">
        <f>_xlfn.XLOOKUP(A1327,'Data Cleaning'!A1327:A2796, 'Data Cleaning'!F1327:F2796)</f>
        <v>Low</v>
      </c>
      <c r="G1327" s="3" t="str">
        <f>_xlfn.XLOOKUP(A1327,'Data Cleaning'!A1327:A2796, 'Data Cleaning'!J1327:J2796)</f>
        <v>Long Promotion gap</v>
      </c>
    </row>
    <row r="1328" spans="1:7" x14ac:dyDescent="0.25">
      <c r="A1328" s="3">
        <v>1026</v>
      </c>
      <c r="B1328" s="3" t="str">
        <f>_xlfn.XLOOKUP(A1328,'Data Cleaning'!A1328:A2797, 'Data Cleaning'!I1328:I2797)</f>
        <v>35-44</v>
      </c>
      <c r="C1328">
        <f>_xlfn.XLOOKUP(A1328,'Data Cleaning'!A1328:A2797,'Data Cleaning'!K1328:K2797)</f>
        <v>0</v>
      </c>
      <c r="D1328" t="str">
        <f>_xlfn.XLOOKUP(A1328,'Data Cleaning'!A1328:A2797, 'Data Cleaning'!D1328:D2797)</f>
        <v>Below College</v>
      </c>
      <c r="E1328" s="3" t="str">
        <f>_xlfn.XLOOKUP(A1328,'Data Cleaning'!A1328:A2797, 'Data Cleaning'!E1328:E2797)</f>
        <v>Married</v>
      </c>
      <c r="F1328" t="str">
        <f>_xlfn.XLOOKUP(A1328,'Data Cleaning'!A1328:A2797, 'Data Cleaning'!F1328:F2797)</f>
        <v>Low</v>
      </c>
      <c r="G1328" s="3" t="str">
        <f>_xlfn.XLOOKUP(A1328,'Data Cleaning'!A1328:A2797, 'Data Cleaning'!J1328:J2797)</f>
        <v>Long Promotion gap</v>
      </c>
    </row>
    <row r="1329" spans="1:7" x14ac:dyDescent="0.25">
      <c r="A1329" s="3">
        <v>1719</v>
      </c>
      <c r="B1329" s="3" t="str">
        <f>_xlfn.XLOOKUP(A1329,'Data Cleaning'!A1329:A2798, 'Data Cleaning'!I1329:I2798)</f>
        <v>45-54</v>
      </c>
      <c r="C1329">
        <f>_xlfn.XLOOKUP(A1329,'Data Cleaning'!A1329:A2798,'Data Cleaning'!K1329:K2798)</f>
        <v>0</v>
      </c>
      <c r="D1329" t="str">
        <f>_xlfn.XLOOKUP(A1329,'Data Cleaning'!A1329:A2798, 'Data Cleaning'!D1329:D2798)</f>
        <v>College</v>
      </c>
      <c r="E1329" s="3" t="str">
        <f>_xlfn.XLOOKUP(A1329,'Data Cleaning'!A1329:A2798, 'Data Cleaning'!E1329:E2798)</f>
        <v>Single</v>
      </c>
      <c r="F1329" t="str">
        <f>_xlfn.XLOOKUP(A1329,'Data Cleaning'!A1329:A2798, 'Data Cleaning'!F1329:F2798)</f>
        <v>None</v>
      </c>
      <c r="G1329" s="3" t="str">
        <f>_xlfn.XLOOKUP(A1329,'Data Cleaning'!A1329:A2798, 'Data Cleaning'!J1329:J2798)</f>
        <v>Long Promotion gap</v>
      </c>
    </row>
    <row r="1330" spans="1:7" x14ac:dyDescent="0.25">
      <c r="A1330" s="3">
        <v>429</v>
      </c>
      <c r="B1330" s="3" t="str">
        <f>_xlfn.XLOOKUP(A1330,'Data Cleaning'!A1330:A2799, 'Data Cleaning'!I1330:I2799)</f>
        <v>35-44</v>
      </c>
      <c r="C1330">
        <f>_xlfn.XLOOKUP(A1330,'Data Cleaning'!A1330:A2799,'Data Cleaning'!K1330:K2799)</f>
        <v>0</v>
      </c>
      <c r="D1330" t="str">
        <f>_xlfn.XLOOKUP(A1330,'Data Cleaning'!A1330:A2799, 'Data Cleaning'!D1330:D2799)</f>
        <v>Below College</v>
      </c>
      <c r="E1330" s="3" t="str">
        <f>_xlfn.XLOOKUP(A1330,'Data Cleaning'!A1330:A2799, 'Data Cleaning'!E1330:E2799)</f>
        <v>Married</v>
      </c>
      <c r="F1330" t="str">
        <f>_xlfn.XLOOKUP(A1330,'Data Cleaning'!A1330:A2799, 'Data Cleaning'!F1330:F2799)</f>
        <v>None</v>
      </c>
      <c r="G1330" s="3" t="str">
        <f>_xlfn.XLOOKUP(A1330,'Data Cleaning'!A1330:A2799, 'Data Cleaning'!J1330:J2799)</f>
        <v>Long Promotion gap</v>
      </c>
    </row>
    <row r="1331" spans="1:7" x14ac:dyDescent="0.25">
      <c r="A1331" s="3">
        <v>352</v>
      </c>
      <c r="B1331" s="3" t="str">
        <f>_xlfn.XLOOKUP(A1331,'Data Cleaning'!A1331:A2800, 'Data Cleaning'!I1331:I2800)</f>
        <v>35-44</v>
      </c>
      <c r="C1331">
        <f>_xlfn.XLOOKUP(A1331,'Data Cleaning'!A1331:A2800,'Data Cleaning'!K1331:K2800)</f>
        <v>0</v>
      </c>
      <c r="D1331" t="str">
        <f>_xlfn.XLOOKUP(A1331,'Data Cleaning'!A1331:A2800, 'Data Cleaning'!D1331:D2800)</f>
        <v>College</v>
      </c>
      <c r="E1331" s="3" t="str">
        <f>_xlfn.XLOOKUP(A1331,'Data Cleaning'!A1331:A2800, 'Data Cleaning'!E1331:E2800)</f>
        <v>Divorced</v>
      </c>
      <c r="F1331" t="str">
        <f>_xlfn.XLOOKUP(A1331,'Data Cleaning'!A1331:A2800, 'Data Cleaning'!F1331:F2800)</f>
        <v>Low</v>
      </c>
      <c r="G1331" s="3" t="str">
        <f>_xlfn.XLOOKUP(A1331,'Data Cleaning'!A1331:A2800, 'Data Cleaning'!J1331:J2800)</f>
        <v>Promoted in 1-3 years</v>
      </c>
    </row>
    <row r="1332" spans="1:7" x14ac:dyDescent="0.25">
      <c r="A1332" s="3">
        <v>1422</v>
      </c>
      <c r="B1332" s="3" t="str">
        <f>_xlfn.XLOOKUP(A1332,'Data Cleaning'!A1332:A2801, 'Data Cleaning'!I1332:I2801)</f>
        <v>45-54</v>
      </c>
      <c r="C1332">
        <f>_xlfn.XLOOKUP(A1332,'Data Cleaning'!A1332:A2801,'Data Cleaning'!K1332:K2801)</f>
        <v>0</v>
      </c>
      <c r="D1332" t="str">
        <f>_xlfn.XLOOKUP(A1332,'Data Cleaning'!A1332:A2801, 'Data Cleaning'!D1332:D2801)</f>
        <v>Bachelor</v>
      </c>
      <c r="E1332" s="3" t="str">
        <f>_xlfn.XLOOKUP(A1332,'Data Cleaning'!A1332:A2801, 'Data Cleaning'!E1332:E2801)</f>
        <v>Single</v>
      </c>
      <c r="F1332" t="str">
        <f>_xlfn.XLOOKUP(A1332,'Data Cleaning'!A1332:A2801, 'Data Cleaning'!F1332:F2801)</f>
        <v>None</v>
      </c>
      <c r="G1332" s="3" t="str">
        <f>_xlfn.XLOOKUP(A1332,'Data Cleaning'!A1332:A2801, 'Data Cleaning'!J1332:J2801)</f>
        <v>Long Promotion gap</v>
      </c>
    </row>
    <row r="1333" spans="1:7" x14ac:dyDescent="0.25">
      <c r="A1333" s="3">
        <v>162</v>
      </c>
      <c r="B1333" s="3" t="str">
        <f>_xlfn.XLOOKUP(A1333,'Data Cleaning'!A1333:A2802, 'Data Cleaning'!I1333:I2802)</f>
        <v>45-54</v>
      </c>
      <c r="C1333">
        <f>_xlfn.XLOOKUP(A1333,'Data Cleaning'!A1333:A2802,'Data Cleaning'!K1333:K2802)</f>
        <v>0</v>
      </c>
      <c r="D1333" t="str">
        <f>_xlfn.XLOOKUP(A1333,'Data Cleaning'!A1333:A2802, 'Data Cleaning'!D1333:D2802)</f>
        <v>Bachelor</v>
      </c>
      <c r="E1333" s="3" t="str">
        <f>_xlfn.XLOOKUP(A1333,'Data Cleaning'!A1333:A2802, 'Data Cleaning'!E1333:E2802)</f>
        <v>Single</v>
      </c>
      <c r="F1333" t="str">
        <f>_xlfn.XLOOKUP(A1333,'Data Cleaning'!A1333:A2802, 'Data Cleaning'!F1333:F2802)</f>
        <v>None</v>
      </c>
      <c r="G1333" s="3" t="str">
        <f>_xlfn.XLOOKUP(A1333,'Data Cleaning'!A1333:A2802, 'Data Cleaning'!J1333:J2802)</f>
        <v>Long Promotion gap</v>
      </c>
    </row>
    <row r="1334" spans="1:7" x14ac:dyDescent="0.25">
      <c r="A1334" s="3">
        <v>253</v>
      </c>
      <c r="B1334" s="3" t="str">
        <f>_xlfn.XLOOKUP(A1334,'Data Cleaning'!A1334:A2803, 'Data Cleaning'!I1334:I2803)</f>
        <v>35-44</v>
      </c>
      <c r="C1334">
        <f>_xlfn.XLOOKUP(A1334,'Data Cleaning'!A1334:A2803,'Data Cleaning'!K1334:K2803)</f>
        <v>0</v>
      </c>
      <c r="D1334" t="str">
        <f>_xlfn.XLOOKUP(A1334,'Data Cleaning'!A1334:A2803, 'Data Cleaning'!D1334:D2803)</f>
        <v>Below College</v>
      </c>
      <c r="E1334" s="3" t="str">
        <f>_xlfn.XLOOKUP(A1334,'Data Cleaning'!A1334:A2803, 'Data Cleaning'!E1334:E2803)</f>
        <v>Married</v>
      </c>
      <c r="F1334" t="str">
        <f>_xlfn.XLOOKUP(A1334,'Data Cleaning'!A1334:A2803, 'Data Cleaning'!F1334:F2803)</f>
        <v>Low</v>
      </c>
      <c r="G1334" s="3" t="str">
        <f>_xlfn.XLOOKUP(A1334,'Data Cleaning'!A1334:A2803, 'Data Cleaning'!J1334:J2803)</f>
        <v>Long Promotion gap</v>
      </c>
    </row>
    <row r="1335" spans="1:7" x14ac:dyDescent="0.25">
      <c r="A1335" s="3">
        <v>1128</v>
      </c>
      <c r="B1335" s="3" t="str">
        <f>_xlfn.XLOOKUP(A1335,'Data Cleaning'!A1335:A2804, 'Data Cleaning'!I1335:I2804)</f>
        <v>35-44</v>
      </c>
      <c r="C1335">
        <f>_xlfn.XLOOKUP(A1335,'Data Cleaning'!A1335:A2804,'Data Cleaning'!K1335:K2804)</f>
        <v>0</v>
      </c>
      <c r="D1335" t="str">
        <f>_xlfn.XLOOKUP(A1335,'Data Cleaning'!A1335:A2804, 'Data Cleaning'!D1335:D2804)</f>
        <v>Bachelor</v>
      </c>
      <c r="E1335" s="3" t="str">
        <f>_xlfn.XLOOKUP(A1335,'Data Cleaning'!A1335:A2804, 'Data Cleaning'!E1335:E2804)</f>
        <v>Single</v>
      </c>
      <c r="F1335" t="str">
        <f>_xlfn.XLOOKUP(A1335,'Data Cleaning'!A1335:A2804, 'Data Cleaning'!F1335:F2804)</f>
        <v>None</v>
      </c>
      <c r="G1335" s="3" t="str">
        <f>_xlfn.XLOOKUP(A1335,'Data Cleaning'!A1335:A2804, 'Data Cleaning'!J1335:J2804)</f>
        <v>Long Promotion gap</v>
      </c>
    </row>
    <row r="1336" spans="1:7" x14ac:dyDescent="0.25">
      <c r="A1336" s="3">
        <v>372</v>
      </c>
      <c r="B1336" s="3" t="str">
        <f>_xlfn.XLOOKUP(A1336,'Data Cleaning'!A1336:A2805, 'Data Cleaning'!I1336:I2805)</f>
        <v>45-54</v>
      </c>
      <c r="C1336">
        <f>_xlfn.XLOOKUP(A1336,'Data Cleaning'!A1336:A2805,'Data Cleaning'!K1336:K2805)</f>
        <v>0</v>
      </c>
      <c r="D1336" t="str">
        <f>_xlfn.XLOOKUP(A1336,'Data Cleaning'!A1336:A2805, 'Data Cleaning'!D1336:D2805)</f>
        <v>College</v>
      </c>
      <c r="E1336" s="3" t="str">
        <f>_xlfn.XLOOKUP(A1336,'Data Cleaning'!A1336:A2805, 'Data Cleaning'!E1336:E2805)</f>
        <v>Married</v>
      </c>
      <c r="F1336" t="str">
        <f>_xlfn.XLOOKUP(A1336,'Data Cleaning'!A1336:A2805, 'Data Cleaning'!F1336:F2805)</f>
        <v>None</v>
      </c>
      <c r="G1336" s="3" t="str">
        <f>_xlfn.XLOOKUP(A1336,'Data Cleaning'!A1336:A2805, 'Data Cleaning'!J1336:J2805)</f>
        <v>Long Promotion gap</v>
      </c>
    </row>
    <row r="1337" spans="1:7" x14ac:dyDescent="0.25">
      <c r="A1337" s="3">
        <v>601</v>
      </c>
      <c r="B1337" s="3" t="str">
        <f>_xlfn.XLOOKUP(A1337,'Data Cleaning'!A1337:A2806, 'Data Cleaning'!I1337:I2806)</f>
        <v>35-44</v>
      </c>
      <c r="C1337">
        <f>_xlfn.XLOOKUP(A1337,'Data Cleaning'!A1337:A2806,'Data Cleaning'!K1337:K2806)</f>
        <v>0</v>
      </c>
      <c r="D1337" t="str">
        <f>_xlfn.XLOOKUP(A1337,'Data Cleaning'!A1337:A2806, 'Data Cleaning'!D1337:D2806)</f>
        <v>Bachelor</v>
      </c>
      <c r="E1337" s="3" t="str">
        <f>_xlfn.XLOOKUP(A1337,'Data Cleaning'!A1337:A2806, 'Data Cleaning'!E1337:E2806)</f>
        <v>Single</v>
      </c>
      <c r="F1337" t="str">
        <f>_xlfn.XLOOKUP(A1337,'Data Cleaning'!A1337:A2806, 'Data Cleaning'!F1337:F2806)</f>
        <v>None</v>
      </c>
      <c r="G1337" s="3" t="str">
        <f>_xlfn.XLOOKUP(A1337,'Data Cleaning'!A1337:A2806, 'Data Cleaning'!J1337:J2806)</f>
        <v>Long Promotion gap</v>
      </c>
    </row>
    <row r="1338" spans="1:7" x14ac:dyDescent="0.25">
      <c r="A1338" s="3">
        <v>1523</v>
      </c>
      <c r="B1338" s="3" t="str">
        <f>_xlfn.XLOOKUP(A1338,'Data Cleaning'!A1338:A2807, 'Data Cleaning'!I1338:I2807)</f>
        <v>35-44</v>
      </c>
      <c r="C1338">
        <f>_xlfn.XLOOKUP(A1338,'Data Cleaning'!A1338:A2807,'Data Cleaning'!K1338:K2807)</f>
        <v>0</v>
      </c>
      <c r="D1338" t="str">
        <f>_xlfn.XLOOKUP(A1338,'Data Cleaning'!A1338:A2807, 'Data Cleaning'!D1338:D2807)</f>
        <v>Bachelor</v>
      </c>
      <c r="E1338" s="3" t="str">
        <f>_xlfn.XLOOKUP(A1338,'Data Cleaning'!A1338:A2807, 'Data Cleaning'!E1338:E2807)</f>
        <v>Married</v>
      </c>
      <c r="F1338" t="str">
        <f>_xlfn.XLOOKUP(A1338,'Data Cleaning'!A1338:A2807, 'Data Cleaning'!F1338:F2807)</f>
        <v>Low</v>
      </c>
      <c r="G1338" s="3" t="str">
        <f>_xlfn.XLOOKUP(A1338,'Data Cleaning'!A1338:A2807, 'Data Cleaning'!J1338:J2807)</f>
        <v>Long Promotion gap</v>
      </c>
    </row>
    <row r="1339" spans="1:7" x14ac:dyDescent="0.25">
      <c r="A1339" s="3">
        <v>1443</v>
      </c>
      <c r="B1339" s="3" t="str">
        <f>_xlfn.XLOOKUP(A1339,'Data Cleaning'!A1339:A2808, 'Data Cleaning'!I1339:I2808)</f>
        <v>45-54</v>
      </c>
      <c r="C1339">
        <f>_xlfn.XLOOKUP(A1339,'Data Cleaning'!A1339:A2808,'Data Cleaning'!K1339:K2808)</f>
        <v>0</v>
      </c>
      <c r="D1339" t="str">
        <f>_xlfn.XLOOKUP(A1339,'Data Cleaning'!A1339:A2808, 'Data Cleaning'!D1339:D2808)</f>
        <v>Master</v>
      </c>
      <c r="E1339" s="3" t="str">
        <f>_xlfn.XLOOKUP(A1339,'Data Cleaning'!A1339:A2808, 'Data Cleaning'!E1339:E2808)</f>
        <v>Married</v>
      </c>
      <c r="F1339" t="str">
        <f>_xlfn.XLOOKUP(A1339,'Data Cleaning'!A1339:A2808, 'Data Cleaning'!F1339:F2808)</f>
        <v>Mid</v>
      </c>
      <c r="G1339" s="3" t="str">
        <f>_xlfn.XLOOKUP(A1339,'Data Cleaning'!A1339:A2808, 'Data Cleaning'!J1339:J2808)</f>
        <v>Long Promotion gap</v>
      </c>
    </row>
    <row r="1340" spans="1:7" x14ac:dyDescent="0.25">
      <c r="A1340" s="3">
        <v>716</v>
      </c>
      <c r="B1340" s="3" t="str">
        <f>_xlfn.XLOOKUP(A1340,'Data Cleaning'!A1340:A2809, 'Data Cleaning'!I1340:I2809)</f>
        <v>45-54</v>
      </c>
      <c r="C1340">
        <f>_xlfn.XLOOKUP(A1340,'Data Cleaning'!A1340:A2809,'Data Cleaning'!K1340:K2809)</f>
        <v>0</v>
      </c>
      <c r="D1340" t="str">
        <f>_xlfn.XLOOKUP(A1340,'Data Cleaning'!A1340:A2809, 'Data Cleaning'!D1340:D2809)</f>
        <v>Below College</v>
      </c>
      <c r="E1340" s="3" t="str">
        <f>_xlfn.XLOOKUP(A1340,'Data Cleaning'!A1340:A2809, 'Data Cleaning'!E1340:E2809)</f>
        <v>Married</v>
      </c>
      <c r="F1340" t="str">
        <f>_xlfn.XLOOKUP(A1340,'Data Cleaning'!A1340:A2809, 'Data Cleaning'!F1340:F2809)</f>
        <v>High</v>
      </c>
      <c r="G1340" s="3" t="str">
        <f>_xlfn.XLOOKUP(A1340,'Data Cleaning'!A1340:A2809, 'Data Cleaning'!J1340:J2809)</f>
        <v>Promoted in 1-3 years</v>
      </c>
    </row>
    <row r="1341" spans="1:7" x14ac:dyDescent="0.25">
      <c r="A1341" s="3">
        <v>721</v>
      </c>
      <c r="B1341" s="3" t="str">
        <f>_xlfn.XLOOKUP(A1341,'Data Cleaning'!A1341:A2810, 'Data Cleaning'!I1341:I2810)</f>
        <v>35-44</v>
      </c>
      <c r="C1341">
        <f>_xlfn.XLOOKUP(A1341,'Data Cleaning'!A1341:A2810,'Data Cleaning'!K1341:K2810)</f>
        <v>0</v>
      </c>
      <c r="D1341" t="str">
        <f>_xlfn.XLOOKUP(A1341,'Data Cleaning'!A1341:A2810, 'Data Cleaning'!D1341:D2810)</f>
        <v>Master</v>
      </c>
      <c r="E1341" s="3" t="str">
        <f>_xlfn.XLOOKUP(A1341,'Data Cleaning'!A1341:A2810, 'Data Cleaning'!E1341:E2810)</f>
        <v>Single</v>
      </c>
      <c r="F1341" t="str">
        <f>_xlfn.XLOOKUP(A1341,'Data Cleaning'!A1341:A2810, 'Data Cleaning'!F1341:F2810)</f>
        <v>None</v>
      </c>
      <c r="G1341" s="3" t="str">
        <f>_xlfn.XLOOKUP(A1341,'Data Cleaning'!A1341:A2810, 'Data Cleaning'!J1341:J2810)</f>
        <v>Long Promotion gap</v>
      </c>
    </row>
    <row r="1342" spans="1:7" x14ac:dyDescent="0.25">
      <c r="A1342" s="3">
        <v>1373</v>
      </c>
      <c r="B1342" s="3" t="str">
        <f>_xlfn.XLOOKUP(A1342,'Data Cleaning'!A1342:A2811, 'Data Cleaning'!I1342:I2811)</f>
        <v>55-60</v>
      </c>
      <c r="C1342">
        <f>_xlfn.XLOOKUP(A1342,'Data Cleaning'!A1342:A2811,'Data Cleaning'!K1342:K2811)</f>
        <v>0</v>
      </c>
      <c r="D1342" t="str">
        <f>_xlfn.XLOOKUP(A1342,'Data Cleaning'!A1342:A2811, 'Data Cleaning'!D1342:D2811)</f>
        <v>Bachelor</v>
      </c>
      <c r="E1342" s="3" t="str">
        <f>_xlfn.XLOOKUP(A1342,'Data Cleaning'!A1342:A2811, 'Data Cleaning'!E1342:E2811)</f>
        <v>Married</v>
      </c>
      <c r="F1342" t="str">
        <f>_xlfn.XLOOKUP(A1342,'Data Cleaning'!A1342:A2811, 'Data Cleaning'!F1342:F2811)</f>
        <v>Low</v>
      </c>
      <c r="G1342" s="3" t="str">
        <f>_xlfn.XLOOKUP(A1342,'Data Cleaning'!A1342:A2811, 'Data Cleaning'!J1342:J2811)</f>
        <v>Long Promotion gap</v>
      </c>
    </row>
    <row r="1343" spans="1:7" x14ac:dyDescent="0.25">
      <c r="A1343" s="3">
        <v>1307</v>
      </c>
      <c r="B1343" s="3" t="str">
        <f>_xlfn.XLOOKUP(A1343,'Data Cleaning'!A1343:A2812, 'Data Cleaning'!I1343:I2812)</f>
        <v>35-44</v>
      </c>
      <c r="C1343">
        <f>_xlfn.XLOOKUP(A1343,'Data Cleaning'!A1343:A2812,'Data Cleaning'!K1343:K2812)</f>
        <v>0</v>
      </c>
      <c r="D1343" t="str">
        <f>_xlfn.XLOOKUP(A1343,'Data Cleaning'!A1343:A2812, 'Data Cleaning'!D1343:D2812)</f>
        <v>Master</v>
      </c>
      <c r="E1343" s="3" t="str">
        <f>_xlfn.XLOOKUP(A1343,'Data Cleaning'!A1343:A2812, 'Data Cleaning'!E1343:E2812)</f>
        <v>Divorced</v>
      </c>
      <c r="F1343" t="str">
        <f>_xlfn.XLOOKUP(A1343,'Data Cleaning'!A1343:A2812, 'Data Cleaning'!F1343:F2812)</f>
        <v>Mid</v>
      </c>
      <c r="G1343" s="3" t="str">
        <f>_xlfn.XLOOKUP(A1343,'Data Cleaning'!A1343:A2812, 'Data Cleaning'!J1343:J2812)</f>
        <v>Long Promotion gap</v>
      </c>
    </row>
    <row r="1344" spans="1:7" x14ac:dyDescent="0.25">
      <c r="A1344" s="3">
        <v>1892</v>
      </c>
      <c r="B1344" s="3" t="str">
        <f>_xlfn.XLOOKUP(A1344,'Data Cleaning'!A1344:A2813, 'Data Cleaning'!I1344:I2813)</f>
        <v>35-44</v>
      </c>
      <c r="C1344">
        <f>_xlfn.XLOOKUP(A1344,'Data Cleaning'!A1344:A2813,'Data Cleaning'!K1344:K2813)</f>
        <v>0</v>
      </c>
      <c r="D1344" t="str">
        <f>_xlfn.XLOOKUP(A1344,'Data Cleaning'!A1344:A2813, 'Data Cleaning'!D1344:D2813)</f>
        <v>Master</v>
      </c>
      <c r="E1344" s="3" t="str">
        <f>_xlfn.XLOOKUP(A1344,'Data Cleaning'!A1344:A2813, 'Data Cleaning'!E1344:E2813)</f>
        <v>Divorced</v>
      </c>
      <c r="F1344" t="str">
        <f>_xlfn.XLOOKUP(A1344,'Data Cleaning'!A1344:A2813, 'Data Cleaning'!F1344:F2813)</f>
        <v>Low</v>
      </c>
      <c r="G1344" s="3" t="str">
        <f>_xlfn.XLOOKUP(A1344,'Data Cleaning'!A1344:A2813, 'Data Cleaning'!J1344:J2813)</f>
        <v>Long Promotion gap</v>
      </c>
    </row>
    <row r="1345" spans="1:7" x14ac:dyDescent="0.25">
      <c r="A1345" s="3">
        <v>1336</v>
      </c>
      <c r="B1345" s="3" t="str">
        <f>_xlfn.XLOOKUP(A1345,'Data Cleaning'!A1345:A2814, 'Data Cleaning'!I1345:I2814)</f>
        <v>55-60</v>
      </c>
      <c r="C1345">
        <f>_xlfn.XLOOKUP(A1345,'Data Cleaning'!A1345:A2814,'Data Cleaning'!K1345:K2814)</f>
        <v>0</v>
      </c>
      <c r="D1345" t="str">
        <f>_xlfn.XLOOKUP(A1345,'Data Cleaning'!A1345:A2814, 'Data Cleaning'!D1345:D2814)</f>
        <v>College</v>
      </c>
      <c r="E1345" s="3" t="str">
        <f>_xlfn.XLOOKUP(A1345,'Data Cleaning'!A1345:A2814, 'Data Cleaning'!E1345:E2814)</f>
        <v>Married</v>
      </c>
      <c r="F1345" t="str">
        <f>_xlfn.XLOOKUP(A1345,'Data Cleaning'!A1345:A2814, 'Data Cleaning'!F1345:F2814)</f>
        <v>Low</v>
      </c>
      <c r="G1345" s="3" t="str">
        <f>_xlfn.XLOOKUP(A1345,'Data Cleaning'!A1345:A2814, 'Data Cleaning'!J1345:J2814)</f>
        <v>Long Promotion gap</v>
      </c>
    </row>
    <row r="1346" spans="1:7" x14ac:dyDescent="0.25">
      <c r="A1346" s="3">
        <v>417</v>
      </c>
      <c r="B1346" s="3" t="str">
        <f>_xlfn.XLOOKUP(A1346,'Data Cleaning'!A1346:A2815, 'Data Cleaning'!I1346:I2815)</f>
        <v>35-44</v>
      </c>
      <c r="C1346">
        <f>_xlfn.XLOOKUP(A1346,'Data Cleaning'!A1346:A2815,'Data Cleaning'!K1346:K2815)</f>
        <v>0</v>
      </c>
      <c r="D1346" t="str">
        <f>_xlfn.XLOOKUP(A1346,'Data Cleaning'!A1346:A2815, 'Data Cleaning'!D1346:D2815)</f>
        <v>Bachelor</v>
      </c>
      <c r="E1346" s="3" t="str">
        <f>_xlfn.XLOOKUP(A1346,'Data Cleaning'!A1346:A2815, 'Data Cleaning'!E1346:E2815)</f>
        <v>Divorced</v>
      </c>
      <c r="F1346" t="str">
        <f>_xlfn.XLOOKUP(A1346,'Data Cleaning'!A1346:A2815, 'Data Cleaning'!F1346:F2815)</f>
        <v>High</v>
      </c>
      <c r="G1346" s="3" t="str">
        <f>_xlfn.XLOOKUP(A1346,'Data Cleaning'!A1346:A2815, 'Data Cleaning'!J1346:J2815)</f>
        <v>Promoted in 1-3 years</v>
      </c>
    </row>
    <row r="1347" spans="1:7" x14ac:dyDescent="0.25">
      <c r="A1347" s="3">
        <v>515</v>
      </c>
      <c r="B1347" s="3" t="str">
        <f>_xlfn.XLOOKUP(A1347,'Data Cleaning'!A1347:A2816, 'Data Cleaning'!I1347:I2816)</f>
        <v>35-44</v>
      </c>
      <c r="C1347">
        <f>_xlfn.XLOOKUP(A1347,'Data Cleaning'!A1347:A2816,'Data Cleaning'!K1347:K2816)</f>
        <v>0</v>
      </c>
      <c r="D1347" t="str">
        <f>_xlfn.XLOOKUP(A1347,'Data Cleaning'!A1347:A2816, 'Data Cleaning'!D1347:D2816)</f>
        <v>Bachelor</v>
      </c>
      <c r="E1347" s="3" t="str">
        <f>_xlfn.XLOOKUP(A1347,'Data Cleaning'!A1347:A2816, 'Data Cleaning'!E1347:E2816)</f>
        <v>Divorced</v>
      </c>
      <c r="F1347" t="str">
        <f>_xlfn.XLOOKUP(A1347,'Data Cleaning'!A1347:A2816, 'Data Cleaning'!F1347:F2816)</f>
        <v>Low</v>
      </c>
      <c r="G1347" s="3" t="str">
        <f>_xlfn.XLOOKUP(A1347,'Data Cleaning'!A1347:A2816, 'Data Cleaning'!J1347:J2816)</f>
        <v>Long Promotion gap</v>
      </c>
    </row>
    <row r="1348" spans="1:7" x14ac:dyDescent="0.25">
      <c r="A1348" s="3">
        <v>957</v>
      </c>
      <c r="B1348" s="3" t="str">
        <f>_xlfn.XLOOKUP(A1348,'Data Cleaning'!A1348:A2817, 'Data Cleaning'!I1348:I2817)</f>
        <v>35-44</v>
      </c>
      <c r="C1348">
        <f>_xlfn.XLOOKUP(A1348,'Data Cleaning'!A1348:A2817,'Data Cleaning'!K1348:K2817)</f>
        <v>0</v>
      </c>
      <c r="D1348" t="str">
        <f>_xlfn.XLOOKUP(A1348,'Data Cleaning'!A1348:A2817, 'Data Cleaning'!D1348:D2817)</f>
        <v>Bachelor</v>
      </c>
      <c r="E1348" s="3" t="str">
        <f>_xlfn.XLOOKUP(A1348,'Data Cleaning'!A1348:A2817, 'Data Cleaning'!E1348:E2817)</f>
        <v>Single</v>
      </c>
      <c r="F1348" t="str">
        <f>_xlfn.XLOOKUP(A1348,'Data Cleaning'!A1348:A2817, 'Data Cleaning'!F1348:F2817)</f>
        <v>None</v>
      </c>
      <c r="G1348" s="3" t="str">
        <f>_xlfn.XLOOKUP(A1348,'Data Cleaning'!A1348:A2817, 'Data Cleaning'!J1348:J2817)</f>
        <v>Promoted in 1-3 years</v>
      </c>
    </row>
    <row r="1349" spans="1:7" x14ac:dyDescent="0.25">
      <c r="A1349" s="3">
        <v>691</v>
      </c>
      <c r="B1349" s="3" t="str">
        <f>_xlfn.XLOOKUP(A1349,'Data Cleaning'!A1349:A2818, 'Data Cleaning'!I1349:I2818)</f>
        <v>35-44</v>
      </c>
      <c r="C1349">
        <f>_xlfn.XLOOKUP(A1349,'Data Cleaning'!A1349:A2818,'Data Cleaning'!K1349:K2818)</f>
        <v>0</v>
      </c>
      <c r="D1349" t="str">
        <f>_xlfn.XLOOKUP(A1349,'Data Cleaning'!A1349:A2818, 'Data Cleaning'!D1349:D2818)</f>
        <v>Master</v>
      </c>
      <c r="E1349" s="3" t="str">
        <f>_xlfn.XLOOKUP(A1349,'Data Cleaning'!A1349:A2818, 'Data Cleaning'!E1349:E2818)</f>
        <v>Single</v>
      </c>
      <c r="F1349" t="str">
        <f>_xlfn.XLOOKUP(A1349,'Data Cleaning'!A1349:A2818, 'Data Cleaning'!F1349:F2818)</f>
        <v>None</v>
      </c>
      <c r="G1349" s="3" t="str">
        <f>_xlfn.XLOOKUP(A1349,'Data Cleaning'!A1349:A2818, 'Data Cleaning'!J1349:J2818)</f>
        <v>Long Promotion gap</v>
      </c>
    </row>
    <row r="1350" spans="1:7" x14ac:dyDescent="0.25">
      <c r="A1350" s="3">
        <v>391</v>
      </c>
      <c r="B1350" s="3" t="str">
        <f>_xlfn.XLOOKUP(A1350,'Data Cleaning'!A1350:A2819, 'Data Cleaning'!I1350:I2819)</f>
        <v>35-44</v>
      </c>
      <c r="C1350">
        <f>_xlfn.XLOOKUP(A1350,'Data Cleaning'!A1350:A2819,'Data Cleaning'!K1350:K2819)</f>
        <v>0</v>
      </c>
      <c r="D1350" t="str">
        <f>_xlfn.XLOOKUP(A1350,'Data Cleaning'!A1350:A2819, 'Data Cleaning'!D1350:D2819)</f>
        <v>Bachelor</v>
      </c>
      <c r="E1350" s="3" t="str">
        <f>_xlfn.XLOOKUP(A1350,'Data Cleaning'!A1350:A2819, 'Data Cleaning'!E1350:E2819)</f>
        <v>Single</v>
      </c>
      <c r="F1350" t="str">
        <f>_xlfn.XLOOKUP(A1350,'Data Cleaning'!A1350:A2819, 'Data Cleaning'!F1350:F2819)</f>
        <v>None</v>
      </c>
      <c r="G1350" s="3" t="str">
        <f>_xlfn.XLOOKUP(A1350,'Data Cleaning'!A1350:A2819, 'Data Cleaning'!J1350:J2819)</f>
        <v>Long Promotion gap</v>
      </c>
    </row>
    <row r="1351" spans="1:7" x14ac:dyDescent="0.25">
      <c r="A1351" s="3">
        <v>83</v>
      </c>
      <c r="B1351" s="3" t="str">
        <f>_xlfn.XLOOKUP(A1351,'Data Cleaning'!A1351:A2820, 'Data Cleaning'!I1351:I2820)</f>
        <v>35-44</v>
      </c>
      <c r="C1351">
        <f>_xlfn.XLOOKUP(A1351,'Data Cleaning'!A1351:A2820,'Data Cleaning'!K1351:K2820)</f>
        <v>0</v>
      </c>
      <c r="D1351" t="str">
        <f>_xlfn.XLOOKUP(A1351,'Data Cleaning'!A1351:A2820, 'Data Cleaning'!D1351:D2820)</f>
        <v>Bachelor</v>
      </c>
      <c r="E1351" s="3" t="str">
        <f>_xlfn.XLOOKUP(A1351,'Data Cleaning'!A1351:A2820, 'Data Cleaning'!E1351:E2820)</f>
        <v>Divorced</v>
      </c>
      <c r="F1351" t="str">
        <f>_xlfn.XLOOKUP(A1351,'Data Cleaning'!A1351:A2820, 'Data Cleaning'!F1351:F2820)</f>
        <v>High</v>
      </c>
      <c r="G1351" s="3" t="str">
        <f>_xlfn.XLOOKUP(A1351,'Data Cleaning'!A1351:A2820, 'Data Cleaning'!J1351:J2820)</f>
        <v>Long Promotion gap</v>
      </c>
    </row>
    <row r="1352" spans="1:7" x14ac:dyDescent="0.25">
      <c r="A1352" s="3">
        <v>1014</v>
      </c>
      <c r="B1352" s="3" t="str">
        <f>_xlfn.XLOOKUP(A1352,'Data Cleaning'!A1352:A2821, 'Data Cleaning'!I1352:I2821)</f>
        <v>35-44</v>
      </c>
      <c r="C1352">
        <f>_xlfn.XLOOKUP(A1352,'Data Cleaning'!A1352:A2821,'Data Cleaning'!K1352:K2821)</f>
        <v>0</v>
      </c>
      <c r="D1352" t="str">
        <f>_xlfn.XLOOKUP(A1352,'Data Cleaning'!A1352:A2821, 'Data Cleaning'!D1352:D2821)</f>
        <v>Master</v>
      </c>
      <c r="E1352" s="3" t="str">
        <f>_xlfn.XLOOKUP(A1352,'Data Cleaning'!A1352:A2821, 'Data Cleaning'!E1352:E2821)</f>
        <v>Divorced</v>
      </c>
      <c r="F1352" t="str">
        <f>_xlfn.XLOOKUP(A1352,'Data Cleaning'!A1352:A2821, 'Data Cleaning'!F1352:F2821)</f>
        <v>Low</v>
      </c>
      <c r="G1352" s="3" t="str">
        <f>_xlfn.XLOOKUP(A1352,'Data Cleaning'!A1352:A2821, 'Data Cleaning'!J1352:J2821)</f>
        <v>Long Promotion gap</v>
      </c>
    </row>
    <row r="1353" spans="1:7" x14ac:dyDescent="0.25">
      <c r="A1353" s="3">
        <v>1294</v>
      </c>
      <c r="B1353" s="3" t="str">
        <f>_xlfn.XLOOKUP(A1353,'Data Cleaning'!A1353:A2822, 'Data Cleaning'!I1353:I2822)</f>
        <v>35-44</v>
      </c>
      <c r="C1353">
        <f>_xlfn.XLOOKUP(A1353,'Data Cleaning'!A1353:A2822,'Data Cleaning'!K1353:K2822)</f>
        <v>0</v>
      </c>
      <c r="D1353" t="str">
        <f>_xlfn.XLOOKUP(A1353,'Data Cleaning'!A1353:A2822, 'Data Cleaning'!D1353:D2822)</f>
        <v>Master</v>
      </c>
      <c r="E1353" s="3" t="str">
        <f>_xlfn.XLOOKUP(A1353,'Data Cleaning'!A1353:A2822, 'Data Cleaning'!E1353:E2822)</f>
        <v>Single</v>
      </c>
      <c r="F1353" t="str">
        <f>_xlfn.XLOOKUP(A1353,'Data Cleaning'!A1353:A2822, 'Data Cleaning'!F1353:F2822)</f>
        <v>None</v>
      </c>
      <c r="G1353" s="3" t="str">
        <f>_xlfn.XLOOKUP(A1353,'Data Cleaning'!A1353:A2822, 'Data Cleaning'!J1353:J2822)</f>
        <v>Long Promotion gap</v>
      </c>
    </row>
    <row r="1354" spans="1:7" x14ac:dyDescent="0.25">
      <c r="A1354" s="3">
        <v>138</v>
      </c>
      <c r="B1354" s="3" t="str">
        <f>_xlfn.XLOOKUP(A1354,'Data Cleaning'!A1354:A2823, 'Data Cleaning'!I1354:I2823)</f>
        <v>25-34</v>
      </c>
      <c r="C1354">
        <f>_xlfn.XLOOKUP(A1354,'Data Cleaning'!A1354:A2823,'Data Cleaning'!K1354:K2823)</f>
        <v>0</v>
      </c>
      <c r="D1354" t="str">
        <f>_xlfn.XLOOKUP(A1354,'Data Cleaning'!A1354:A2823, 'Data Cleaning'!D1354:D2823)</f>
        <v>Master</v>
      </c>
      <c r="E1354" s="3" t="str">
        <f>_xlfn.XLOOKUP(A1354,'Data Cleaning'!A1354:A2823, 'Data Cleaning'!E1354:E2823)</f>
        <v>Single</v>
      </c>
      <c r="F1354" t="str">
        <f>_xlfn.XLOOKUP(A1354,'Data Cleaning'!A1354:A2823, 'Data Cleaning'!F1354:F2823)</f>
        <v>None</v>
      </c>
      <c r="G1354" s="3" t="str">
        <f>_xlfn.XLOOKUP(A1354,'Data Cleaning'!A1354:A2823, 'Data Cleaning'!J1354:J2823)</f>
        <v>Promoted in 1-3 years</v>
      </c>
    </row>
    <row r="1355" spans="1:7" x14ac:dyDescent="0.25">
      <c r="A1355" s="3">
        <v>924</v>
      </c>
      <c r="B1355" s="3" t="str">
        <f>_xlfn.XLOOKUP(A1355,'Data Cleaning'!A1355:A2824, 'Data Cleaning'!I1355:I2824)</f>
        <v>35-44</v>
      </c>
      <c r="C1355">
        <f>_xlfn.XLOOKUP(A1355,'Data Cleaning'!A1355:A2824,'Data Cleaning'!K1355:K2824)</f>
        <v>0</v>
      </c>
      <c r="D1355" t="str">
        <f>_xlfn.XLOOKUP(A1355,'Data Cleaning'!A1355:A2824, 'Data Cleaning'!D1355:D2824)</f>
        <v>Below College</v>
      </c>
      <c r="E1355" s="3" t="str">
        <f>_xlfn.XLOOKUP(A1355,'Data Cleaning'!A1355:A2824, 'Data Cleaning'!E1355:E2824)</f>
        <v>Married</v>
      </c>
      <c r="F1355" t="str">
        <f>_xlfn.XLOOKUP(A1355,'Data Cleaning'!A1355:A2824, 'Data Cleaning'!F1355:F2824)</f>
        <v>Low</v>
      </c>
      <c r="G1355" s="3" t="str">
        <f>_xlfn.XLOOKUP(A1355,'Data Cleaning'!A1355:A2824, 'Data Cleaning'!J1355:J2824)</f>
        <v>Long Promotion gap</v>
      </c>
    </row>
    <row r="1356" spans="1:7" x14ac:dyDescent="0.25">
      <c r="A1356" s="3">
        <v>1024</v>
      </c>
      <c r="B1356" s="3" t="str">
        <f>_xlfn.XLOOKUP(A1356,'Data Cleaning'!A1356:A2825, 'Data Cleaning'!I1356:I2825)</f>
        <v>45-54</v>
      </c>
      <c r="C1356">
        <f>_xlfn.XLOOKUP(A1356,'Data Cleaning'!A1356:A2825,'Data Cleaning'!K1356:K2825)</f>
        <v>0</v>
      </c>
      <c r="D1356" t="str">
        <f>_xlfn.XLOOKUP(A1356,'Data Cleaning'!A1356:A2825, 'Data Cleaning'!D1356:D2825)</f>
        <v>Master</v>
      </c>
      <c r="E1356" s="3" t="str">
        <f>_xlfn.XLOOKUP(A1356,'Data Cleaning'!A1356:A2825, 'Data Cleaning'!E1356:E2825)</f>
        <v>Single</v>
      </c>
      <c r="F1356" t="str">
        <f>_xlfn.XLOOKUP(A1356,'Data Cleaning'!A1356:A2825, 'Data Cleaning'!F1356:F2825)</f>
        <v>None</v>
      </c>
      <c r="G1356" s="3" t="str">
        <f>_xlfn.XLOOKUP(A1356,'Data Cleaning'!A1356:A2825, 'Data Cleaning'!J1356:J2825)</f>
        <v>Long Promotion gap</v>
      </c>
    </row>
    <row r="1357" spans="1:7" x14ac:dyDescent="0.25">
      <c r="A1357" s="3">
        <v>170</v>
      </c>
      <c r="B1357" s="3" t="str">
        <f>_xlfn.XLOOKUP(A1357,'Data Cleaning'!A1357:A2826, 'Data Cleaning'!I1357:I2826)</f>
        <v>45-54</v>
      </c>
      <c r="C1357">
        <f>_xlfn.XLOOKUP(A1357,'Data Cleaning'!A1357:A2826,'Data Cleaning'!K1357:K2826)</f>
        <v>0</v>
      </c>
      <c r="D1357" t="str">
        <f>_xlfn.XLOOKUP(A1357,'Data Cleaning'!A1357:A2826, 'Data Cleaning'!D1357:D2826)</f>
        <v>Master</v>
      </c>
      <c r="E1357" s="3" t="str">
        <f>_xlfn.XLOOKUP(A1357,'Data Cleaning'!A1357:A2826, 'Data Cleaning'!E1357:E2826)</f>
        <v>Married</v>
      </c>
      <c r="F1357" t="str">
        <f>_xlfn.XLOOKUP(A1357,'Data Cleaning'!A1357:A2826, 'Data Cleaning'!F1357:F2826)</f>
        <v>None</v>
      </c>
      <c r="G1357" s="3" t="str">
        <f>_xlfn.XLOOKUP(A1357,'Data Cleaning'!A1357:A2826, 'Data Cleaning'!J1357:J2826)</f>
        <v>Long Promotion gap</v>
      </c>
    </row>
    <row r="1358" spans="1:7" x14ac:dyDescent="0.25">
      <c r="A1358" s="3">
        <v>373</v>
      </c>
      <c r="B1358" s="3" t="str">
        <f>_xlfn.XLOOKUP(A1358,'Data Cleaning'!A1358:A2827, 'Data Cleaning'!I1358:I2827)</f>
        <v>35-44</v>
      </c>
      <c r="C1358">
        <f>_xlfn.XLOOKUP(A1358,'Data Cleaning'!A1358:A2827,'Data Cleaning'!K1358:K2827)</f>
        <v>0</v>
      </c>
      <c r="D1358" t="str">
        <f>_xlfn.XLOOKUP(A1358,'Data Cleaning'!A1358:A2827, 'Data Cleaning'!D1358:D2827)</f>
        <v>Bachelor</v>
      </c>
      <c r="E1358" s="3" t="str">
        <f>_xlfn.XLOOKUP(A1358,'Data Cleaning'!A1358:A2827, 'Data Cleaning'!E1358:E2827)</f>
        <v>Married</v>
      </c>
      <c r="F1358" t="str">
        <f>_xlfn.XLOOKUP(A1358,'Data Cleaning'!A1358:A2827, 'Data Cleaning'!F1358:F2827)</f>
        <v>Low</v>
      </c>
      <c r="G1358" s="3" t="str">
        <f>_xlfn.XLOOKUP(A1358,'Data Cleaning'!A1358:A2827, 'Data Cleaning'!J1358:J2827)</f>
        <v>Long Promotion gap</v>
      </c>
    </row>
    <row r="1359" spans="1:7" x14ac:dyDescent="0.25">
      <c r="A1359" s="3">
        <v>950</v>
      </c>
      <c r="B1359" s="3" t="str">
        <f>_xlfn.XLOOKUP(A1359,'Data Cleaning'!A1359:A2828, 'Data Cleaning'!I1359:I2828)</f>
        <v>35-44</v>
      </c>
      <c r="C1359">
        <f>_xlfn.XLOOKUP(A1359,'Data Cleaning'!A1359:A2828,'Data Cleaning'!K1359:K2828)</f>
        <v>0</v>
      </c>
      <c r="D1359" t="str">
        <f>_xlfn.XLOOKUP(A1359,'Data Cleaning'!A1359:A2828, 'Data Cleaning'!D1359:D2828)</f>
        <v>Bachelor</v>
      </c>
      <c r="E1359" s="3" t="str">
        <f>_xlfn.XLOOKUP(A1359,'Data Cleaning'!A1359:A2828, 'Data Cleaning'!E1359:E2828)</f>
        <v>Married</v>
      </c>
      <c r="F1359" t="str">
        <f>_xlfn.XLOOKUP(A1359,'Data Cleaning'!A1359:A2828, 'Data Cleaning'!F1359:F2828)</f>
        <v>Low</v>
      </c>
      <c r="G1359" s="3" t="str">
        <f>_xlfn.XLOOKUP(A1359,'Data Cleaning'!A1359:A2828, 'Data Cleaning'!J1359:J2828)</f>
        <v>Long Promotion gap</v>
      </c>
    </row>
    <row r="1360" spans="1:7" x14ac:dyDescent="0.25">
      <c r="A1360" s="3">
        <v>1661</v>
      </c>
      <c r="B1360" s="3" t="str">
        <f>_xlfn.XLOOKUP(A1360,'Data Cleaning'!A1360:A2829, 'Data Cleaning'!I1360:I2829)</f>
        <v>45-54</v>
      </c>
      <c r="C1360">
        <f>_xlfn.XLOOKUP(A1360,'Data Cleaning'!A1360:A2829,'Data Cleaning'!K1360:K2829)</f>
        <v>0</v>
      </c>
      <c r="D1360" t="str">
        <f>_xlfn.XLOOKUP(A1360,'Data Cleaning'!A1360:A2829, 'Data Cleaning'!D1360:D2829)</f>
        <v>Below College</v>
      </c>
      <c r="E1360" s="3" t="str">
        <f>_xlfn.XLOOKUP(A1360,'Data Cleaning'!A1360:A2829, 'Data Cleaning'!E1360:E2829)</f>
        <v>Married</v>
      </c>
      <c r="F1360" t="str">
        <f>_xlfn.XLOOKUP(A1360,'Data Cleaning'!A1360:A2829, 'Data Cleaning'!F1360:F2829)</f>
        <v>Low</v>
      </c>
      <c r="G1360" s="3" t="str">
        <f>_xlfn.XLOOKUP(A1360,'Data Cleaning'!A1360:A2829, 'Data Cleaning'!J1360:J2829)</f>
        <v>Promoted in 1-3 years</v>
      </c>
    </row>
    <row r="1361" spans="1:7" x14ac:dyDescent="0.25">
      <c r="A1361" s="3">
        <v>1696</v>
      </c>
      <c r="B1361" s="3" t="str">
        <f>_xlfn.XLOOKUP(A1361,'Data Cleaning'!A1361:A2830, 'Data Cleaning'!I1361:I2830)</f>
        <v>25-34</v>
      </c>
      <c r="C1361">
        <f>_xlfn.XLOOKUP(A1361,'Data Cleaning'!A1361:A2830,'Data Cleaning'!K1361:K2830)</f>
        <v>0</v>
      </c>
      <c r="D1361" t="str">
        <f>_xlfn.XLOOKUP(A1361,'Data Cleaning'!A1361:A2830, 'Data Cleaning'!D1361:D2830)</f>
        <v>College</v>
      </c>
      <c r="E1361" s="3" t="str">
        <f>_xlfn.XLOOKUP(A1361,'Data Cleaning'!A1361:A2830, 'Data Cleaning'!E1361:E2830)</f>
        <v>Married</v>
      </c>
      <c r="F1361" t="str">
        <f>_xlfn.XLOOKUP(A1361,'Data Cleaning'!A1361:A2830, 'Data Cleaning'!F1361:F2830)</f>
        <v>Low</v>
      </c>
      <c r="G1361" s="3" t="str">
        <f>_xlfn.XLOOKUP(A1361,'Data Cleaning'!A1361:A2830, 'Data Cleaning'!J1361:J2830)</f>
        <v>Long Promotion gap</v>
      </c>
    </row>
    <row r="1362" spans="1:7" x14ac:dyDescent="0.25">
      <c r="A1362" s="3">
        <v>1549</v>
      </c>
      <c r="B1362" s="3" t="str">
        <f>_xlfn.XLOOKUP(A1362,'Data Cleaning'!A1362:A2831, 'Data Cleaning'!I1362:I2831)</f>
        <v>25-34</v>
      </c>
      <c r="C1362">
        <f>_xlfn.XLOOKUP(A1362,'Data Cleaning'!A1362:A2831,'Data Cleaning'!K1362:K2831)</f>
        <v>0</v>
      </c>
      <c r="D1362" t="str">
        <f>_xlfn.XLOOKUP(A1362,'Data Cleaning'!A1362:A2831, 'Data Cleaning'!D1362:D2831)</f>
        <v>Master</v>
      </c>
      <c r="E1362" s="3" t="str">
        <f>_xlfn.XLOOKUP(A1362,'Data Cleaning'!A1362:A2831, 'Data Cleaning'!E1362:E2831)</f>
        <v>Married</v>
      </c>
      <c r="F1362" t="str">
        <f>_xlfn.XLOOKUP(A1362,'Data Cleaning'!A1362:A2831, 'Data Cleaning'!F1362:F2831)</f>
        <v>Low</v>
      </c>
      <c r="G1362" s="3" t="str">
        <f>_xlfn.XLOOKUP(A1362,'Data Cleaning'!A1362:A2831, 'Data Cleaning'!J1362:J2831)</f>
        <v>Long Promotion gap</v>
      </c>
    </row>
    <row r="1363" spans="1:7" x14ac:dyDescent="0.25">
      <c r="A1363" s="3">
        <v>1196</v>
      </c>
      <c r="B1363" s="3" t="str">
        <f>_xlfn.XLOOKUP(A1363,'Data Cleaning'!A1363:A2832, 'Data Cleaning'!I1363:I2832)</f>
        <v>35-44</v>
      </c>
      <c r="C1363">
        <f>_xlfn.XLOOKUP(A1363,'Data Cleaning'!A1363:A2832,'Data Cleaning'!K1363:K2832)</f>
        <v>0</v>
      </c>
      <c r="D1363" t="str">
        <f>_xlfn.XLOOKUP(A1363,'Data Cleaning'!A1363:A2832, 'Data Cleaning'!D1363:D2832)</f>
        <v>Bachelor</v>
      </c>
      <c r="E1363" s="3" t="str">
        <f>_xlfn.XLOOKUP(A1363,'Data Cleaning'!A1363:A2832, 'Data Cleaning'!E1363:E2832)</f>
        <v>Married</v>
      </c>
      <c r="F1363" t="str">
        <f>_xlfn.XLOOKUP(A1363,'Data Cleaning'!A1363:A2832, 'Data Cleaning'!F1363:F2832)</f>
        <v>Low</v>
      </c>
      <c r="G1363" s="3" t="str">
        <f>_xlfn.XLOOKUP(A1363,'Data Cleaning'!A1363:A2832, 'Data Cleaning'!J1363:J2832)</f>
        <v>Promoted in 1-3 years</v>
      </c>
    </row>
    <row r="1364" spans="1:7" x14ac:dyDescent="0.25">
      <c r="A1364" s="3">
        <v>32</v>
      </c>
      <c r="B1364" s="3" t="str">
        <f>_xlfn.XLOOKUP(A1364,'Data Cleaning'!A1364:A2833, 'Data Cleaning'!I1364:I2833)</f>
        <v>45-54</v>
      </c>
      <c r="C1364">
        <f>_xlfn.XLOOKUP(A1364,'Data Cleaning'!A1364:A2833,'Data Cleaning'!K1364:K2833)</f>
        <v>0</v>
      </c>
      <c r="D1364" t="str">
        <f>_xlfn.XLOOKUP(A1364,'Data Cleaning'!A1364:A2833, 'Data Cleaning'!D1364:D2833)</f>
        <v>Bachelor</v>
      </c>
      <c r="E1364" s="3" t="str">
        <f>_xlfn.XLOOKUP(A1364,'Data Cleaning'!A1364:A2833, 'Data Cleaning'!E1364:E2833)</f>
        <v>Divorced</v>
      </c>
      <c r="F1364" t="str">
        <f>_xlfn.XLOOKUP(A1364,'Data Cleaning'!A1364:A2833, 'Data Cleaning'!F1364:F2833)</f>
        <v>Low</v>
      </c>
      <c r="G1364" s="3" t="str">
        <f>_xlfn.XLOOKUP(A1364,'Data Cleaning'!A1364:A2833, 'Data Cleaning'!J1364:J2833)</f>
        <v>Long Promotion gap</v>
      </c>
    </row>
    <row r="1365" spans="1:7" x14ac:dyDescent="0.25">
      <c r="A1365" s="3">
        <v>830</v>
      </c>
      <c r="B1365" s="3" t="str">
        <f>_xlfn.XLOOKUP(A1365,'Data Cleaning'!A1365:A2834, 'Data Cleaning'!I1365:I2834)</f>
        <v>25-34</v>
      </c>
      <c r="C1365">
        <f>_xlfn.XLOOKUP(A1365,'Data Cleaning'!A1365:A2834,'Data Cleaning'!K1365:K2834)</f>
        <v>0</v>
      </c>
      <c r="D1365" t="str">
        <f>_xlfn.XLOOKUP(A1365,'Data Cleaning'!A1365:A2834, 'Data Cleaning'!D1365:D2834)</f>
        <v>Bachelor</v>
      </c>
      <c r="E1365" s="3" t="str">
        <f>_xlfn.XLOOKUP(A1365,'Data Cleaning'!A1365:A2834, 'Data Cleaning'!E1365:E2834)</f>
        <v>Married</v>
      </c>
      <c r="F1365" t="str">
        <f>_xlfn.XLOOKUP(A1365,'Data Cleaning'!A1365:A2834, 'Data Cleaning'!F1365:F2834)</f>
        <v>Low</v>
      </c>
      <c r="G1365" s="3" t="str">
        <f>_xlfn.XLOOKUP(A1365,'Data Cleaning'!A1365:A2834, 'Data Cleaning'!J1365:J2834)</f>
        <v>Long Promotion gap</v>
      </c>
    </row>
    <row r="1366" spans="1:7" x14ac:dyDescent="0.25">
      <c r="A1366" s="3">
        <v>1383</v>
      </c>
      <c r="B1366" s="3" t="str">
        <f>_xlfn.XLOOKUP(A1366,'Data Cleaning'!A1366:A2835, 'Data Cleaning'!I1366:I2835)</f>
        <v>25-34</v>
      </c>
      <c r="C1366">
        <f>_xlfn.XLOOKUP(A1366,'Data Cleaning'!A1366:A2835,'Data Cleaning'!K1366:K2835)</f>
        <v>0</v>
      </c>
      <c r="D1366" t="str">
        <f>_xlfn.XLOOKUP(A1366,'Data Cleaning'!A1366:A2835, 'Data Cleaning'!D1366:D2835)</f>
        <v>Master</v>
      </c>
      <c r="E1366" s="3" t="str">
        <f>_xlfn.XLOOKUP(A1366,'Data Cleaning'!A1366:A2835, 'Data Cleaning'!E1366:E2835)</f>
        <v>Single</v>
      </c>
      <c r="F1366" t="str">
        <f>_xlfn.XLOOKUP(A1366,'Data Cleaning'!A1366:A2835, 'Data Cleaning'!F1366:F2835)</f>
        <v>None</v>
      </c>
      <c r="G1366" s="3" t="str">
        <f>_xlfn.XLOOKUP(A1366,'Data Cleaning'!A1366:A2835, 'Data Cleaning'!J1366:J2835)</f>
        <v>Long Promotion gap</v>
      </c>
    </row>
    <row r="1367" spans="1:7" x14ac:dyDescent="0.25">
      <c r="A1367" s="3">
        <v>1238</v>
      </c>
      <c r="B1367" s="3" t="str">
        <f>_xlfn.XLOOKUP(A1367,'Data Cleaning'!A1367:A2836, 'Data Cleaning'!I1367:I2836)</f>
        <v>25-34</v>
      </c>
      <c r="C1367">
        <f>_xlfn.XLOOKUP(A1367,'Data Cleaning'!A1367:A2836,'Data Cleaning'!K1367:K2836)</f>
        <v>0</v>
      </c>
      <c r="D1367" t="str">
        <f>_xlfn.XLOOKUP(A1367,'Data Cleaning'!A1367:A2836, 'Data Cleaning'!D1367:D2836)</f>
        <v>Bachelor</v>
      </c>
      <c r="E1367" s="3" t="str">
        <f>_xlfn.XLOOKUP(A1367,'Data Cleaning'!A1367:A2836, 'Data Cleaning'!E1367:E2836)</f>
        <v>Married</v>
      </c>
      <c r="F1367" t="str">
        <f>_xlfn.XLOOKUP(A1367,'Data Cleaning'!A1367:A2836, 'Data Cleaning'!F1367:F2836)</f>
        <v>Low</v>
      </c>
      <c r="G1367" s="3" t="str">
        <f>_xlfn.XLOOKUP(A1367,'Data Cleaning'!A1367:A2836, 'Data Cleaning'!J1367:J2836)</f>
        <v>Long Promotion gap</v>
      </c>
    </row>
    <row r="1368" spans="1:7" x14ac:dyDescent="0.25">
      <c r="A1368" s="3">
        <v>1698</v>
      </c>
      <c r="B1368" s="3" t="str">
        <f>_xlfn.XLOOKUP(A1368,'Data Cleaning'!A1368:A2837, 'Data Cleaning'!I1368:I2837)</f>
        <v>25-34</v>
      </c>
      <c r="C1368">
        <f>_xlfn.XLOOKUP(A1368,'Data Cleaning'!A1368:A2837,'Data Cleaning'!K1368:K2837)</f>
        <v>0</v>
      </c>
      <c r="D1368" t="str">
        <f>_xlfn.XLOOKUP(A1368,'Data Cleaning'!A1368:A2837, 'Data Cleaning'!D1368:D2837)</f>
        <v>Bachelor</v>
      </c>
      <c r="E1368" s="3" t="str">
        <f>_xlfn.XLOOKUP(A1368,'Data Cleaning'!A1368:A2837, 'Data Cleaning'!E1368:E2837)</f>
        <v>Married</v>
      </c>
      <c r="F1368" t="str">
        <f>_xlfn.XLOOKUP(A1368,'Data Cleaning'!A1368:A2837, 'Data Cleaning'!F1368:F2837)</f>
        <v>High</v>
      </c>
      <c r="G1368" s="3" t="str">
        <f>_xlfn.XLOOKUP(A1368,'Data Cleaning'!A1368:A2837, 'Data Cleaning'!J1368:J2837)</f>
        <v>Promoted in 1-3 years</v>
      </c>
    </row>
    <row r="1369" spans="1:7" x14ac:dyDescent="0.25">
      <c r="A1369" s="3">
        <v>524</v>
      </c>
      <c r="B1369" s="3" t="str">
        <f>_xlfn.XLOOKUP(A1369,'Data Cleaning'!A1369:A2838, 'Data Cleaning'!I1369:I2838)</f>
        <v>25-34</v>
      </c>
      <c r="C1369">
        <f>_xlfn.XLOOKUP(A1369,'Data Cleaning'!A1369:A2838,'Data Cleaning'!K1369:K2838)</f>
        <v>0</v>
      </c>
      <c r="D1369" t="str">
        <f>_xlfn.XLOOKUP(A1369,'Data Cleaning'!A1369:A2838, 'Data Cleaning'!D1369:D2838)</f>
        <v>College</v>
      </c>
      <c r="E1369" s="3" t="str">
        <f>_xlfn.XLOOKUP(A1369,'Data Cleaning'!A1369:A2838, 'Data Cleaning'!E1369:E2838)</f>
        <v>Married</v>
      </c>
      <c r="F1369" t="str">
        <f>_xlfn.XLOOKUP(A1369,'Data Cleaning'!A1369:A2838, 'Data Cleaning'!F1369:F2838)</f>
        <v>Low</v>
      </c>
      <c r="G1369" s="3" t="str">
        <f>_xlfn.XLOOKUP(A1369,'Data Cleaning'!A1369:A2838, 'Data Cleaning'!J1369:J2838)</f>
        <v>Promoted in 1-3 years</v>
      </c>
    </row>
    <row r="1370" spans="1:7" x14ac:dyDescent="0.25">
      <c r="A1370" s="3">
        <v>1911</v>
      </c>
      <c r="B1370" s="3" t="str">
        <f>_xlfn.XLOOKUP(A1370,'Data Cleaning'!A1370:A2839, 'Data Cleaning'!I1370:I2839)</f>
        <v>35-44</v>
      </c>
      <c r="C1370">
        <f>_xlfn.XLOOKUP(A1370,'Data Cleaning'!A1370:A2839,'Data Cleaning'!K1370:K2839)</f>
        <v>0</v>
      </c>
      <c r="D1370" t="str">
        <f>_xlfn.XLOOKUP(A1370,'Data Cleaning'!A1370:A2839, 'Data Cleaning'!D1370:D2839)</f>
        <v>Bachelor</v>
      </c>
      <c r="E1370" s="3" t="str">
        <f>_xlfn.XLOOKUP(A1370,'Data Cleaning'!A1370:A2839, 'Data Cleaning'!E1370:E2839)</f>
        <v>Married</v>
      </c>
      <c r="F1370" t="str">
        <f>_xlfn.XLOOKUP(A1370,'Data Cleaning'!A1370:A2839, 'Data Cleaning'!F1370:F2839)</f>
        <v>Low</v>
      </c>
      <c r="G1370" s="3" t="str">
        <f>_xlfn.XLOOKUP(A1370,'Data Cleaning'!A1370:A2839, 'Data Cleaning'!J1370:J2839)</f>
        <v>Long Promotion gap</v>
      </c>
    </row>
    <row r="1371" spans="1:7" x14ac:dyDescent="0.25">
      <c r="A1371" s="3">
        <v>304</v>
      </c>
      <c r="B1371" s="3" t="str">
        <f>_xlfn.XLOOKUP(A1371,'Data Cleaning'!A1371:A2840, 'Data Cleaning'!I1371:I2840)</f>
        <v>35-44</v>
      </c>
      <c r="C1371">
        <f>_xlfn.XLOOKUP(A1371,'Data Cleaning'!A1371:A2840,'Data Cleaning'!K1371:K2840)</f>
        <v>0</v>
      </c>
      <c r="D1371" t="str">
        <f>_xlfn.XLOOKUP(A1371,'Data Cleaning'!A1371:A2840, 'Data Cleaning'!D1371:D2840)</f>
        <v>College</v>
      </c>
      <c r="E1371" s="3" t="str">
        <f>_xlfn.XLOOKUP(A1371,'Data Cleaning'!A1371:A2840, 'Data Cleaning'!E1371:E2840)</f>
        <v>Single</v>
      </c>
      <c r="F1371" t="str">
        <f>_xlfn.XLOOKUP(A1371,'Data Cleaning'!A1371:A2840, 'Data Cleaning'!F1371:F2840)</f>
        <v>None</v>
      </c>
      <c r="G1371" s="3" t="str">
        <f>_xlfn.XLOOKUP(A1371,'Data Cleaning'!A1371:A2840, 'Data Cleaning'!J1371:J2840)</f>
        <v>Promoted in 1-3 years</v>
      </c>
    </row>
    <row r="1372" spans="1:7" x14ac:dyDescent="0.25">
      <c r="A1372" s="3">
        <v>817</v>
      </c>
      <c r="B1372" s="3" t="str">
        <f>_xlfn.XLOOKUP(A1372,'Data Cleaning'!A1372:A2841, 'Data Cleaning'!I1372:I2841)</f>
        <v>25-34</v>
      </c>
      <c r="C1372">
        <f>_xlfn.XLOOKUP(A1372,'Data Cleaning'!A1372:A2841,'Data Cleaning'!K1372:K2841)</f>
        <v>0</v>
      </c>
      <c r="D1372" t="str">
        <f>_xlfn.XLOOKUP(A1372,'Data Cleaning'!A1372:A2841, 'Data Cleaning'!D1372:D2841)</f>
        <v>Bachelor</v>
      </c>
      <c r="E1372" s="3" t="str">
        <f>_xlfn.XLOOKUP(A1372,'Data Cleaning'!A1372:A2841, 'Data Cleaning'!E1372:E2841)</f>
        <v>Married</v>
      </c>
      <c r="F1372" t="str">
        <f>_xlfn.XLOOKUP(A1372,'Data Cleaning'!A1372:A2841, 'Data Cleaning'!F1372:F2841)</f>
        <v>None</v>
      </c>
      <c r="G1372" s="3" t="str">
        <f>_xlfn.XLOOKUP(A1372,'Data Cleaning'!A1372:A2841, 'Data Cleaning'!J1372:J2841)</f>
        <v>Promoted in 1-3 years</v>
      </c>
    </row>
    <row r="1373" spans="1:7" x14ac:dyDescent="0.25">
      <c r="A1373" s="3">
        <v>1790</v>
      </c>
      <c r="B1373" s="3" t="str">
        <f>_xlfn.XLOOKUP(A1373,'Data Cleaning'!A1373:A2842, 'Data Cleaning'!I1373:I2842)</f>
        <v>35-44</v>
      </c>
      <c r="C1373">
        <f>_xlfn.XLOOKUP(A1373,'Data Cleaning'!A1373:A2842,'Data Cleaning'!K1373:K2842)</f>
        <v>0</v>
      </c>
      <c r="D1373" t="str">
        <f>_xlfn.XLOOKUP(A1373,'Data Cleaning'!A1373:A2842, 'Data Cleaning'!D1373:D2842)</f>
        <v>Bachelor</v>
      </c>
      <c r="E1373" s="3" t="str">
        <f>_xlfn.XLOOKUP(A1373,'Data Cleaning'!A1373:A2842, 'Data Cleaning'!E1373:E2842)</f>
        <v>Married</v>
      </c>
      <c r="F1373" t="str">
        <f>_xlfn.XLOOKUP(A1373,'Data Cleaning'!A1373:A2842, 'Data Cleaning'!F1373:F2842)</f>
        <v>Low</v>
      </c>
      <c r="G1373" s="3" t="str">
        <f>_xlfn.XLOOKUP(A1373,'Data Cleaning'!A1373:A2842, 'Data Cleaning'!J1373:J2842)</f>
        <v>Long Promotion gap</v>
      </c>
    </row>
    <row r="1374" spans="1:7" x14ac:dyDescent="0.25">
      <c r="A1374" s="3">
        <v>28</v>
      </c>
      <c r="B1374" s="3" t="str">
        <f>_xlfn.XLOOKUP(A1374,'Data Cleaning'!A1374:A2843, 'Data Cleaning'!I1374:I2843)</f>
        <v>25-34</v>
      </c>
      <c r="C1374">
        <f>_xlfn.XLOOKUP(A1374,'Data Cleaning'!A1374:A2843,'Data Cleaning'!K1374:K2843)</f>
        <v>0</v>
      </c>
      <c r="D1374" t="str">
        <f>_xlfn.XLOOKUP(A1374,'Data Cleaning'!A1374:A2843, 'Data Cleaning'!D1374:D2843)</f>
        <v>Master</v>
      </c>
      <c r="E1374" s="3" t="str">
        <f>_xlfn.XLOOKUP(A1374,'Data Cleaning'!A1374:A2843, 'Data Cleaning'!E1374:E2843)</f>
        <v>Single</v>
      </c>
      <c r="F1374" t="str">
        <f>_xlfn.XLOOKUP(A1374,'Data Cleaning'!A1374:A2843, 'Data Cleaning'!F1374:F2843)</f>
        <v>None</v>
      </c>
      <c r="G1374" s="3" t="str">
        <f>_xlfn.XLOOKUP(A1374,'Data Cleaning'!A1374:A2843, 'Data Cleaning'!J1374:J2843)</f>
        <v>Promoted in 1-3 years</v>
      </c>
    </row>
    <row r="1375" spans="1:7" x14ac:dyDescent="0.25">
      <c r="A1375" s="3">
        <v>901</v>
      </c>
      <c r="B1375" s="3" t="str">
        <f>_xlfn.XLOOKUP(A1375,'Data Cleaning'!A1375:A2844, 'Data Cleaning'!I1375:I2844)</f>
        <v>45-54</v>
      </c>
      <c r="C1375">
        <f>_xlfn.XLOOKUP(A1375,'Data Cleaning'!A1375:A2844,'Data Cleaning'!K1375:K2844)</f>
        <v>0</v>
      </c>
      <c r="D1375" t="str">
        <f>_xlfn.XLOOKUP(A1375,'Data Cleaning'!A1375:A2844, 'Data Cleaning'!D1375:D2844)</f>
        <v>Master</v>
      </c>
      <c r="E1375" s="3" t="str">
        <f>_xlfn.XLOOKUP(A1375,'Data Cleaning'!A1375:A2844, 'Data Cleaning'!E1375:E2844)</f>
        <v>Single</v>
      </c>
      <c r="F1375" t="str">
        <f>_xlfn.XLOOKUP(A1375,'Data Cleaning'!A1375:A2844, 'Data Cleaning'!F1375:F2844)</f>
        <v>None</v>
      </c>
      <c r="G1375" s="3" t="str">
        <f>_xlfn.XLOOKUP(A1375,'Data Cleaning'!A1375:A2844, 'Data Cleaning'!J1375:J2844)</f>
        <v>Promoted in 1-3 years</v>
      </c>
    </row>
    <row r="1376" spans="1:7" x14ac:dyDescent="0.25">
      <c r="A1376" s="3">
        <v>461</v>
      </c>
      <c r="B1376" s="3" t="str">
        <f>_xlfn.XLOOKUP(A1376,'Data Cleaning'!A1376:A2845, 'Data Cleaning'!I1376:I2845)</f>
        <v>35-44</v>
      </c>
      <c r="C1376">
        <f>_xlfn.XLOOKUP(A1376,'Data Cleaning'!A1376:A2845,'Data Cleaning'!K1376:K2845)</f>
        <v>0</v>
      </c>
      <c r="D1376" t="str">
        <f>_xlfn.XLOOKUP(A1376,'Data Cleaning'!A1376:A2845, 'Data Cleaning'!D1376:D2845)</f>
        <v>College</v>
      </c>
      <c r="E1376" s="3" t="str">
        <f>_xlfn.XLOOKUP(A1376,'Data Cleaning'!A1376:A2845, 'Data Cleaning'!E1376:E2845)</f>
        <v>Divorced</v>
      </c>
      <c r="F1376" t="str">
        <f>_xlfn.XLOOKUP(A1376,'Data Cleaning'!A1376:A2845, 'Data Cleaning'!F1376:F2845)</f>
        <v>Low</v>
      </c>
      <c r="G1376" s="3" t="str">
        <f>_xlfn.XLOOKUP(A1376,'Data Cleaning'!A1376:A2845, 'Data Cleaning'!J1376:J2845)</f>
        <v>Promoted in 1-3 years</v>
      </c>
    </row>
    <row r="1377" spans="1:7" x14ac:dyDescent="0.25">
      <c r="A1377" s="3">
        <v>462</v>
      </c>
      <c r="B1377" s="3" t="str">
        <f>_xlfn.XLOOKUP(A1377,'Data Cleaning'!A1377:A2846, 'Data Cleaning'!I1377:I2846)</f>
        <v>25-34</v>
      </c>
      <c r="C1377">
        <f>_xlfn.XLOOKUP(A1377,'Data Cleaning'!A1377:A2846,'Data Cleaning'!K1377:K2846)</f>
        <v>0</v>
      </c>
      <c r="D1377" t="str">
        <f>_xlfn.XLOOKUP(A1377,'Data Cleaning'!A1377:A2846, 'Data Cleaning'!D1377:D2846)</f>
        <v>Master</v>
      </c>
      <c r="E1377" s="3" t="str">
        <f>_xlfn.XLOOKUP(A1377,'Data Cleaning'!A1377:A2846, 'Data Cleaning'!E1377:E2846)</f>
        <v>Single</v>
      </c>
      <c r="F1377" t="str">
        <f>_xlfn.XLOOKUP(A1377,'Data Cleaning'!A1377:A2846, 'Data Cleaning'!F1377:F2846)</f>
        <v>None</v>
      </c>
      <c r="G1377" s="3" t="str">
        <f>_xlfn.XLOOKUP(A1377,'Data Cleaning'!A1377:A2846, 'Data Cleaning'!J1377:J2846)</f>
        <v>Long Promotion gap</v>
      </c>
    </row>
    <row r="1378" spans="1:7" x14ac:dyDescent="0.25">
      <c r="A1378" s="3">
        <v>1529</v>
      </c>
      <c r="B1378" s="3" t="str">
        <f>_xlfn.XLOOKUP(A1378,'Data Cleaning'!A1378:A2847, 'Data Cleaning'!I1378:I2847)</f>
        <v>35-44</v>
      </c>
      <c r="C1378">
        <f>_xlfn.XLOOKUP(A1378,'Data Cleaning'!A1378:A2847,'Data Cleaning'!K1378:K2847)</f>
        <v>0</v>
      </c>
      <c r="D1378" t="str">
        <f>_xlfn.XLOOKUP(A1378,'Data Cleaning'!A1378:A2847, 'Data Cleaning'!D1378:D2847)</f>
        <v>Bachelor</v>
      </c>
      <c r="E1378" s="3" t="str">
        <f>_xlfn.XLOOKUP(A1378,'Data Cleaning'!A1378:A2847, 'Data Cleaning'!E1378:E2847)</f>
        <v>Single</v>
      </c>
      <c r="F1378" t="str">
        <f>_xlfn.XLOOKUP(A1378,'Data Cleaning'!A1378:A2847, 'Data Cleaning'!F1378:F2847)</f>
        <v>None</v>
      </c>
      <c r="G1378" s="3" t="str">
        <f>_xlfn.XLOOKUP(A1378,'Data Cleaning'!A1378:A2847, 'Data Cleaning'!J1378:J2847)</f>
        <v>Promoted in 1-3 years</v>
      </c>
    </row>
    <row r="1379" spans="1:7" x14ac:dyDescent="0.25">
      <c r="A1379" s="3">
        <v>153</v>
      </c>
      <c r="B1379" s="3" t="str">
        <f>_xlfn.XLOOKUP(A1379,'Data Cleaning'!A1379:A2848, 'Data Cleaning'!I1379:I2848)</f>
        <v>25-34</v>
      </c>
      <c r="C1379">
        <f>_xlfn.XLOOKUP(A1379,'Data Cleaning'!A1379:A2848,'Data Cleaning'!K1379:K2848)</f>
        <v>0</v>
      </c>
      <c r="D1379" t="str">
        <f>_xlfn.XLOOKUP(A1379,'Data Cleaning'!A1379:A2848, 'Data Cleaning'!D1379:D2848)</f>
        <v>Bachelor</v>
      </c>
      <c r="E1379" s="3" t="str">
        <f>_xlfn.XLOOKUP(A1379,'Data Cleaning'!A1379:A2848, 'Data Cleaning'!E1379:E2848)</f>
        <v>Single</v>
      </c>
      <c r="F1379" t="str">
        <f>_xlfn.XLOOKUP(A1379,'Data Cleaning'!A1379:A2848, 'Data Cleaning'!F1379:F2848)</f>
        <v>None</v>
      </c>
      <c r="G1379" s="3" t="str">
        <f>_xlfn.XLOOKUP(A1379,'Data Cleaning'!A1379:A2848, 'Data Cleaning'!J1379:J2848)</f>
        <v>Long Promotion gap</v>
      </c>
    </row>
    <row r="1380" spans="1:7" x14ac:dyDescent="0.25">
      <c r="A1380" s="3">
        <v>117</v>
      </c>
      <c r="B1380" s="3" t="str">
        <f>_xlfn.XLOOKUP(A1380,'Data Cleaning'!A1380:A2849, 'Data Cleaning'!I1380:I2849)</f>
        <v>25-34</v>
      </c>
      <c r="C1380">
        <f>_xlfn.XLOOKUP(A1380,'Data Cleaning'!A1380:A2849,'Data Cleaning'!K1380:K2849)</f>
        <v>0</v>
      </c>
      <c r="D1380" t="str">
        <f>_xlfn.XLOOKUP(A1380,'Data Cleaning'!A1380:A2849, 'Data Cleaning'!D1380:D2849)</f>
        <v>Bachelor</v>
      </c>
      <c r="E1380" s="3" t="str">
        <f>_xlfn.XLOOKUP(A1380,'Data Cleaning'!A1380:A2849, 'Data Cleaning'!E1380:E2849)</f>
        <v>Married</v>
      </c>
      <c r="F1380" t="str">
        <f>_xlfn.XLOOKUP(A1380,'Data Cleaning'!A1380:A2849, 'Data Cleaning'!F1380:F2849)</f>
        <v>High</v>
      </c>
      <c r="G1380" s="3" t="str">
        <f>_xlfn.XLOOKUP(A1380,'Data Cleaning'!A1380:A2849, 'Data Cleaning'!J1380:J2849)</f>
        <v>Long Promotion gap</v>
      </c>
    </row>
    <row r="1381" spans="1:7" x14ac:dyDescent="0.25">
      <c r="A1381" s="3">
        <v>339</v>
      </c>
      <c r="B1381" s="3" t="str">
        <f>_xlfn.XLOOKUP(A1381,'Data Cleaning'!A1381:A2850, 'Data Cleaning'!I1381:I2850)</f>
        <v>25-34</v>
      </c>
      <c r="C1381">
        <f>_xlfn.XLOOKUP(A1381,'Data Cleaning'!A1381:A2850,'Data Cleaning'!K1381:K2850)</f>
        <v>0</v>
      </c>
      <c r="D1381" t="str">
        <f>_xlfn.XLOOKUP(A1381,'Data Cleaning'!A1381:A2850, 'Data Cleaning'!D1381:D2850)</f>
        <v>Master</v>
      </c>
      <c r="E1381" s="3" t="str">
        <f>_xlfn.XLOOKUP(A1381,'Data Cleaning'!A1381:A2850, 'Data Cleaning'!E1381:E2850)</f>
        <v>Married</v>
      </c>
      <c r="F1381" t="str">
        <f>_xlfn.XLOOKUP(A1381,'Data Cleaning'!A1381:A2850, 'Data Cleaning'!F1381:F2850)</f>
        <v>Low</v>
      </c>
      <c r="G1381" s="3" t="str">
        <f>_xlfn.XLOOKUP(A1381,'Data Cleaning'!A1381:A2850, 'Data Cleaning'!J1381:J2850)</f>
        <v>Long Promotion gap</v>
      </c>
    </row>
    <row r="1382" spans="1:7" x14ac:dyDescent="0.25">
      <c r="A1382" s="3">
        <v>1658</v>
      </c>
      <c r="B1382" s="3" t="str">
        <f>_xlfn.XLOOKUP(A1382,'Data Cleaning'!A1382:A2851, 'Data Cleaning'!I1382:I2851)</f>
        <v>25-34</v>
      </c>
      <c r="C1382">
        <f>_xlfn.XLOOKUP(A1382,'Data Cleaning'!A1382:A2851,'Data Cleaning'!K1382:K2851)</f>
        <v>0</v>
      </c>
      <c r="D1382" t="str">
        <f>_xlfn.XLOOKUP(A1382,'Data Cleaning'!A1382:A2851, 'Data Cleaning'!D1382:D2851)</f>
        <v>Bachelor</v>
      </c>
      <c r="E1382" s="3" t="str">
        <f>_xlfn.XLOOKUP(A1382,'Data Cleaning'!A1382:A2851, 'Data Cleaning'!E1382:E2851)</f>
        <v>Divorced</v>
      </c>
      <c r="F1382" t="str">
        <f>_xlfn.XLOOKUP(A1382,'Data Cleaning'!A1382:A2851, 'Data Cleaning'!F1382:F2851)</f>
        <v>Low</v>
      </c>
      <c r="G1382" s="3" t="str">
        <f>_xlfn.XLOOKUP(A1382,'Data Cleaning'!A1382:A2851, 'Data Cleaning'!J1382:J2851)</f>
        <v>Long Promotion gap</v>
      </c>
    </row>
    <row r="1383" spans="1:7" x14ac:dyDescent="0.25">
      <c r="A1383" s="3">
        <v>1543</v>
      </c>
      <c r="B1383" s="3" t="str">
        <f>_xlfn.XLOOKUP(A1383,'Data Cleaning'!A1383:A2852, 'Data Cleaning'!I1383:I2852)</f>
        <v>35-44</v>
      </c>
      <c r="C1383">
        <f>_xlfn.XLOOKUP(A1383,'Data Cleaning'!A1383:A2852,'Data Cleaning'!K1383:K2852)</f>
        <v>0</v>
      </c>
      <c r="D1383" t="str">
        <f>_xlfn.XLOOKUP(A1383,'Data Cleaning'!A1383:A2852, 'Data Cleaning'!D1383:D2852)</f>
        <v>Bachelor</v>
      </c>
      <c r="E1383" s="3" t="str">
        <f>_xlfn.XLOOKUP(A1383,'Data Cleaning'!A1383:A2852, 'Data Cleaning'!E1383:E2852)</f>
        <v>Married</v>
      </c>
      <c r="F1383" t="str">
        <f>_xlfn.XLOOKUP(A1383,'Data Cleaning'!A1383:A2852, 'Data Cleaning'!F1383:F2852)</f>
        <v>None</v>
      </c>
      <c r="G1383" s="3" t="str">
        <f>_xlfn.XLOOKUP(A1383,'Data Cleaning'!A1383:A2852, 'Data Cleaning'!J1383:J2852)</f>
        <v>Promoted in 1-3 years</v>
      </c>
    </row>
    <row r="1384" spans="1:7" x14ac:dyDescent="0.25">
      <c r="A1384" s="3">
        <v>689</v>
      </c>
      <c r="B1384" s="3" t="str">
        <f>_xlfn.XLOOKUP(A1384,'Data Cleaning'!A1384:A2853, 'Data Cleaning'!I1384:I2853)</f>
        <v>35-44</v>
      </c>
      <c r="C1384">
        <f>_xlfn.XLOOKUP(A1384,'Data Cleaning'!A1384:A2853,'Data Cleaning'!K1384:K2853)</f>
        <v>0</v>
      </c>
      <c r="D1384" t="str">
        <f>_xlfn.XLOOKUP(A1384,'Data Cleaning'!A1384:A2853, 'Data Cleaning'!D1384:D2853)</f>
        <v>Bachelor</v>
      </c>
      <c r="E1384" s="3" t="str">
        <f>_xlfn.XLOOKUP(A1384,'Data Cleaning'!A1384:A2853, 'Data Cleaning'!E1384:E2853)</f>
        <v>Married</v>
      </c>
      <c r="F1384" t="str">
        <f>_xlfn.XLOOKUP(A1384,'Data Cleaning'!A1384:A2853, 'Data Cleaning'!F1384:F2853)</f>
        <v>Low</v>
      </c>
      <c r="G1384" s="3" t="str">
        <f>_xlfn.XLOOKUP(A1384,'Data Cleaning'!A1384:A2853, 'Data Cleaning'!J1384:J2853)</f>
        <v>Long Promotion gap</v>
      </c>
    </row>
    <row r="1385" spans="1:7" x14ac:dyDescent="0.25">
      <c r="A1385" s="3">
        <v>1635</v>
      </c>
      <c r="B1385" s="3" t="str">
        <f>_xlfn.XLOOKUP(A1385,'Data Cleaning'!A1385:A2854, 'Data Cleaning'!I1385:I2854)</f>
        <v>45-54</v>
      </c>
      <c r="C1385">
        <f>_xlfn.XLOOKUP(A1385,'Data Cleaning'!A1385:A2854,'Data Cleaning'!K1385:K2854)</f>
        <v>0</v>
      </c>
      <c r="D1385" t="str">
        <f>_xlfn.XLOOKUP(A1385,'Data Cleaning'!A1385:A2854, 'Data Cleaning'!D1385:D2854)</f>
        <v>College</v>
      </c>
      <c r="E1385" s="3" t="str">
        <f>_xlfn.XLOOKUP(A1385,'Data Cleaning'!A1385:A2854, 'Data Cleaning'!E1385:E2854)</f>
        <v>Divorced</v>
      </c>
      <c r="F1385" t="str">
        <f>_xlfn.XLOOKUP(A1385,'Data Cleaning'!A1385:A2854, 'Data Cleaning'!F1385:F2854)</f>
        <v>Mid</v>
      </c>
      <c r="G1385" s="3" t="str">
        <f>_xlfn.XLOOKUP(A1385,'Data Cleaning'!A1385:A2854, 'Data Cleaning'!J1385:J2854)</f>
        <v>Promoted in 1-3 years</v>
      </c>
    </row>
    <row r="1386" spans="1:7" x14ac:dyDescent="0.25">
      <c r="A1386" s="3">
        <v>20</v>
      </c>
      <c r="B1386" s="3" t="str">
        <f>_xlfn.XLOOKUP(A1386,'Data Cleaning'!A1386:A2855, 'Data Cleaning'!I1386:I2855)</f>
        <v>25-34</v>
      </c>
      <c r="C1386">
        <f>_xlfn.XLOOKUP(A1386,'Data Cleaning'!A1386:A2855,'Data Cleaning'!K1386:K2855)</f>
        <v>0</v>
      </c>
      <c r="D1386" t="str">
        <f>_xlfn.XLOOKUP(A1386,'Data Cleaning'!A1386:A2855, 'Data Cleaning'!D1386:D2855)</f>
        <v>Master</v>
      </c>
      <c r="E1386" s="3" t="str">
        <f>_xlfn.XLOOKUP(A1386,'Data Cleaning'!A1386:A2855, 'Data Cleaning'!E1386:E2855)</f>
        <v>Divorced</v>
      </c>
      <c r="F1386" t="str">
        <f>_xlfn.XLOOKUP(A1386,'Data Cleaning'!A1386:A2855, 'Data Cleaning'!F1386:F2855)</f>
        <v>Low</v>
      </c>
      <c r="G1386" s="3" t="str">
        <f>_xlfn.XLOOKUP(A1386,'Data Cleaning'!A1386:A2855, 'Data Cleaning'!J1386:J2855)</f>
        <v>Long Promotion gap</v>
      </c>
    </row>
    <row r="1387" spans="1:7" x14ac:dyDescent="0.25">
      <c r="A1387" s="3">
        <v>1553</v>
      </c>
      <c r="B1387" s="3" t="str">
        <f>_xlfn.XLOOKUP(A1387,'Data Cleaning'!A1387:A2856, 'Data Cleaning'!I1387:I2856)</f>
        <v>45-54</v>
      </c>
      <c r="C1387">
        <f>_xlfn.XLOOKUP(A1387,'Data Cleaning'!A1387:A2856,'Data Cleaning'!K1387:K2856)</f>
        <v>0</v>
      </c>
      <c r="D1387" t="str">
        <f>_xlfn.XLOOKUP(A1387,'Data Cleaning'!A1387:A2856, 'Data Cleaning'!D1387:D2856)</f>
        <v>Master</v>
      </c>
      <c r="E1387" s="3" t="str">
        <f>_xlfn.XLOOKUP(A1387,'Data Cleaning'!A1387:A2856, 'Data Cleaning'!E1387:E2856)</f>
        <v>Divorced</v>
      </c>
      <c r="F1387" t="str">
        <f>_xlfn.XLOOKUP(A1387,'Data Cleaning'!A1387:A2856, 'Data Cleaning'!F1387:F2856)</f>
        <v>High</v>
      </c>
      <c r="G1387" s="3" t="str">
        <f>_xlfn.XLOOKUP(A1387,'Data Cleaning'!A1387:A2856, 'Data Cleaning'!J1387:J2856)</f>
        <v>Long Promotion gap</v>
      </c>
    </row>
    <row r="1388" spans="1:7" x14ac:dyDescent="0.25">
      <c r="A1388" s="3">
        <v>1224</v>
      </c>
      <c r="B1388" s="3" t="str">
        <f>_xlfn.XLOOKUP(A1388,'Data Cleaning'!A1388:A2857, 'Data Cleaning'!I1388:I2857)</f>
        <v>25-34</v>
      </c>
      <c r="C1388">
        <f>_xlfn.XLOOKUP(A1388,'Data Cleaning'!A1388:A2857,'Data Cleaning'!K1388:K2857)</f>
        <v>0</v>
      </c>
      <c r="D1388" t="str">
        <f>_xlfn.XLOOKUP(A1388,'Data Cleaning'!A1388:A2857, 'Data Cleaning'!D1388:D2857)</f>
        <v>Master</v>
      </c>
      <c r="E1388" s="3" t="str">
        <f>_xlfn.XLOOKUP(A1388,'Data Cleaning'!A1388:A2857, 'Data Cleaning'!E1388:E2857)</f>
        <v>Divorced</v>
      </c>
      <c r="F1388" t="str">
        <f>_xlfn.XLOOKUP(A1388,'Data Cleaning'!A1388:A2857, 'Data Cleaning'!F1388:F2857)</f>
        <v>High</v>
      </c>
      <c r="G1388" s="3" t="str">
        <f>_xlfn.XLOOKUP(A1388,'Data Cleaning'!A1388:A2857, 'Data Cleaning'!J1388:J2857)</f>
        <v>Long Promotion gap</v>
      </c>
    </row>
    <row r="1389" spans="1:7" x14ac:dyDescent="0.25">
      <c r="A1389" s="3">
        <v>683</v>
      </c>
      <c r="B1389" s="3" t="str">
        <f>_xlfn.XLOOKUP(A1389,'Data Cleaning'!A1389:A2858, 'Data Cleaning'!I1389:I2858)</f>
        <v>25-34</v>
      </c>
      <c r="C1389">
        <f>_xlfn.XLOOKUP(A1389,'Data Cleaning'!A1389:A2858,'Data Cleaning'!K1389:K2858)</f>
        <v>0</v>
      </c>
      <c r="D1389" t="str">
        <f>_xlfn.XLOOKUP(A1389,'Data Cleaning'!A1389:A2858, 'Data Cleaning'!D1389:D2858)</f>
        <v>Doctor</v>
      </c>
      <c r="E1389" s="3" t="str">
        <f>_xlfn.XLOOKUP(A1389,'Data Cleaning'!A1389:A2858, 'Data Cleaning'!E1389:E2858)</f>
        <v>Married</v>
      </c>
      <c r="F1389" t="str">
        <f>_xlfn.XLOOKUP(A1389,'Data Cleaning'!A1389:A2858, 'Data Cleaning'!F1389:F2858)</f>
        <v>Low</v>
      </c>
      <c r="G1389" s="3" t="str">
        <f>_xlfn.XLOOKUP(A1389,'Data Cleaning'!A1389:A2858, 'Data Cleaning'!J1389:J2858)</f>
        <v>Long Promotion gap</v>
      </c>
    </row>
    <row r="1390" spans="1:7" x14ac:dyDescent="0.25">
      <c r="A1390" s="3">
        <v>104</v>
      </c>
      <c r="B1390" s="3" t="str">
        <f>_xlfn.XLOOKUP(A1390,'Data Cleaning'!A1390:A2859, 'Data Cleaning'!I1390:I2859)</f>
        <v>25-34</v>
      </c>
      <c r="C1390">
        <f>_xlfn.XLOOKUP(A1390,'Data Cleaning'!A1390:A2859,'Data Cleaning'!K1390:K2859)</f>
        <v>0</v>
      </c>
      <c r="D1390" t="str">
        <f>_xlfn.XLOOKUP(A1390,'Data Cleaning'!A1390:A2859, 'Data Cleaning'!D1390:D2859)</f>
        <v>Below College</v>
      </c>
      <c r="E1390" s="3" t="str">
        <f>_xlfn.XLOOKUP(A1390,'Data Cleaning'!A1390:A2859, 'Data Cleaning'!E1390:E2859)</f>
        <v>Married</v>
      </c>
      <c r="F1390" t="str">
        <f>_xlfn.XLOOKUP(A1390,'Data Cleaning'!A1390:A2859, 'Data Cleaning'!F1390:F2859)</f>
        <v>Mid</v>
      </c>
      <c r="G1390" s="3" t="str">
        <f>_xlfn.XLOOKUP(A1390,'Data Cleaning'!A1390:A2859, 'Data Cleaning'!J1390:J2859)</f>
        <v>Promoted in 1-3 years</v>
      </c>
    </row>
    <row r="1391" spans="1:7" x14ac:dyDescent="0.25">
      <c r="A1391" s="3">
        <v>1798</v>
      </c>
      <c r="B1391" s="3" t="str">
        <f>_xlfn.XLOOKUP(A1391,'Data Cleaning'!A1391:A2860, 'Data Cleaning'!I1391:I2860)</f>
        <v>25-34</v>
      </c>
      <c r="C1391">
        <f>_xlfn.XLOOKUP(A1391,'Data Cleaning'!A1391:A2860,'Data Cleaning'!K1391:K2860)</f>
        <v>0</v>
      </c>
      <c r="D1391" t="str">
        <f>_xlfn.XLOOKUP(A1391,'Data Cleaning'!A1391:A2860, 'Data Cleaning'!D1391:D2860)</f>
        <v>Master</v>
      </c>
      <c r="E1391" s="3" t="str">
        <f>_xlfn.XLOOKUP(A1391,'Data Cleaning'!A1391:A2860, 'Data Cleaning'!E1391:E2860)</f>
        <v>Married</v>
      </c>
      <c r="F1391" t="str">
        <f>_xlfn.XLOOKUP(A1391,'Data Cleaning'!A1391:A2860, 'Data Cleaning'!F1391:F2860)</f>
        <v>Low</v>
      </c>
      <c r="G1391" s="3" t="str">
        <f>_xlfn.XLOOKUP(A1391,'Data Cleaning'!A1391:A2860, 'Data Cleaning'!J1391:J2860)</f>
        <v>Long Promotion gap</v>
      </c>
    </row>
    <row r="1392" spans="1:7" x14ac:dyDescent="0.25">
      <c r="A1392" s="3">
        <v>452</v>
      </c>
      <c r="B1392" s="3" t="str">
        <f>_xlfn.XLOOKUP(A1392,'Data Cleaning'!A1392:A2861, 'Data Cleaning'!I1392:I2861)</f>
        <v>45-54</v>
      </c>
      <c r="C1392">
        <f>_xlfn.XLOOKUP(A1392,'Data Cleaning'!A1392:A2861,'Data Cleaning'!K1392:K2861)</f>
        <v>0</v>
      </c>
      <c r="D1392" t="str">
        <f>_xlfn.XLOOKUP(A1392,'Data Cleaning'!A1392:A2861, 'Data Cleaning'!D1392:D2861)</f>
        <v>Master</v>
      </c>
      <c r="E1392" s="3" t="str">
        <f>_xlfn.XLOOKUP(A1392,'Data Cleaning'!A1392:A2861, 'Data Cleaning'!E1392:E2861)</f>
        <v>Married</v>
      </c>
      <c r="F1392" t="str">
        <f>_xlfn.XLOOKUP(A1392,'Data Cleaning'!A1392:A2861, 'Data Cleaning'!F1392:F2861)</f>
        <v>Mid</v>
      </c>
      <c r="G1392" s="3" t="str">
        <f>_xlfn.XLOOKUP(A1392,'Data Cleaning'!A1392:A2861, 'Data Cleaning'!J1392:J2861)</f>
        <v>Long Promotion gap</v>
      </c>
    </row>
    <row r="1393" spans="1:7" x14ac:dyDescent="0.25">
      <c r="A1393" s="3">
        <v>1246</v>
      </c>
      <c r="B1393" s="3" t="str">
        <f>_xlfn.XLOOKUP(A1393,'Data Cleaning'!A1393:A2862, 'Data Cleaning'!I1393:I2862)</f>
        <v>35-44</v>
      </c>
      <c r="C1393">
        <f>_xlfn.XLOOKUP(A1393,'Data Cleaning'!A1393:A2862,'Data Cleaning'!K1393:K2862)</f>
        <v>0</v>
      </c>
      <c r="D1393" t="str">
        <f>_xlfn.XLOOKUP(A1393,'Data Cleaning'!A1393:A2862, 'Data Cleaning'!D1393:D2862)</f>
        <v>Below College</v>
      </c>
      <c r="E1393" s="3" t="str">
        <f>_xlfn.XLOOKUP(A1393,'Data Cleaning'!A1393:A2862, 'Data Cleaning'!E1393:E2862)</f>
        <v>Married</v>
      </c>
      <c r="F1393" t="str">
        <f>_xlfn.XLOOKUP(A1393,'Data Cleaning'!A1393:A2862, 'Data Cleaning'!F1393:F2862)</f>
        <v>Low</v>
      </c>
      <c r="G1393" s="3" t="str">
        <f>_xlfn.XLOOKUP(A1393,'Data Cleaning'!A1393:A2862, 'Data Cleaning'!J1393:J2862)</f>
        <v>Long Promotion gap</v>
      </c>
    </row>
    <row r="1394" spans="1:7" x14ac:dyDescent="0.25">
      <c r="A1394" s="3">
        <v>659</v>
      </c>
      <c r="B1394" s="3" t="str">
        <f>_xlfn.XLOOKUP(A1394,'Data Cleaning'!A1394:A2863, 'Data Cleaning'!I1394:I2863)</f>
        <v>35-44</v>
      </c>
      <c r="C1394">
        <f>_xlfn.XLOOKUP(A1394,'Data Cleaning'!A1394:A2863,'Data Cleaning'!K1394:K2863)</f>
        <v>0</v>
      </c>
      <c r="D1394" t="str">
        <f>_xlfn.XLOOKUP(A1394,'Data Cleaning'!A1394:A2863, 'Data Cleaning'!D1394:D2863)</f>
        <v>Master</v>
      </c>
      <c r="E1394" s="3" t="str">
        <f>_xlfn.XLOOKUP(A1394,'Data Cleaning'!A1394:A2863, 'Data Cleaning'!E1394:E2863)</f>
        <v>Married</v>
      </c>
      <c r="F1394" t="str">
        <f>_xlfn.XLOOKUP(A1394,'Data Cleaning'!A1394:A2863, 'Data Cleaning'!F1394:F2863)</f>
        <v>Mid</v>
      </c>
      <c r="G1394" s="3" t="str">
        <f>_xlfn.XLOOKUP(A1394,'Data Cleaning'!A1394:A2863, 'Data Cleaning'!J1394:J2863)</f>
        <v>Promoted in 1-3 years</v>
      </c>
    </row>
    <row r="1395" spans="1:7" x14ac:dyDescent="0.25">
      <c r="A1395" s="3">
        <v>1701</v>
      </c>
      <c r="B1395" s="3" t="str">
        <f>_xlfn.XLOOKUP(A1395,'Data Cleaning'!A1395:A2864, 'Data Cleaning'!I1395:I2864)</f>
        <v>25-34</v>
      </c>
      <c r="C1395">
        <f>_xlfn.XLOOKUP(A1395,'Data Cleaning'!A1395:A2864,'Data Cleaning'!K1395:K2864)</f>
        <v>0</v>
      </c>
      <c r="D1395" t="str">
        <f>_xlfn.XLOOKUP(A1395,'Data Cleaning'!A1395:A2864, 'Data Cleaning'!D1395:D2864)</f>
        <v>Bachelor</v>
      </c>
      <c r="E1395" s="3" t="str">
        <f>_xlfn.XLOOKUP(A1395,'Data Cleaning'!A1395:A2864, 'Data Cleaning'!E1395:E2864)</f>
        <v>Married</v>
      </c>
      <c r="F1395" t="str">
        <f>_xlfn.XLOOKUP(A1395,'Data Cleaning'!A1395:A2864, 'Data Cleaning'!F1395:F2864)</f>
        <v>None</v>
      </c>
      <c r="G1395" s="3" t="str">
        <f>_xlfn.XLOOKUP(A1395,'Data Cleaning'!A1395:A2864, 'Data Cleaning'!J1395:J2864)</f>
        <v>Long Promotion gap</v>
      </c>
    </row>
    <row r="1396" spans="1:7" x14ac:dyDescent="0.25">
      <c r="A1396" s="3">
        <v>630</v>
      </c>
      <c r="B1396" s="3" t="str">
        <f>_xlfn.XLOOKUP(A1396,'Data Cleaning'!A1396:A2865, 'Data Cleaning'!I1396:I2865)</f>
        <v>45-54</v>
      </c>
      <c r="C1396">
        <f>_xlfn.XLOOKUP(A1396,'Data Cleaning'!A1396:A2865,'Data Cleaning'!K1396:K2865)</f>
        <v>0</v>
      </c>
      <c r="D1396" t="str">
        <f>_xlfn.XLOOKUP(A1396,'Data Cleaning'!A1396:A2865, 'Data Cleaning'!D1396:D2865)</f>
        <v>College</v>
      </c>
      <c r="E1396" s="3" t="str">
        <f>_xlfn.XLOOKUP(A1396,'Data Cleaning'!A1396:A2865, 'Data Cleaning'!E1396:E2865)</f>
        <v>Divorced</v>
      </c>
      <c r="F1396" t="str">
        <f>_xlfn.XLOOKUP(A1396,'Data Cleaning'!A1396:A2865, 'Data Cleaning'!F1396:F2865)</f>
        <v>Mid</v>
      </c>
      <c r="G1396" s="3" t="str">
        <f>_xlfn.XLOOKUP(A1396,'Data Cleaning'!A1396:A2865, 'Data Cleaning'!J1396:J2865)</f>
        <v>Long Promotion gap</v>
      </c>
    </row>
    <row r="1397" spans="1:7" x14ac:dyDescent="0.25">
      <c r="A1397" s="3">
        <v>296</v>
      </c>
      <c r="B1397" s="3" t="str">
        <f>_xlfn.XLOOKUP(A1397,'Data Cleaning'!A1397:A2866, 'Data Cleaning'!I1397:I2866)</f>
        <v>45-54</v>
      </c>
      <c r="C1397">
        <f>_xlfn.XLOOKUP(A1397,'Data Cleaning'!A1397:A2866,'Data Cleaning'!K1397:K2866)</f>
        <v>0</v>
      </c>
      <c r="D1397" t="str">
        <f>_xlfn.XLOOKUP(A1397,'Data Cleaning'!A1397:A2866, 'Data Cleaning'!D1397:D2866)</f>
        <v>Master</v>
      </c>
      <c r="E1397" s="3" t="str">
        <f>_xlfn.XLOOKUP(A1397,'Data Cleaning'!A1397:A2866, 'Data Cleaning'!E1397:E2866)</f>
        <v>Married</v>
      </c>
      <c r="F1397" t="str">
        <f>_xlfn.XLOOKUP(A1397,'Data Cleaning'!A1397:A2866, 'Data Cleaning'!F1397:F2866)</f>
        <v>Mid</v>
      </c>
      <c r="G1397" s="3" t="str">
        <f>_xlfn.XLOOKUP(A1397,'Data Cleaning'!A1397:A2866, 'Data Cleaning'!J1397:J2866)</f>
        <v>Long Promotion gap</v>
      </c>
    </row>
    <row r="1398" spans="1:7" x14ac:dyDescent="0.25">
      <c r="A1398" s="3">
        <v>1346</v>
      </c>
      <c r="B1398" s="3" t="str">
        <f>_xlfn.XLOOKUP(A1398,'Data Cleaning'!A1398:A2867, 'Data Cleaning'!I1398:I2867)</f>
        <v>35-44</v>
      </c>
      <c r="C1398">
        <f>_xlfn.XLOOKUP(A1398,'Data Cleaning'!A1398:A2867,'Data Cleaning'!K1398:K2867)</f>
        <v>0</v>
      </c>
      <c r="D1398" t="str">
        <f>_xlfn.XLOOKUP(A1398,'Data Cleaning'!A1398:A2867, 'Data Cleaning'!D1398:D2867)</f>
        <v>Bachelor</v>
      </c>
      <c r="E1398" s="3" t="str">
        <f>_xlfn.XLOOKUP(A1398,'Data Cleaning'!A1398:A2867, 'Data Cleaning'!E1398:E2867)</f>
        <v>Single</v>
      </c>
      <c r="F1398" t="str">
        <f>_xlfn.XLOOKUP(A1398,'Data Cleaning'!A1398:A2867, 'Data Cleaning'!F1398:F2867)</f>
        <v>None</v>
      </c>
      <c r="G1398" s="3" t="str">
        <f>_xlfn.XLOOKUP(A1398,'Data Cleaning'!A1398:A2867, 'Data Cleaning'!J1398:J2867)</f>
        <v>Long Promotion gap</v>
      </c>
    </row>
    <row r="1399" spans="1:7" x14ac:dyDescent="0.25">
      <c r="A1399" s="3">
        <v>1244</v>
      </c>
      <c r="B1399" s="3" t="str">
        <f>_xlfn.XLOOKUP(A1399,'Data Cleaning'!A1399:A2868, 'Data Cleaning'!I1399:I2868)</f>
        <v>25-34</v>
      </c>
      <c r="C1399">
        <f>_xlfn.XLOOKUP(A1399,'Data Cleaning'!A1399:A2868,'Data Cleaning'!K1399:K2868)</f>
        <v>0</v>
      </c>
      <c r="D1399" t="str">
        <f>_xlfn.XLOOKUP(A1399,'Data Cleaning'!A1399:A2868, 'Data Cleaning'!D1399:D2868)</f>
        <v>Bachelor</v>
      </c>
      <c r="E1399" s="3" t="str">
        <f>_xlfn.XLOOKUP(A1399,'Data Cleaning'!A1399:A2868, 'Data Cleaning'!E1399:E2868)</f>
        <v>Married</v>
      </c>
      <c r="F1399" t="str">
        <f>_xlfn.XLOOKUP(A1399,'Data Cleaning'!A1399:A2868, 'Data Cleaning'!F1399:F2868)</f>
        <v>Mid</v>
      </c>
      <c r="G1399" s="3" t="str">
        <f>_xlfn.XLOOKUP(A1399,'Data Cleaning'!A1399:A2868, 'Data Cleaning'!J1399:J2868)</f>
        <v>Long Promotion gap</v>
      </c>
    </row>
    <row r="1400" spans="1:7" x14ac:dyDescent="0.25">
      <c r="A1400" s="3">
        <v>836</v>
      </c>
      <c r="B1400" s="3" t="str">
        <f>_xlfn.XLOOKUP(A1400,'Data Cleaning'!A1400:A2869, 'Data Cleaning'!I1400:I2869)</f>
        <v>35-44</v>
      </c>
      <c r="C1400">
        <f>_xlfn.XLOOKUP(A1400,'Data Cleaning'!A1400:A2869,'Data Cleaning'!K1400:K2869)</f>
        <v>0</v>
      </c>
      <c r="D1400" t="str">
        <f>_xlfn.XLOOKUP(A1400,'Data Cleaning'!A1400:A2869, 'Data Cleaning'!D1400:D2869)</f>
        <v>Bachelor</v>
      </c>
      <c r="E1400" s="3" t="str">
        <f>_xlfn.XLOOKUP(A1400,'Data Cleaning'!A1400:A2869, 'Data Cleaning'!E1400:E2869)</f>
        <v>Married</v>
      </c>
      <c r="F1400" t="str">
        <f>_xlfn.XLOOKUP(A1400,'Data Cleaning'!A1400:A2869, 'Data Cleaning'!F1400:F2869)</f>
        <v>Low</v>
      </c>
      <c r="G1400" s="3" t="str">
        <f>_xlfn.XLOOKUP(A1400,'Data Cleaning'!A1400:A2869, 'Data Cleaning'!J1400:J2869)</f>
        <v>Long Promotion gap</v>
      </c>
    </row>
    <row r="1401" spans="1:7" x14ac:dyDescent="0.25">
      <c r="A1401" s="3">
        <v>961</v>
      </c>
      <c r="B1401" s="3" t="str">
        <f>_xlfn.XLOOKUP(A1401,'Data Cleaning'!A1401:A2870, 'Data Cleaning'!I1401:I2870)</f>
        <v>25-34</v>
      </c>
      <c r="C1401">
        <f>_xlfn.XLOOKUP(A1401,'Data Cleaning'!A1401:A2870,'Data Cleaning'!K1401:K2870)</f>
        <v>0</v>
      </c>
      <c r="D1401" t="str">
        <f>_xlfn.XLOOKUP(A1401,'Data Cleaning'!A1401:A2870, 'Data Cleaning'!D1401:D2870)</f>
        <v>Bachelor</v>
      </c>
      <c r="E1401" s="3" t="str">
        <f>_xlfn.XLOOKUP(A1401,'Data Cleaning'!A1401:A2870, 'Data Cleaning'!E1401:E2870)</f>
        <v>Married</v>
      </c>
      <c r="F1401" t="str">
        <f>_xlfn.XLOOKUP(A1401,'Data Cleaning'!A1401:A2870, 'Data Cleaning'!F1401:F2870)</f>
        <v>Mid</v>
      </c>
      <c r="G1401" s="3" t="str">
        <f>_xlfn.XLOOKUP(A1401,'Data Cleaning'!A1401:A2870, 'Data Cleaning'!J1401:J2870)</f>
        <v>Long Promotion gap</v>
      </c>
    </row>
    <row r="1402" spans="1:7" x14ac:dyDescent="0.25">
      <c r="A1402" s="3">
        <v>1311</v>
      </c>
      <c r="B1402" s="3" t="str">
        <f>_xlfn.XLOOKUP(A1402,'Data Cleaning'!A1402:A2871, 'Data Cleaning'!I1402:I2871)</f>
        <v>25-34</v>
      </c>
      <c r="C1402">
        <f>_xlfn.XLOOKUP(A1402,'Data Cleaning'!A1402:A2871,'Data Cleaning'!K1402:K2871)</f>
        <v>0</v>
      </c>
      <c r="D1402" t="str">
        <f>_xlfn.XLOOKUP(A1402,'Data Cleaning'!A1402:A2871, 'Data Cleaning'!D1402:D2871)</f>
        <v>Bachelor</v>
      </c>
      <c r="E1402" s="3" t="str">
        <f>_xlfn.XLOOKUP(A1402,'Data Cleaning'!A1402:A2871, 'Data Cleaning'!E1402:E2871)</f>
        <v>Married</v>
      </c>
      <c r="F1402" t="str">
        <f>_xlfn.XLOOKUP(A1402,'Data Cleaning'!A1402:A2871, 'Data Cleaning'!F1402:F2871)</f>
        <v>Low</v>
      </c>
      <c r="G1402" s="3" t="str">
        <f>_xlfn.XLOOKUP(A1402,'Data Cleaning'!A1402:A2871, 'Data Cleaning'!J1402:J2871)</f>
        <v>Long Promotion gap</v>
      </c>
    </row>
    <row r="1403" spans="1:7" x14ac:dyDescent="0.25">
      <c r="A1403" s="3">
        <v>1283</v>
      </c>
      <c r="B1403" s="3" t="str">
        <f>_xlfn.XLOOKUP(A1403,'Data Cleaning'!A1403:A2872, 'Data Cleaning'!I1403:I2872)</f>
        <v>55-60</v>
      </c>
      <c r="C1403">
        <f>_xlfn.XLOOKUP(A1403,'Data Cleaning'!A1403:A2872,'Data Cleaning'!K1403:K2872)</f>
        <v>0</v>
      </c>
      <c r="D1403" t="str">
        <f>_xlfn.XLOOKUP(A1403,'Data Cleaning'!A1403:A2872, 'Data Cleaning'!D1403:D2872)</f>
        <v>Master</v>
      </c>
      <c r="E1403" s="3" t="str">
        <f>_xlfn.XLOOKUP(A1403,'Data Cleaning'!A1403:A2872, 'Data Cleaning'!E1403:E2872)</f>
        <v>Single</v>
      </c>
      <c r="F1403" t="str">
        <f>_xlfn.XLOOKUP(A1403,'Data Cleaning'!A1403:A2872, 'Data Cleaning'!F1403:F2872)</f>
        <v>None</v>
      </c>
      <c r="G1403" s="3" t="str">
        <f>_xlfn.XLOOKUP(A1403,'Data Cleaning'!A1403:A2872, 'Data Cleaning'!J1403:J2872)</f>
        <v>Long Promotion gap</v>
      </c>
    </row>
    <row r="1404" spans="1:7" x14ac:dyDescent="0.25">
      <c r="A1404" s="3">
        <v>2009</v>
      </c>
      <c r="B1404" s="3" t="str">
        <f>_xlfn.XLOOKUP(A1404,'Data Cleaning'!A1404:A2873, 'Data Cleaning'!I1404:I2873)</f>
        <v>25-34</v>
      </c>
      <c r="C1404">
        <f>_xlfn.XLOOKUP(A1404,'Data Cleaning'!A1404:A2873,'Data Cleaning'!K1404:K2873)</f>
        <v>0</v>
      </c>
      <c r="D1404" t="str">
        <f>_xlfn.XLOOKUP(A1404,'Data Cleaning'!A1404:A2873, 'Data Cleaning'!D1404:D2873)</f>
        <v>College</v>
      </c>
      <c r="E1404" s="3" t="str">
        <f>_xlfn.XLOOKUP(A1404,'Data Cleaning'!A1404:A2873, 'Data Cleaning'!E1404:E2873)</f>
        <v>Married</v>
      </c>
      <c r="F1404" t="str">
        <f>_xlfn.XLOOKUP(A1404,'Data Cleaning'!A1404:A2873, 'Data Cleaning'!F1404:F2873)</f>
        <v>Low</v>
      </c>
      <c r="G1404" s="3" t="str">
        <f>_xlfn.XLOOKUP(A1404,'Data Cleaning'!A1404:A2873, 'Data Cleaning'!J1404:J2873)</f>
        <v>Long Promotion gap</v>
      </c>
    </row>
    <row r="1405" spans="1:7" x14ac:dyDescent="0.25">
      <c r="A1405" s="3">
        <v>1857</v>
      </c>
      <c r="B1405" s="3" t="str">
        <f>_xlfn.XLOOKUP(A1405,'Data Cleaning'!A1405:A2874, 'Data Cleaning'!I1405:I2874)</f>
        <v>45-54</v>
      </c>
      <c r="C1405">
        <f>_xlfn.XLOOKUP(A1405,'Data Cleaning'!A1405:A2874,'Data Cleaning'!K1405:K2874)</f>
        <v>0</v>
      </c>
      <c r="D1405" t="str">
        <f>_xlfn.XLOOKUP(A1405,'Data Cleaning'!A1405:A2874, 'Data Cleaning'!D1405:D2874)</f>
        <v>College</v>
      </c>
      <c r="E1405" s="3" t="str">
        <f>_xlfn.XLOOKUP(A1405,'Data Cleaning'!A1405:A2874, 'Data Cleaning'!E1405:E2874)</f>
        <v>Divorced</v>
      </c>
      <c r="F1405" t="str">
        <f>_xlfn.XLOOKUP(A1405,'Data Cleaning'!A1405:A2874, 'Data Cleaning'!F1405:F2874)</f>
        <v>Low</v>
      </c>
      <c r="G1405" s="3" t="str">
        <f>_xlfn.XLOOKUP(A1405,'Data Cleaning'!A1405:A2874, 'Data Cleaning'!J1405:J2874)</f>
        <v>Long Promotion gap</v>
      </c>
    </row>
    <row r="1406" spans="1:7" x14ac:dyDescent="0.25">
      <c r="A1406" s="3">
        <v>351</v>
      </c>
      <c r="B1406" s="3" t="str">
        <f>_xlfn.XLOOKUP(A1406,'Data Cleaning'!A1406:A2875, 'Data Cleaning'!I1406:I2875)</f>
        <v>35-44</v>
      </c>
      <c r="C1406">
        <f>_xlfn.XLOOKUP(A1406,'Data Cleaning'!A1406:A2875,'Data Cleaning'!K1406:K2875)</f>
        <v>0</v>
      </c>
      <c r="D1406" t="str">
        <f>_xlfn.XLOOKUP(A1406,'Data Cleaning'!A1406:A2875, 'Data Cleaning'!D1406:D2875)</f>
        <v>Bachelor</v>
      </c>
      <c r="E1406" s="3" t="str">
        <f>_xlfn.XLOOKUP(A1406,'Data Cleaning'!A1406:A2875, 'Data Cleaning'!E1406:E2875)</f>
        <v>Divorced</v>
      </c>
      <c r="F1406" t="str">
        <f>_xlfn.XLOOKUP(A1406,'Data Cleaning'!A1406:A2875, 'Data Cleaning'!F1406:F2875)</f>
        <v>Low</v>
      </c>
      <c r="G1406" s="3" t="str">
        <f>_xlfn.XLOOKUP(A1406,'Data Cleaning'!A1406:A2875, 'Data Cleaning'!J1406:J2875)</f>
        <v>Long Promotion gap</v>
      </c>
    </row>
    <row r="1407" spans="1:7" x14ac:dyDescent="0.25">
      <c r="A1407" s="3">
        <v>976</v>
      </c>
      <c r="B1407" s="3" t="str">
        <f>_xlfn.XLOOKUP(A1407,'Data Cleaning'!A1407:A2876, 'Data Cleaning'!I1407:I2876)</f>
        <v>45-54</v>
      </c>
      <c r="C1407">
        <f>_xlfn.XLOOKUP(A1407,'Data Cleaning'!A1407:A2876,'Data Cleaning'!K1407:K2876)</f>
        <v>0</v>
      </c>
      <c r="D1407" t="str">
        <f>_xlfn.XLOOKUP(A1407,'Data Cleaning'!A1407:A2876, 'Data Cleaning'!D1407:D2876)</f>
        <v>College</v>
      </c>
      <c r="E1407" s="3" t="str">
        <f>_xlfn.XLOOKUP(A1407,'Data Cleaning'!A1407:A2876, 'Data Cleaning'!E1407:E2876)</f>
        <v>Married</v>
      </c>
      <c r="F1407" t="str">
        <f>_xlfn.XLOOKUP(A1407,'Data Cleaning'!A1407:A2876, 'Data Cleaning'!F1407:F2876)</f>
        <v>Low</v>
      </c>
      <c r="G1407" s="3" t="str">
        <f>_xlfn.XLOOKUP(A1407,'Data Cleaning'!A1407:A2876, 'Data Cleaning'!J1407:J2876)</f>
        <v>Long Promotion gap</v>
      </c>
    </row>
    <row r="1408" spans="1:7" x14ac:dyDescent="0.25">
      <c r="A1408" s="3">
        <v>335</v>
      </c>
      <c r="B1408" s="3" t="str">
        <f>_xlfn.XLOOKUP(A1408,'Data Cleaning'!A1408:A2877, 'Data Cleaning'!I1408:I2877)</f>
        <v>35-44</v>
      </c>
      <c r="C1408">
        <f>_xlfn.XLOOKUP(A1408,'Data Cleaning'!A1408:A2877,'Data Cleaning'!K1408:K2877)</f>
        <v>0</v>
      </c>
      <c r="D1408" t="str">
        <f>_xlfn.XLOOKUP(A1408,'Data Cleaning'!A1408:A2877, 'Data Cleaning'!D1408:D2877)</f>
        <v>College</v>
      </c>
      <c r="E1408" s="3" t="str">
        <f>_xlfn.XLOOKUP(A1408,'Data Cleaning'!A1408:A2877, 'Data Cleaning'!E1408:E2877)</f>
        <v>Divorced</v>
      </c>
      <c r="F1408" t="str">
        <f>_xlfn.XLOOKUP(A1408,'Data Cleaning'!A1408:A2877, 'Data Cleaning'!F1408:F2877)</f>
        <v>Mid</v>
      </c>
      <c r="G1408" s="3" t="str">
        <f>_xlfn.XLOOKUP(A1408,'Data Cleaning'!A1408:A2877, 'Data Cleaning'!J1408:J2877)</f>
        <v>Long Promotion gap</v>
      </c>
    </row>
    <row r="1409" spans="1:7" x14ac:dyDescent="0.25">
      <c r="A1409" s="3">
        <v>1888</v>
      </c>
      <c r="B1409" s="3" t="str">
        <f>_xlfn.XLOOKUP(A1409,'Data Cleaning'!A1409:A2878, 'Data Cleaning'!I1409:I2878)</f>
        <v>45-54</v>
      </c>
      <c r="C1409">
        <f>_xlfn.XLOOKUP(A1409,'Data Cleaning'!A1409:A2878,'Data Cleaning'!K1409:K2878)</f>
        <v>0</v>
      </c>
      <c r="D1409" t="str">
        <f>_xlfn.XLOOKUP(A1409,'Data Cleaning'!A1409:A2878, 'Data Cleaning'!D1409:D2878)</f>
        <v>College</v>
      </c>
      <c r="E1409" s="3" t="str">
        <f>_xlfn.XLOOKUP(A1409,'Data Cleaning'!A1409:A2878, 'Data Cleaning'!E1409:E2878)</f>
        <v>Married</v>
      </c>
      <c r="F1409" t="str">
        <f>_xlfn.XLOOKUP(A1409,'Data Cleaning'!A1409:A2878, 'Data Cleaning'!F1409:F2878)</f>
        <v>Mid</v>
      </c>
      <c r="G1409" s="3" t="str">
        <f>_xlfn.XLOOKUP(A1409,'Data Cleaning'!A1409:A2878, 'Data Cleaning'!J1409:J2878)</f>
        <v>Promoted in 1-3 years</v>
      </c>
    </row>
    <row r="1410" spans="1:7" x14ac:dyDescent="0.25">
      <c r="A1410" s="3">
        <v>966</v>
      </c>
      <c r="B1410" s="3" t="str">
        <f>_xlfn.XLOOKUP(A1410,'Data Cleaning'!A1410:A2879, 'Data Cleaning'!I1410:I2879)</f>
        <v>25-34</v>
      </c>
      <c r="C1410">
        <f>_xlfn.XLOOKUP(A1410,'Data Cleaning'!A1410:A2879,'Data Cleaning'!K1410:K2879)</f>
        <v>0</v>
      </c>
      <c r="D1410" t="str">
        <f>_xlfn.XLOOKUP(A1410,'Data Cleaning'!A1410:A2879, 'Data Cleaning'!D1410:D2879)</f>
        <v>Master</v>
      </c>
      <c r="E1410" s="3" t="str">
        <f>_xlfn.XLOOKUP(A1410,'Data Cleaning'!A1410:A2879, 'Data Cleaning'!E1410:E2879)</f>
        <v>Married</v>
      </c>
      <c r="F1410" t="str">
        <f>_xlfn.XLOOKUP(A1410,'Data Cleaning'!A1410:A2879, 'Data Cleaning'!F1410:F2879)</f>
        <v>Low</v>
      </c>
      <c r="G1410" s="3" t="str">
        <f>_xlfn.XLOOKUP(A1410,'Data Cleaning'!A1410:A2879, 'Data Cleaning'!J1410:J2879)</f>
        <v>Long Promotion gap</v>
      </c>
    </row>
    <row r="1411" spans="1:7" x14ac:dyDescent="0.25">
      <c r="A1411" s="3">
        <v>717</v>
      </c>
      <c r="B1411" s="3" t="str">
        <f>_xlfn.XLOOKUP(A1411,'Data Cleaning'!A1411:A2880, 'Data Cleaning'!I1411:I2880)</f>
        <v>25-34</v>
      </c>
      <c r="C1411">
        <f>_xlfn.XLOOKUP(A1411,'Data Cleaning'!A1411:A2880,'Data Cleaning'!K1411:K2880)</f>
        <v>0</v>
      </c>
      <c r="D1411" t="str">
        <f>_xlfn.XLOOKUP(A1411,'Data Cleaning'!A1411:A2880, 'Data Cleaning'!D1411:D2880)</f>
        <v>Bachelor</v>
      </c>
      <c r="E1411" s="3" t="str">
        <f>_xlfn.XLOOKUP(A1411,'Data Cleaning'!A1411:A2880, 'Data Cleaning'!E1411:E2880)</f>
        <v>Single</v>
      </c>
      <c r="F1411" t="str">
        <f>_xlfn.XLOOKUP(A1411,'Data Cleaning'!A1411:A2880, 'Data Cleaning'!F1411:F2880)</f>
        <v>None</v>
      </c>
      <c r="G1411" s="3" t="str">
        <f>_xlfn.XLOOKUP(A1411,'Data Cleaning'!A1411:A2880, 'Data Cleaning'!J1411:J2880)</f>
        <v>Long Promotion gap</v>
      </c>
    </row>
    <row r="1412" spans="1:7" x14ac:dyDescent="0.25">
      <c r="A1412" s="3">
        <v>397</v>
      </c>
      <c r="B1412" s="3" t="str">
        <f>_xlfn.XLOOKUP(A1412,'Data Cleaning'!A1412:A2881, 'Data Cleaning'!I1412:I2881)</f>
        <v>35-44</v>
      </c>
      <c r="C1412">
        <f>_xlfn.XLOOKUP(A1412,'Data Cleaning'!A1412:A2881,'Data Cleaning'!K1412:K2881)</f>
        <v>0</v>
      </c>
      <c r="D1412" t="str">
        <f>_xlfn.XLOOKUP(A1412,'Data Cleaning'!A1412:A2881, 'Data Cleaning'!D1412:D2881)</f>
        <v>Bachelor</v>
      </c>
      <c r="E1412" s="3" t="str">
        <f>_xlfn.XLOOKUP(A1412,'Data Cleaning'!A1412:A2881, 'Data Cleaning'!E1412:E2881)</f>
        <v>Single</v>
      </c>
      <c r="F1412" t="str">
        <f>_xlfn.XLOOKUP(A1412,'Data Cleaning'!A1412:A2881, 'Data Cleaning'!F1412:F2881)</f>
        <v>None</v>
      </c>
      <c r="G1412" s="3" t="str">
        <f>_xlfn.XLOOKUP(A1412,'Data Cleaning'!A1412:A2881, 'Data Cleaning'!J1412:J2881)</f>
        <v>Long Promotion gap</v>
      </c>
    </row>
    <row r="1413" spans="1:7" x14ac:dyDescent="0.25">
      <c r="A1413" s="3">
        <v>1118</v>
      </c>
      <c r="B1413" s="3" t="str">
        <f>_xlfn.XLOOKUP(A1413,'Data Cleaning'!A1413:A2882, 'Data Cleaning'!I1413:I2882)</f>
        <v>45-54</v>
      </c>
      <c r="C1413">
        <f>_xlfn.XLOOKUP(A1413,'Data Cleaning'!A1413:A2882,'Data Cleaning'!K1413:K2882)</f>
        <v>0</v>
      </c>
      <c r="D1413" t="str">
        <f>_xlfn.XLOOKUP(A1413,'Data Cleaning'!A1413:A2882, 'Data Cleaning'!D1413:D2882)</f>
        <v>Master</v>
      </c>
      <c r="E1413" s="3" t="str">
        <f>_xlfn.XLOOKUP(A1413,'Data Cleaning'!A1413:A2882, 'Data Cleaning'!E1413:E2882)</f>
        <v>Single</v>
      </c>
      <c r="F1413" t="str">
        <f>_xlfn.XLOOKUP(A1413,'Data Cleaning'!A1413:A2882, 'Data Cleaning'!F1413:F2882)</f>
        <v>None</v>
      </c>
      <c r="G1413" s="3" t="str">
        <f>_xlfn.XLOOKUP(A1413,'Data Cleaning'!A1413:A2882, 'Data Cleaning'!J1413:J2882)</f>
        <v>Long Promotion gap</v>
      </c>
    </row>
    <row r="1414" spans="1:7" x14ac:dyDescent="0.25">
      <c r="A1414" s="3">
        <v>1377</v>
      </c>
      <c r="B1414" s="3" t="str">
        <f>_xlfn.XLOOKUP(A1414,'Data Cleaning'!A1414:A2883, 'Data Cleaning'!I1414:I2883)</f>
        <v>25-34</v>
      </c>
      <c r="C1414">
        <f>_xlfn.XLOOKUP(A1414,'Data Cleaning'!A1414:A2883,'Data Cleaning'!K1414:K2883)</f>
        <v>0</v>
      </c>
      <c r="D1414" t="str">
        <f>_xlfn.XLOOKUP(A1414,'Data Cleaning'!A1414:A2883, 'Data Cleaning'!D1414:D2883)</f>
        <v>Bachelor</v>
      </c>
      <c r="E1414" s="3" t="str">
        <f>_xlfn.XLOOKUP(A1414,'Data Cleaning'!A1414:A2883, 'Data Cleaning'!E1414:E2883)</f>
        <v>Married</v>
      </c>
      <c r="F1414" t="str">
        <f>_xlfn.XLOOKUP(A1414,'Data Cleaning'!A1414:A2883, 'Data Cleaning'!F1414:F2883)</f>
        <v>Mid</v>
      </c>
      <c r="G1414" s="3" t="str">
        <f>_xlfn.XLOOKUP(A1414,'Data Cleaning'!A1414:A2883, 'Data Cleaning'!J1414:J2883)</f>
        <v>Long Promotion gap</v>
      </c>
    </row>
    <row r="1415" spans="1:7" x14ac:dyDescent="0.25">
      <c r="A1415" s="3">
        <v>913</v>
      </c>
      <c r="B1415" s="3" t="str">
        <f>_xlfn.XLOOKUP(A1415,'Data Cleaning'!A1415:A2884, 'Data Cleaning'!I1415:I2884)</f>
        <v>35-44</v>
      </c>
      <c r="C1415">
        <f>_xlfn.XLOOKUP(A1415,'Data Cleaning'!A1415:A2884,'Data Cleaning'!K1415:K2884)</f>
        <v>0</v>
      </c>
      <c r="D1415" t="str">
        <f>_xlfn.XLOOKUP(A1415,'Data Cleaning'!A1415:A2884, 'Data Cleaning'!D1415:D2884)</f>
        <v>College</v>
      </c>
      <c r="E1415" s="3" t="str">
        <f>_xlfn.XLOOKUP(A1415,'Data Cleaning'!A1415:A2884, 'Data Cleaning'!E1415:E2884)</f>
        <v>Married</v>
      </c>
      <c r="F1415" t="str">
        <f>_xlfn.XLOOKUP(A1415,'Data Cleaning'!A1415:A2884, 'Data Cleaning'!F1415:F2884)</f>
        <v>None</v>
      </c>
      <c r="G1415" s="3" t="str">
        <f>_xlfn.XLOOKUP(A1415,'Data Cleaning'!A1415:A2884, 'Data Cleaning'!J1415:J2884)</f>
        <v>Long Promotion gap</v>
      </c>
    </row>
    <row r="1416" spans="1:7" x14ac:dyDescent="0.25">
      <c r="A1416" s="3">
        <v>1640</v>
      </c>
      <c r="B1416" s="3" t="str">
        <f>_xlfn.XLOOKUP(A1416,'Data Cleaning'!A1416:A2885, 'Data Cleaning'!I1416:I2885)</f>
        <v>35-44</v>
      </c>
      <c r="C1416">
        <f>_xlfn.XLOOKUP(A1416,'Data Cleaning'!A1416:A2885,'Data Cleaning'!K1416:K2885)</f>
        <v>0</v>
      </c>
      <c r="D1416" t="str">
        <f>_xlfn.XLOOKUP(A1416,'Data Cleaning'!A1416:A2885, 'Data Cleaning'!D1416:D2885)</f>
        <v>Bachelor</v>
      </c>
      <c r="E1416" s="3" t="str">
        <f>_xlfn.XLOOKUP(A1416,'Data Cleaning'!A1416:A2885, 'Data Cleaning'!E1416:E2885)</f>
        <v>Married</v>
      </c>
      <c r="F1416" t="str">
        <f>_xlfn.XLOOKUP(A1416,'Data Cleaning'!A1416:A2885, 'Data Cleaning'!F1416:F2885)</f>
        <v>Low</v>
      </c>
      <c r="G1416" s="3" t="str">
        <f>_xlfn.XLOOKUP(A1416,'Data Cleaning'!A1416:A2885, 'Data Cleaning'!J1416:J2885)</f>
        <v>Long Promotion gap</v>
      </c>
    </row>
    <row r="1417" spans="1:7" x14ac:dyDescent="0.25">
      <c r="A1417" s="3">
        <v>1703</v>
      </c>
      <c r="B1417" s="3" t="str">
        <f>_xlfn.XLOOKUP(A1417,'Data Cleaning'!A1417:A2886, 'Data Cleaning'!I1417:I2886)</f>
        <v>35-44</v>
      </c>
      <c r="C1417">
        <f>_xlfn.XLOOKUP(A1417,'Data Cleaning'!A1417:A2886,'Data Cleaning'!K1417:K2886)</f>
        <v>0</v>
      </c>
      <c r="D1417" t="str">
        <f>_xlfn.XLOOKUP(A1417,'Data Cleaning'!A1417:A2886, 'Data Cleaning'!D1417:D2886)</f>
        <v>Bachelor</v>
      </c>
      <c r="E1417" s="3" t="str">
        <f>_xlfn.XLOOKUP(A1417,'Data Cleaning'!A1417:A2886, 'Data Cleaning'!E1417:E2886)</f>
        <v>Married</v>
      </c>
      <c r="F1417" t="str">
        <f>_xlfn.XLOOKUP(A1417,'Data Cleaning'!A1417:A2886, 'Data Cleaning'!F1417:F2886)</f>
        <v>Low</v>
      </c>
      <c r="G1417" s="3" t="str">
        <f>_xlfn.XLOOKUP(A1417,'Data Cleaning'!A1417:A2886, 'Data Cleaning'!J1417:J2886)</f>
        <v>Long Promotion gap</v>
      </c>
    </row>
    <row r="1418" spans="1:7" x14ac:dyDescent="0.25">
      <c r="A1418" s="3">
        <v>1061</v>
      </c>
      <c r="B1418" s="3" t="str">
        <f>_xlfn.XLOOKUP(A1418,'Data Cleaning'!A1418:A2887, 'Data Cleaning'!I1418:I2887)</f>
        <v>45-54</v>
      </c>
      <c r="C1418">
        <f>_xlfn.XLOOKUP(A1418,'Data Cleaning'!A1418:A2887,'Data Cleaning'!K1418:K2887)</f>
        <v>0</v>
      </c>
      <c r="D1418" t="str">
        <f>_xlfn.XLOOKUP(A1418,'Data Cleaning'!A1418:A2887, 'Data Cleaning'!D1418:D2887)</f>
        <v>Master</v>
      </c>
      <c r="E1418" s="3" t="str">
        <f>_xlfn.XLOOKUP(A1418,'Data Cleaning'!A1418:A2887, 'Data Cleaning'!E1418:E2887)</f>
        <v>Married</v>
      </c>
      <c r="F1418" t="str">
        <f>_xlfn.XLOOKUP(A1418,'Data Cleaning'!A1418:A2887, 'Data Cleaning'!F1418:F2887)</f>
        <v>Low</v>
      </c>
      <c r="G1418" s="3" t="str">
        <f>_xlfn.XLOOKUP(A1418,'Data Cleaning'!A1418:A2887, 'Data Cleaning'!J1418:J2887)</f>
        <v>Long Promotion gap</v>
      </c>
    </row>
    <row r="1419" spans="1:7" x14ac:dyDescent="0.25">
      <c r="A1419" s="3">
        <v>1952</v>
      </c>
      <c r="B1419" s="3" t="str">
        <f>_xlfn.XLOOKUP(A1419,'Data Cleaning'!A1419:A2888, 'Data Cleaning'!I1419:I2888)</f>
        <v>25-34</v>
      </c>
      <c r="C1419">
        <f>_xlfn.XLOOKUP(A1419,'Data Cleaning'!A1419:A2888,'Data Cleaning'!K1419:K2888)</f>
        <v>0</v>
      </c>
      <c r="D1419" t="str">
        <f>_xlfn.XLOOKUP(A1419,'Data Cleaning'!A1419:A2888, 'Data Cleaning'!D1419:D2888)</f>
        <v>Bachelor</v>
      </c>
      <c r="E1419" s="3" t="str">
        <f>_xlfn.XLOOKUP(A1419,'Data Cleaning'!A1419:A2888, 'Data Cleaning'!E1419:E2888)</f>
        <v>Single</v>
      </c>
      <c r="F1419" t="str">
        <f>_xlfn.XLOOKUP(A1419,'Data Cleaning'!A1419:A2888, 'Data Cleaning'!F1419:F2888)</f>
        <v>None</v>
      </c>
      <c r="G1419" s="3" t="str">
        <f>_xlfn.XLOOKUP(A1419,'Data Cleaning'!A1419:A2888, 'Data Cleaning'!J1419:J2888)</f>
        <v>Long Promotion gap</v>
      </c>
    </row>
    <row r="1420" spans="1:7" x14ac:dyDescent="0.25">
      <c r="A1420" s="3">
        <v>1555</v>
      </c>
      <c r="B1420" s="3" t="str">
        <f>_xlfn.XLOOKUP(A1420,'Data Cleaning'!A1420:A2889, 'Data Cleaning'!I1420:I2889)</f>
        <v>25-34</v>
      </c>
      <c r="C1420">
        <f>_xlfn.XLOOKUP(A1420,'Data Cleaning'!A1420:A2889,'Data Cleaning'!K1420:K2889)</f>
        <v>0</v>
      </c>
      <c r="D1420" t="str">
        <f>_xlfn.XLOOKUP(A1420,'Data Cleaning'!A1420:A2889, 'Data Cleaning'!D1420:D2889)</f>
        <v>College</v>
      </c>
      <c r="E1420" s="3" t="str">
        <f>_xlfn.XLOOKUP(A1420,'Data Cleaning'!A1420:A2889, 'Data Cleaning'!E1420:E2889)</f>
        <v>Married</v>
      </c>
      <c r="F1420" t="str">
        <f>_xlfn.XLOOKUP(A1420,'Data Cleaning'!A1420:A2889, 'Data Cleaning'!F1420:F2889)</f>
        <v>Low</v>
      </c>
      <c r="G1420" s="3" t="str">
        <f>_xlfn.XLOOKUP(A1420,'Data Cleaning'!A1420:A2889, 'Data Cleaning'!J1420:J2889)</f>
        <v>Promoted in 1-3 years</v>
      </c>
    </row>
    <row r="1421" spans="1:7" x14ac:dyDescent="0.25">
      <c r="A1421" s="3">
        <v>281</v>
      </c>
      <c r="B1421" s="3" t="str">
        <f>_xlfn.XLOOKUP(A1421,'Data Cleaning'!A1421:A2890, 'Data Cleaning'!I1421:I2890)</f>
        <v>35-44</v>
      </c>
      <c r="C1421">
        <f>_xlfn.XLOOKUP(A1421,'Data Cleaning'!A1421:A2890,'Data Cleaning'!K1421:K2890)</f>
        <v>0</v>
      </c>
      <c r="D1421" t="str">
        <f>_xlfn.XLOOKUP(A1421,'Data Cleaning'!A1421:A2890, 'Data Cleaning'!D1421:D2890)</f>
        <v>College</v>
      </c>
      <c r="E1421" s="3" t="str">
        <f>_xlfn.XLOOKUP(A1421,'Data Cleaning'!A1421:A2890, 'Data Cleaning'!E1421:E2890)</f>
        <v>Married</v>
      </c>
      <c r="F1421" t="str">
        <f>_xlfn.XLOOKUP(A1421,'Data Cleaning'!A1421:A2890, 'Data Cleaning'!F1421:F2890)</f>
        <v>Low</v>
      </c>
      <c r="G1421" s="3" t="str">
        <f>_xlfn.XLOOKUP(A1421,'Data Cleaning'!A1421:A2890, 'Data Cleaning'!J1421:J2890)</f>
        <v>Promoted in 1-3 years</v>
      </c>
    </row>
    <row r="1422" spans="1:7" x14ac:dyDescent="0.25">
      <c r="A1422" s="3">
        <v>1182</v>
      </c>
      <c r="B1422" s="3" t="str">
        <f>_xlfn.XLOOKUP(A1422,'Data Cleaning'!A1422:A2891, 'Data Cleaning'!I1422:I2891)</f>
        <v>35-44</v>
      </c>
      <c r="C1422">
        <f>_xlfn.XLOOKUP(A1422,'Data Cleaning'!A1422:A2891,'Data Cleaning'!K1422:K2891)</f>
        <v>0</v>
      </c>
      <c r="D1422" t="str">
        <f>_xlfn.XLOOKUP(A1422,'Data Cleaning'!A1422:A2891, 'Data Cleaning'!D1422:D2891)</f>
        <v>Bachelor</v>
      </c>
      <c r="E1422" s="3" t="str">
        <f>_xlfn.XLOOKUP(A1422,'Data Cleaning'!A1422:A2891, 'Data Cleaning'!E1422:E2891)</f>
        <v>Divorced</v>
      </c>
      <c r="F1422" t="str">
        <f>_xlfn.XLOOKUP(A1422,'Data Cleaning'!A1422:A2891, 'Data Cleaning'!F1422:F2891)</f>
        <v>Low</v>
      </c>
      <c r="G1422" s="3" t="str">
        <f>_xlfn.XLOOKUP(A1422,'Data Cleaning'!A1422:A2891, 'Data Cleaning'!J1422:J2891)</f>
        <v>Long Promotion gap</v>
      </c>
    </row>
    <row r="1423" spans="1:7" x14ac:dyDescent="0.25">
      <c r="A1423" s="3">
        <v>727</v>
      </c>
      <c r="B1423" s="3" t="str">
        <f>_xlfn.XLOOKUP(A1423,'Data Cleaning'!A1423:A2892, 'Data Cleaning'!I1423:I2892)</f>
        <v>25-34</v>
      </c>
      <c r="C1423">
        <f>_xlfn.XLOOKUP(A1423,'Data Cleaning'!A1423:A2892,'Data Cleaning'!K1423:K2892)</f>
        <v>0</v>
      </c>
      <c r="D1423" t="str">
        <f>_xlfn.XLOOKUP(A1423,'Data Cleaning'!A1423:A2892, 'Data Cleaning'!D1423:D2892)</f>
        <v>College</v>
      </c>
      <c r="E1423" s="3" t="str">
        <f>_xlfn.XLOOKUP(A1423,'Data Cleaning'!A1423:A2892, 'Data Cleaning'!E1423:E2892)</f>
        <v>Single</v>
      </c>
      <c r="F1423" t="str">
        <f>_xlfn.XLOOKUP(A1423,'Data Cleaning'!A1423:A2892, 'Data Cleaning'!F1423:F2892)</f>
        <v>None</v>
      </c>
      <c r="G1423" s="3" t="str">
        <f>_xlfn.XLOOKUP(A1423,'Data Cleaning'!A1423:A2892, 'Data Cleaning'!J1423:J2892)</f>
        <v>Long Promotion gap</v>
      </c>
    </row>
    <row r="1424" spans="1:7" x14ac:dyDescent="0.25">
      <c r="A1424" s="3">
        <v>1201</v>
      </c>
      <c r="B1424" s="3" t="str">
        <f>_xlfn.XLOOKUP(A1424,'Data Cleaning'!A1424:A2893, 'Data Cleaning'!I1424:I2893)</f>
        <v>45-54</v>
      </c>
      <c r="C1424">
        <f>_xlfn.XLOOKUP(A1424,'Data Cleaning'!A1424:A2893,'Data Cleaning'!K1424:K2893)</f>
        <v>0</v>
      </c>
      <c r="D1424" t="str">
        <f>_xlfn.XLOOKUP(A1424,'Data Cleaning'!A1424:A2893, 'Data Cleaning'!D1424:D2893)</f>
        <v>College</v>
      </c>
      <c r="E1424" s="3" t="str">
        <f>_xlfn.XLOOKUP(A1424,'Data Cleaning'!A1424:A2893, 'Data Cleaning'!E1424:E2893)</f>
        <v>Divorced</v>
      </c>
      <c r="F1424" t="str">
        <f>_xlfn.XLOOKUP(A1424,'Data Cleaning'!A1424:A2893, 'Data Cleaning'!F1424:F2893)</f>
        <v>Low</v>
      </c>
      <c r="G1424" s="3" t="str">
        <f>_xlfn.XLOOKUP(A1424,'Data Cleaning'!A1424:A2893, 'Data Cleaning'!J1424:J2893)</f>
        <v>Long Promotion gap</v>
      </c>
    </row>
    <row r="1425" spans="1:7" x14ac:dyDescent="0.25">
      <c r="A1425" s="3">
        <v>474</v>
      </c>
      <c r="B1425" s="3" t="str">
        <f>_xlfn.XLOOKUP(A1425,'Data Cleaning'!A1425:A2894, 'Data Cleaning'!I1425:I2894)</f>
        <v>35-44</v>
      </c>
      <c r="C1425">
        <f>_xlfn.XLOOKUP(A1425,'Data Cleaning'!A1425:A2894,'Data Cleaning'!K1425:K2894)</f>
        <v>0</v>
      </c>
      <c r="D1425" t="str">
        <f>_xlfn.XLOOKUP(A1425,'Data Cleaning'!A1425:A2894, 'Data Cleaning'!D1425:D2894)</f>
        <v>Bachelor</v>
      </c>
      <c r="E1425" s="3" t="str">
        <f>_xlfn.XLOOKUP(A1425,'Data Cleaning'!A1425:A2894, 'Data Cleaning'!E1425:E2894)</f>
        <v>Divorced</v>
      </c>
      <c r="F1425" t="str">
        <f>_xlfn.XLOOKUP(A1425,'Data Cleaning'!A1425:A2894, 'Data Cleaning'!F1425:F2894)</f>
        <v>Mid</v>
      </c>
      <c r="G1425" s="3" t="str">
        <f>_xlfn.XLOOKUP(A1425,'Data Cleaning'!A1425:A2894, 'Data Cleaning'!J1425:J2894)</f>
        <v>Long Promotion gap</v>
      </c>
    </row>
    <row r="1426" spans="1:7" x14ac:dyDescent="0.25">
      <c r="A1426" s="3">
        <v>1829</v>
      </c>
      <c r="B1426" s="3" t="str">
        <f>_xlfn.XLOOKUP(A1426,'Data Cleaning'!A1426:A2895, 'Data Cleaning'!I1426:I2895)</f>
        <v>35-44</v>
      </c>
      <c r="C1426">
        <f>_xlfn.XLOOKUP(A1426,'Data Cleaning'!A1426:A2895,'Data Cleaning'!K1426:K2895)</f>
        <v>0</v>
      </c>
      <c r="D1426" t="str">
        <f>_xlfn.XLOOKUP(A1426,'Data Cleaning'!A1426:A2895, 'Data Cleaning'!D1426:D2895)</f>
        <v>Bachelor</v>
      </c>
      <c r="E1426" s="3" t="str">
        <f>_xlfn.XLOOKUP(A1426,'Data Cleaning'!A1426:A2895, 'Data Cleaning'!E1426:E2895)</f>
        <v>Divorced</v>
      </c>
      <c r="F1426" t="str">
        <f>_xlfn.XLOOKUP(A1426,'Data Cleaning'!A1426:A2895, 'Data Cleaning'!F1426:F2895)</f>
        <v>Low</v>
      </c>
      <c r="G1426" s="3" t="str">
        <f>_xlfn.XLOOKUP(A1426,'Data Cleaning'!A1426:A2895, 'Data Cleaning'!J1426:J2895)</f>
        <v>Promoted in 1-3 years</v>
      </c>
    </row>
    <row r="1427" spans="1:7" x14ac:dyDescent="0.25">
      <c r="A1427" s="3">
        <v>13</v>
      </c>
      <c r="B1427" s="3" t="str">
        <f>_xlfn.XLOOKUP(A1427,'Data Cleaning'!A1427:A2896, 'Data Cleaning'!I1427:I2896)</f>
        <v>35-44</v>
      </c>
      <c r="C1427">
        <f>_xlfn.XLOOKUP(A1427,'Data Cleaning'!A1427:A2896,'Data Cleaning'!K1427:K2896)</f>
        <v>0</v>
      </c>
      <c r="D1427" t="str">
        <f>_xlfn.XLOOKUP(A1427,'Data Cleaning'!A1427:A2896, 'Data Cleaning'!D1427:D2896)</f>
        <v>Bachelor</v>
      </c>
      <c r="E1427" s="3" t="str">
        <f>_xlfn.XLOOKUP(A1427,'Data Cleaning'!A1427:A2896, 'Data Cleaning'!E1427:E2896)</f>
        <v>Married</v>
      </c>
      <c r="F1427" t="str">
        <f>_xlfn.XLOOKUP(A1427,'Data Cleaning'!A1427:A2896, 'Data Cleaning'!F1427:F2896)</f>
        <v>Mid</v>
      </c>
      <c r="G1427" s="3" t="str">
        <f>_xlfn.XLOOKUP(A1427,'Data Cleaning'!A1427:A2896, 'Data Cleaning'!J1427:J2896)</f>
        <v>Long Promotion gap</v>
      </c>
    </row>
    <row r="1428" spans="1:7" x14ac:dyDescent="0.25">
      <c r="A1428" s="3">
        <v>579</v>
      </c>
      <c r="B1428" s="3" t="str">
        <f>_xlfn.XLOOKUP(A1428,'Data Cleaning'!A1428:A2897, 'Data Cleaning'!I1428:I2897)</f>
        <v>25-34</v>
      </c>
      <c r="C1428">
        <f>_xlfn.XLOOKUP(A1428,'Data Cleaning'!A1428:A2897,'Data Cleaning'!K1428:K2897)</f>
        <v>0</v>
      </c>
      <c r="D1428" t="str">
        <f>_xlfn.XLOOKUP(A1428,'Data Cleaning'!A1428:A2897, 'Data Cleaning'!D1428:D2897)</f>
        <v>Master</v>
      </c>
      <c r="E1428" s="3" t="str">
        <f>_xlfn.XLOOKUP(A1428,'Data Cleaning'!A1428:A2897, 'Data Cleaning'!E1428:E2897)</f>
        <v>Divorced</v>
      </c>
      <c r="F1428" t="str">
        <f>_xlfn.XLOOKUP(A1428,'Data Cleaning'!A1428:A2897, 'Data Cleaning'!F1428:F2897)</f>
        <v>Low</v>
      </c>
      <c r="G1428" s="3" t="str">
        <f>_xlfn.XLOOKUP(A1428,'Data Cleaning'!A1428:A2897, 'Data Cleaning'!J1428:J2897)</f>
        <v>Long Promotion gap</v>
      </c>
    </row>
    <row r="1429" spans="1:7" x14ac:dyDescent="0.25">
      <c r="A1429" s="3">
        <v>381</v>
      </c>
      <c r="B1429" s="3" t="str">
        <f>_xlfn.XLOOKUP(A1429,'Data Cleaning'!A1429:A2898, 'Data Cleaning'!I1429:I2898)</f>
        <v>35-44</v>
      </c>
      <c r="C1429">
        <f>_xlfn.XLOOKUP(A1429,'Data Cleaning'!A1429:A2898,'Data Cleaning'!K1429:K2898)</f>
        <v>0</v>
      </c>
      <c r="D1429" t="str">
        <f>_xlfn.XLOOKUP(A1429,'Data Cleaning'!A1429:A2898, 'Data Cleaning'!D1429:D2898)</f>
        <v>Bachelor</v>
      </c>
      <c r="E1429" s="3" t="str">
        <f>_xlfn.XLOOKUP(A1429,'Data Cleaning'!A1429:A2898, 'Data Cleaning'!E1429:E2898)</f>
        <v>Divorced</v>
      </c>
      <c r="F1429" t="str">
        <f>_xlfn.XLOOKUP(A1429,'Data Cleaning'!A1429:A2898, 'Data Cleaning'!F1429:F2898)</f>
        <v>Low</v>
      </c>
      <c r="G1429" s="3" t="str">
        <f>_xlfn.XLOOKUP(A1429,'Data Cleaning'!A1429:A2898, 'Data Cleaning'!J1429:J2898)</f>
        <v>Long Promotion gap</v>
      </c>
    </row>
    <row r="1430" spans="1:7" x14ac:dyDescent="0.25">
      <c r="A1430" s="3">
        <v>1216</v>
      </c>
      <c r="B1430" s="3" t="str">
        <f>_xlfn.XLOOKUP(A1430,'Data Cleaning'!A1430:A2899, 'Data Cleaning'!I1430:I2899)</f>
        <v>25-34</v>
      </c>
      <c r="C1430">
        <f>_xlfn.XLOOKUP(A1430,'Data Cleaning'!A1430:A2899,'Data Cleaning'!K1430:K2899)</f>
        <v>0</v>
      </c>
      <c r="D1430" t="str">
        <f>_xlfn.XLOOKUP(A1430,'Data Cleaning'!A1430:A2899, 'Data Cleaning'!D1430:D2899)</f>
        <v>Master</v>
      </c>
      <c r="E1430" s="3" t="str">
        <f>_xlfn.XLOOKUP(A1430,'Data Cleaning'!A1430:A2899, 'Data Cleaning'!E1430:E2899)</f>
        <v>Married</v>
      </c>
      <c r="F1430" t="str">
        <f>_xlfn.XLOOKUP(A1430,'Data Cleaning'!A1430:A2899, 'Data Cleaning'!F1430:F2899)</f>
        <v>High</v>
      </c>
      <c r="G1430" s="3" t="str">
        <f>_xlfn.XLOOKUP(A1430,'Data Cleaning'!A1430:A2899, 'Data Cleaning'!J1430:J2899)</f>
        <v>Promoted in 1-3 years</v>
      </c>
    </row>
    <row r="1431" spans="1:7" x14ac:dyDescent="0.25">
      <c r="A1431" s="3">
        <v>2010</v>
      </c>
      <c r="B1431" s="3" t="str">
        <f>_xlfn.XLOOKUP(A1431,'Data Cleaning'!A1431:A2900, 'Data Cleaning'!I1431:I2900)</f>
        <v>25-34</v>
      </c>
      <c r="C1431">
        <f>_xlfn.XLOOKUP(A1431,'Data Cleaning'!A1431:A2900,'Data Cleaning'!K1431:K2900)</f>
        <v>0</v>
      </c>
      <c r="D1431" t="str">
        <f>_xlfn.XLOOKUP(A1431,'Data Cleaning'!A1431:A2900, 'Data Cleaning'!D1431:D2900)</f>
        <v>Master</v>
      </c>
      <c r="E1431" s="3" t="str">
        <f>_xlfn.XLOOKUP(A1431,'Data Cleaning'!A1431:A2900, 'Data Cleaning'!E1431:E2900)</f>
        <v>Single</v>
      </c>
      <c r="F1431" t="str">
        <f>_xlfn.XLOOKUP(A1431,'Data Cleaning'!A1431:A2900, 'Data Cleaning'!F1431:F2900)</f>
        <v>None</v>
      </c>
      <c r="G1431" s="3" t="str">
        <f>_xlfn.XLOOKUP(A1431,'Data Cleaning'!A1431:A2900, 'Data Cleaning'!J1431:J2900)</f>
        <v>Long Promotion gap</v>
      </c>
    </row>
    <row r="1432" spans="1:7" x14ac:dyDescent="0.25">
      <c r="A1432" s="3">
        <v>635</v>
      </c>
      <c r="B1432" s="3" t="str">
        <f>_xlfn.XLOOKUP(A1432,'Data Cleaning'!A1432:A2901, 'Data Cleaning'!I1432:I2901)</f>
        <v>35-44</v>
      </c>
      <c r="C1432">
        <f>_xlfn.XLOOKUP(A1432,'Data Cleaning'!A1432:A2901,'Data Cleaning'!K1432:K2901)</f>
        <v>0</v>
      </c>
      <c r="D1432" t="str">
        <f>_xlfn.XLOOKUP(A1432,'Data Cleaning'!A1432:A2901, 'Data Cleaning'!D1432:D2901)</f>
        <v>Master</v>
      </c>
      <c r="E1432" s="3" t="str">
        <f>_xlfn.XLOOKUP(A1432,'Data Cleaning'!A1432:A2901, 'Data Cleaning'!E1432:E2901)</f>
        <v>Married</v>
      </c>
      <c r="F1432" t="str">
        <f>_xlfn.XLOOKUP(A1432,'Data Cleaning'!A1432:A2901, 'Data Cleaning'!F1432:F2901)</f>
        <v>Low</v>
      </c>
      <c r="G1432" s="3" t="str">
        <f>_xlfn.XLOOKUP(A1432,'Data Cleaning'!A1432:A2901, 'Data Cleaning'!J1432:J2901)</f>
        <v>Long Promotion gap</v>
      </c>
    </row>
    <row r="1433" spans="1:7" x14ac:dyDescent="0.25">
      <c r="A1433" s="3">
        <v>164</v>
      </c>
      <c r="B1433" s="3" t="str">
        <f>_xlfn.XLOOKUP(A1433,'Data Cleaning'!A1433:A2902, 'Data Cleaning'!I1433:I2902)</f>
        <v>25-34</v>
      </c>
      <c r="C1433">
        <f>_xlfn.XLOOKUP(A1433,'Data Cleaning'!A1433:A2902,'Data Cleaning'!K1433:K2902)</f>
        <v>0</v>
      </c>
      <c r="D1433" t="str">
        <f>_xlfn.XLOOKUP(A1433,'Data Cleaning'!A1433:A2902, 'Data Cleaning'!D1433:D2902)</f>
        <v>Bachelor</v>
      </c>
      <c r="E1433" s="3" t="str">
        <f>_xlfn.XLOOKUP(A1433,'Data Cleaning'!A1433:A2902, 'Data Cleaning'!E1433:E2902)</f>
        <v>Married</v>
      </c>
      <c r="F1433" t="str">
        <f>_xlfn.XLOOKUP(A1433,'Data Cleaning'!A1433:A2902, 'Data Cleaning'!F1433:F2902)</f>
        <v>None</v>
      </c>
      <c r="G1433" s="3" t="str">
        <f>_xlfn.XLOOKUP(A1433,'Data Cleaning'!A1433:A2902, 'Data Cleaning'!J1433:J2902)</f>
        <v>Long Promotion gap</v>
      </c>
    </row>
    <row r="1434" spans="1:7" x14ac:dyDescent="0.25">
      <c r="A1434" s="3">
        <v>577</v>
      </c>
      <c r="B1434" s="3" t="str">
        <f>_xlfn.XLOOKUP(A1434,'Data Cleaning'!A1434:A2903, 'Data Cleaning'!I1434:I2903)</f>
        <v>35-44</v>
      </c>
      <c r="C1434">
        <f>_xlfn.XLOOKUP(A1434,'Data Cleaning'!A1434:A2903,'Data Cleaning'!K1434:K2903)</f>
        <v>0</v>
      </c>
      <c r="D1434" t="str">
        <f>_xlfn.XLOOKUP(A1434,'Data Cleaning'!A1434:A2903, 'Data Cleaning'!D1434:D2903)</f>
        <v>Bachelor</v>
      </c>
      <c r="E1434" s="3" t="str">
        <f>_xlfn.XLOOKUP(A1434,'Data Cleaning'!A1434:A2903, 'Data Cleaning'!E1434:E2903)</f>
        <v>Single</v>
      </c>
      <c r="F1434" t="str">
        <f>_xlfn.XLOOKUP(A1434,'Data Cleaning'!A1434:A2903, 'Data Cleaning'!F1434:F2903)</f>
        <v>None</v>
      </c>
      <c r="G1434" s="3" t="str">
        <f>_xlfn.XLOOKUP(A1434,'Data Cleaning'!A1434:A2903, 'Data Cleaning'!J1434:J2903)</f>
        <v>Long Promotion gap</v>
      </c>
    </row>
    <row r="1435" spans="1:7" x14ac:dyDescent="0.25">
      <c r="A1435" s="3">
        <v>852</v>
      </c>
      <c r="B1435" s="3" t="str">
        <f>_xlfn.XLOOKUP(A1435,'Data Cleaning'!A1435:A2904, 'Data Cleaning'!I1435:I2904)</f>
        <v>35-44</v>
      </c>
      <c r="C1435">
        <f>_xlfn.XLOOKUP(A1435,'Data Cleaning'!A1435:A2904,'Data Cleaning'!K1435:K2904)</f>
        <v>0</v>
      </c>
      <c r="D1435" t="str">
        <f>_xlfn.XLOOKUP(A1435,'Data Cleaning'!A1435:A2904, 'Data Cleaning'!D1435:D2904)</f>
        <v>Bachelor</v>
      </c>
      <c r="E1435" s="3" t="str">
        <f>_xlfn.XLOOKUP(A1435,'Data Cleaning'!A1435:A2904, 'Data Cleaning'!E1435:E2904)</f>
        <v>Single</v>
      </c>
      <c r="F1435" t="str">
        <f>_xlfn.XLOOKUP(A1435,'Data Cleaning'!A1435:A2904, 'Data Cleaning'!F1435:F2904)</f>
        <v>None</v>
      </c>
      <c r="G1435" s="3" t="str">
        <f>_xlfn.XLOOKUP(A1435,'Data Cleaning'!A1435:A2904, 'Data Cleaning'!J1435:J2904)</f>
        <v>Promoted in 1-3 years</v>
      </c>
    </row>
    <row r="1436" spans="1:7" x14ac:dyDescent="0.25">
      <c r="A1436" s="3">
        <v>1032</v>
      </c>
      <c r="B1436" s="3" t="str">
        <f>_xlfn.XLOOKUP(A1436,'Data Cleaning'!A1436:A2905, 'Data Cleaning'!I1436:I2905)</f>
        <v>55-60</v>
      </c>
      <c r="C1436">
        <f>_xlfn.XLOOKUP(A1436,'Data Cleaning'!A1436:A2905,'Data Cleaning'!K1436:K2905)</f>
        <v>0</v>
      </c>
      <c r="D1436" t="str">
        <f>_xlfn.XLOOKUP(A1436,'Data Cleaning'!A1436:A2905, 'Data Cleaning'!D1436:D2905)</f>
        <v>Bachelor</v>
      </c>
      <c r="E1436" s="3" t="str">
        <f>_xlfn.XLOOKUP(A1436,'Data Cleaning'!A1436:A2905, 'Data Cleaning'!E1436:E2905)</f>
        <v>Single</v>
      </c>
      <c r="F1436" t="str">
        <f>_xlfn.XLOOKUP(A1436,'Data Cleaning'!A1436:A2905, 'Data Cleaning'!F1436:F2905)</f>
        <v>None</v>
      </c>
      <c r="G1436" s="3" t="str">
        <f>_xlfn.XLOOKUP(A1436,'Data Cleaning'!A1436:A2905, 'Data Cleaning'!J1436:J2905)</f>
        <v>Long Promotion gap</v>
      </c>
    </row>
    <row r="1437" spans="1:7" x14ac:dyDescent="0.25">
      <c r="A1437" s="3">
        <v>757</v>
      </c>
      <c r="B1437" s="3" t="str">
        <f>_xlfn.XLOOKUP(A1437,'Data Cleaning'!A1437:A2906, 'Data Cleaning'!I1437:I2906)</f>
        <v>25-34</v>
      </c>
      <c r="C1437">
        <f>_xlfn.XLOOKUP(A1437,'Data Cleaning'!A1437:A2906,'Data Cleaning'!K1437:K2906)</f>
        <v>0</v>
      </c>
      <c r="D1437" t="str">
        <f>_xlfn.XLOOKUP(A1437,'Data Cleaning'!A1437:A2906, 'Data Cleaning'!D1437:D2906)</f>
        <v>College</v>
      </c>
      <c r="E1437" s="3" t="str">
        <f>_xlfn.XLOOKUP(A1437,'Data Cleaning'!A1437:A2906, 'Data Cleaning'!E1437:E2906)</f>
        <v>Single</v>
      </c>
      <c r="F1437" t="str">
        <f>_xlfn.XLOOKUP(A1437,'Data Cleaning'!A1437:A2906, 'Data Cleaning'!F1437:F2906)</f>
        <v>None</v>
      </c>
      <c r="G1437" s="3" t="str">
        <f>_xlfn.XLOOKUP(A1437,'Data Cleaning'!A1437:A2906, 'Data Cleaning'!J1437:J2906)</f>
        <v>Long Promotion gap</v>
      </c>
    </row>
    <row r="1438" spans="1:7" x14ac:dyDescent="0.25">
      <c r="A1438" s="3">
        <v>16</v>
      </c>
      <c r="B1438" s="3" t="str">
        <f>_xlfn.XLOOKUP(A1438,'Data Cleaning'!A1438:A2907, 'Data Cleaning'!I1438:I2907)</f>
        <v>25-34</v>
      </c>
      <c r="C1438">
        <f>_xlfn.XLOOKUP(A1438,'Data Cleaning'!A1438:A2907,'Data Cleaning'!K1438:K2907)</f>
        <v>0</v>
      </c>
      <c r="D1438" t="str">
        <f>_xlfn.XLOOKUP(A1438,'Data Cleaning'!A1438:A2907, 'Data Cleaning'!D1438:D2907)</f>
        <v>Below College</v>
      </c>
      <c r="E1438" s="3" t="str">
        <f>_xlfn.XLOOKUP(A1438,'Data Cleaning'!A1438:A2907, 'Data Cleaning'!E1438:E2907)</f>
        <v>Divorced</v>
      </c>
      <c r="F1438" t="str">
        <f>_xlfn.XLOOKUP(A1438,'Data Cleaning'!A1438:A2907, 'Data Cleaning'!F1438:F2907)</f>
        <v>Low</v>
      </c>
      <c r="G1438" s="3" t="str">
        <f>_xlfn.XLOOKUP(A1438,'Data Cleaning'!A1438:A2907, 'Data Cleaning'!J1438:J2907)</f>
        <v>Long Promotion gap</v>
      </c>
    </row>
    <row r="1439" spans="1:7" x14ac:dyDescent="0.25">
      <c r="A1439" s="3">
        <v>226</v>
      </c>
      <c r="B1439" s="3" t="str">
        <f>_xlfn.XLOOKUP(A1439,'Data Cleaning'!A1439:A2908, 'Data Cleaning'!I1439:I2908)</f>
        <v>45-54</v>
      </c>
      <c r="C1439">
        <f>_xlfn.XLOOKUP(A1439,'Data Cleaning'!A1439:A2908,'Data Cleaning'!K1439:K2908)</f>
        <v>0</v>
      </c>
      <c r="D1439" t="str">
        <f>_xlfn.XLOOKUP(A1439,'Data Cleaning'!A1439:A2908, 'Data Cleaning'!D1439:D2908)</f>
        <v>Bachelor</v>
      </c>
      <c r="E1439" s="3" t="str">
        <f>_xlfn.XLOOKUP(A1439,'Data Cleaning'!A1439:A2908, 'Data Cleaning'!E1439:E2908)</f>
        <v>Single</v>
      </c>
      <c r="F1439" t="str">
        <f>_xlfn.XLOOKUP(A1439,'Data Cleaning'!A1439:A2908, 'Data Cleaning'!F1439:F2908)</f>
        <v>None</v>
      </c>
      <c r="G1439" s="3" t="str">
        <f>_xlfn.XLOOKUP(A1439,'Data Cleaning'!A1439:A2908, 'Data Cleaning'!J1439:J2908)</f>
        <v>Long Promotion gap</v>
      </c>
    </row>
    <row r="1440" spans="1:7" x14ac:dyDescent="0.25">
      <c r="A1440" s="3">
        <v>802</v>
      </c>
      <c r="B1440" s="3" t="str">
        <f>_xlfn.XLOOKUP(A1440,'Data Cleaning'!A1440:A2909, 'Data Cleaning'!I1440:I2909)</f>
        <v>35-44</v>
      </c>
      <c r="C1440">
        <f>_xlfn.XLOOKUP(A1440,'Data Cleaning'!A1440:A2909,'Data Cleaning'!K1440:K2909)</f>
        <v>0</v>
      </c>
      <c r="D1440" t="str">
        <f>_xlfn.XLOOKUP(A1440,'Data Cleaning'!A1440:A2909, 'Data Cleaning'!D1440:D2909)</f>
        <v>Below College</v>
      </c>
      <c r="E1440" s="3" t="str">
        <f>_xlfn.XLOOKUP(A1440,'Data Cleaning'!A1440:A2909, 'Data Cleaning'!E1440:E2909)</f>
        <v>Divorced</v>
      </c>
      <c r="F1440" t="str">
        <f>_xlfn.XLOOKUP(A1440,'Data Cleaning'!A1440:A2909, 'Data Cleaning'!F1440:F2909)</f>
        <v>Mid</v>
      </c>
      <c r="G1440" s="3" t="str">
        <f>_xlfn.XLOOKUP(A1440,'Data Cleaning'!A1440:A2909, 'Data Cleaning'!J1440:J2909)</f>
        <v>Long Promotion gap</v>
      </c>
    </row>
    <row r="1441" spans="1:7" x14ac:dyDescent="0.25">
      <c r="A1441" s="3">
        <v>530</v>
      </c>
      <c r="B1441" s="3" t="str">
        <f>_xlfn.XLOOKUP(A1441,'Data Cleaning'!A1441:A2910, 'Data Cleaning'!I1441:I2910)</f>
        <v>25-34</v>
      </c>
      <c r="C1441">
        <f>_xlfn.XLOOKUP(A1441,'Data Cleaning'!A1441:A2910,'Data Cleaning'!K1441:K2910)</f>
        <v>0</v>
      </c>
      <c r="D1441" t="str">
        <f>_xlfn.XLOOKUP(A1441,'Data Cleaning'!A1441:A2910, 'Data Cleaning'!D1441:D2910)</f>
        <v>College</v>
      </c>
      <c r="E1441" s="3" t="str">
        <f>_xlfn.XLOOKUP(A1441,'Data Cleaning'!A1441:A2910, 'Data Cleaning'!E1441:E2910)</f>
        <v>Married</v>
      </c>
      <c r="F1441" t="str">
        <f>_xlfn.XLOOKUP(A1441,'Data Cleaning'!A1441:A2910, 'Data Cleaning'!F1441:F2910)</f>
        <v>Low</v>
      </c>
      <c r="G1441" s="3" t="str">
        <f>_xlfn.XLOOKUP(A1441,'Data Cleaning'!A1441:A2910, 'Data Cleaning'!J1441:J2910)</f>
        <v>Promoted in 1-3 years</v>
      </c>
    </row>
    <row r="1442" spans="1:7" x14ac:dyDescent="0.25">
      <c r="A1442" s="3">
        <v>1641</v>
      </c>
      <c r="B1442" s="3" t="str">
        <f>_xlfn.XLOOKUP(A1442,'Data Cleaning'!A1442:A2911, 'Data Cleaning'!I1442:I2911)</f>
        <v>35-44</v>
      </c>
      <c r="C1442">
        <f>_xlfn.XLOOKUP(A1442,'Data Cleaning'!A1442:A2911,'Data Cleaning'!K1442:K2911)</f>
        <v>0</v>
      </c>
      <c r="D1442" t="str">
        <f>_xlfn.XLOOKUP(A1442,'Data Cleaning'!A1442:A2911, 'Data Cleaning'!D1442:D2911)</f>
        <v>Bachelor</v>
      </c>
      <c r="E1442" s="3" t="str">
        <f>_xlfn.XLOOKUP(A1442,'Data Cleaning'!A1442:A2911, 'Data Cleaning'!E1442:E2911)</f>
        <v>Single</v>
      </c>
      <c r="F1442" t="str">
        <f>_xlfn.XLOOKUP(A1442,'Data Cleaning'!A1442:A2911, 'Data Cleaning'!F1442:F2911)</f>
        <v>None</v>
      </c>
      <c r="G1442" s="3" t="str">
        <f>_xlfn.XLOOKUP(A1442,'Data Cleaning'!A1442:A2911, 'Data Cleaning'!J1442:J2911)</f>
        <v>Promoted in 1-3 years</v>
      </c>
    </row>
    <row r="1443" spans="1:7" x14ac:dyDescent="0.25">
      <c r="A1443" s="3">
        <v>1009</v>
      </c>
      <c r="B1443" s="3" t="str">
        <f>_xlfn.XLOOKUP(A1443,'Data Cleaning'!A1443:A2912, 'Data Cleaning'!I1443:I2912)</f>
        <v>18-24</v>
      </c>
      <c r="C1443">
        <f>_xlfn.XLOOKUP(A1443,'Data Cleaning'!A1443:A2912,'Data Cleaning'!K1443:K2912)</f>
        <v>0</v>
      </c>
      <c r="D1443" t="str">
        <f>_xlfn.XLOOKUP(A1443,'Data Cleaning'!A1443:A2912, 'Data Cleaning'!D1443:D2912)</f>
        <v>Below College</v>
      </c>
      <c r="E1443" s="3" t="str">
        <f>_xlfn.XLOOKUP(A1443,'Data Cleaning'!A1443:A2912, 'Data Cleaning'!E1443:E2912)</f>
        <v>Divorced</v>
      </c>
      <c r="F1443" t="str">
        <f>_xlfn.XLOOKUP(A1443,'Data Cleaning'!A1443:A2912, 'Data Cleaning'!F1443:F2912)</f>
        <v>Mid</v>
      </c>
      <c r="G1443" s="3" t="str">
        <f>_xlfn.XLOOKUP(A1443,'Data Cleaning'!A1443:A2912, 'Data Cleaning'!J1443:J2912)</f>
        <v>Promoted in 1-3 years</v>
      </c>
    </row>
    <row r="1444" spans="1:7" x14ac:dyDescent="0.25">
      <c r="A1444" s="3">
        <v>1162</v>
      </c>
      <c r="B1444" s="3" t="str">
        <f>_xlfn.XLOOKUP(A1444,'Data Cleaning'!A1444:A2913, 'Data Cleaning'!I1444:I2913)</f>
        <v>25-34</v>
      </c>
      <c r="C1444">
        <f>_xlfn.XLOOKUP(A1444,'Data Cleaning'!A1444:A2913,'Data Cleaning'!K1444:K2913)</f>
        <v>0</v>
      </c>
      <c r="D1444" t="str">
        <f>_xlfn.XLOOKUP(A1444,'Data Cleaning'!A1444:A2913, 'Data Cleaning'!D1444:D2913)</f>
        <v>Bachelor</v>
      </c>
      <c r="E1444" s="3" t="str">
        <f>_xlfn.XLOOKUP(A1444,'Data Cleaning'!A1444:A2913, 'Data Cleaning'!E1444:E2913)</f>
        <v>Married</v>
      </c>
      <c r="F1444" t="str">
        <f>_xlfn.XLOOKUP(A1444,'Data Cleaning'!A1444:A2913, 'Data Cleaning'!F1444:F2913)</f>
        <v>Low</v>
      </c>
      <c r="G1444" s="3" t="str">
        <f>_xlfn.XLOOKUP(A1444,'Data Cleaning'!A1444:A2913, 'Data Cleaning'!J1444:J2913)</f>
        <v>Promoted in 1-3 years</v>
      </c>
    </row>
    <row r="1445" spans="1:7" x14ac:dyDescent="0.25">
      <c r="A1445" s="3">
        <v>1969</v>
      </c>
      <c r="B1445" s="3" t="str">
        <f>_xlfn.XLOOKUP(A1445,'Data Cleaning'!A1445:A2914, 'Data Cleaning'!I1445:I2914)</f>
        <v>45-54</v>
      </c>
      <c r="C1445">
        <f>_xlfn.XLOOKUP(A1445,'Data Cleaning'!A1445:A2914,'Data Cleaning'!K1445:K2914)</f>
        <v>0</v>
      </c>
      <c r="D1445" t="str">
        <f>_xlfn.XLOOKUP(A1445,'Data Cleaning'!A1445:A2914, 'Data Cleaning'!D1445:D2914)</f>
        <v>College</v>
      </c>
      <c r="E1445" s="3" t="str">
        <f>_xlfn.XLOOKUP(A1445,'Data Cleaning'!A1445:A2914, 'Data Cleaning'!E1445:E2914)</f>
        <v>Married</v>
      </c>
      <c r="F1445" t="str">
        <f>_xlfn.XLOOKUP(A1445,'Data Cleaning'!A1445:A2914, 'Data Cleaning'!F1445:F2914)</f>
        <v>Mid</v>
      </c>
      <c r="G1445" s="3" t="str">
        <f>_xlfn.XLOOKUP(A1445,'Data Cleaning'!A1445:A2914, 'Data Cleaning'!J1445:J2914)</f>
        <v>Promoted in 1-3 years</v>
      </c>
    </row>
    <row r="1446" spans="1:7" x14ac:dyDescent="0.25">
      <c r="A1446" s="3">
        <v>284</v>
      </c>
      <c r="B1446" s="3" t="str">
        <f>_xlfn.XLOOKUP(A1446,'Data Cleaning'!A1446:A2915, 'Data Cleaning'!I1446:I2915)</f>
        <v>18-24</v>
      </c>
      <c r="C1446">
        <f>_xlfn.XLOOKUP(A1446,'Data Cleaning'!A1446:A2915,'Data Cleaning'!K1446:K2915)</f>
        <v>0</v>
      </c>
      <c r="D1446" t="str">
        <f>_xlfn.XLOOKUP(A1446,'Data Cleaning'!A1446:A2915, 'Data Cleaning'!D1446:D2915)</f>
        <v>Bachelor</v>
      </c>
      <c r="E1446" s="3" t="str">
        <f>_xlfn.XLOOKUP(A1446,'Data Cleaning'!A1446:A2915, 'Data Cleaning'!E1446:E2915)</f>
        <v>Divorced</v>
      </c>
      <c r="F1446" t="str">
        <f>_xlfn.XLOOKUP(A1446,'Data Cleaning'!A1446:A2915, 'Data Cleaning'!F1446:F2915)</f>
        <v>Low</v>
      </c>
      <c r="G1446" s="3" t="str">
        <f>_xlfn.XLOOKUP(A1446,'Data Cleaning'!A1446:A2915, 'Data Cleaning'!J1446:J2915)</f>
        <v>Promoted in 1-3 years</v>
      </c>
    </row>
    <row r="1447" spans="1:7" x14ac:dyDescent="0.25">
      <c r="A1447" s="3">
        <v>1102</v>
      </c>
      <c r="B1447" s="3" t="str">
        <f>_xlfn.XLOOKUP(A1447,'Data Cleaning'!A1447:A2916, 'Data Cleaning'!I1447:I2916)</f>
        <v>25-34</v>
      </c>
      <c r="C1447">
        <f>_xlfn.XLOOKUP(A1447,'Data Cleaning'!A1447:A2916,'Data Cleaning'!K1447:K2916)</f>
        <v>0</v>
      </c>
      <c r="D1447" t="str">
        <f>_xlfn.XLOOKUP(A1447,'Data Cleaning'!A1447:A2916, 'Data Cleaning'!D1447:D2916)</f>
        <v>College</v>
      </c>
      <c r="E1447" s="3" t="str">
        <f>_xlfn.XLOOKUP(A1447,'Data Cleaning'!A1447:A2916, 'Data Cleaning'!E1447:E2916)</f>
        <v>Divorced</v>
      </c>
      <c r="F1447" t="str">
        <f>_xlfn.XLOOKUP(A1447,'Data Cleaning'!A1447:A2916, 'Data Cleaning'!F1447:F2916)</f>
        <v>Low</v>
      </c>
      <c r="G1447" s="3" t="str">
        <f>_xlfn.XLOOKUP(A1447,'Data Cleaning'!A1447:A2916, 'Data Cleaning'!J1447:J2916)</f>
        <v>Promoted in 1-3 years</v>
      </c>
    </row>
    <row r="1448" spans="1:7" x14ac:dyDescent="0.25">
      <c r="A1448" s="3">
        <v>197</v>
      </c>
      <c r="B1448" s="3" t="str">
        <f>_xlfn.XLOOKUP(A1448,'Data Cleaning'!A1448:A2917, 'Data Cleaning'!I1448:I2917)</f>
        <v>25-34</v>
      </c>
      <c r="C1448">
        <f>_xlfn.XLOOKUP(A1448,'Data Cleaning'!A1448:A2917,'Data Cleaning'!K1448:K2917)</f>
        <v>0</v>
      </c>
      <c r="D1448" t="str">
        <f>_xlfn.XLOOKUP(A1448,'Data Cleaning'!A1448:A2917, 'Data Cleaning'!D1448:D2917)</f>
        <v>Bachelor</v>
      </c>
      <c r="E1448" s="3" t="str">
        <f>_xlfn.XLOOKUP(A1448,'Data Cleaning'!A1448:A2917, 'Data Cleaning'!E1448:E2917)</f>
        <v>Divorced</v>
      </c>
      <c r="F1448" t="str">
        <f>_xlfn.XLOOKUP(A1448,'Data Cleaning'!A1448:A2917, 'Data Cleaning'!F1448:F2917)</f>
        <v>Low</v>
      </c>
      <c r="G1448" s="3" t="str">
        <f>_xlfn.XLOOKUP(A1448,'Data Cleaning'!A1448:A2917, 'Data Cleaning'!J1448:J2917)</f>
        <v>Promoted in 1-3 years</v>
      </c>
    </row>
    <row r="1449" spans="1:7" x14ac:dyDescent="0.25">
      <c r="A1449" s="3">
        <v>1027</v>
      </c>
      <c r="B1449" s="3" t="str">
        <f>_xlfn.XLOOKUP(A1449,'Data Cleaning'!A1449:A2918, 'Data Cleaning'!I1449:I2918)</f>
        <v>25-34</v>
      </c>
      <c r="C1449">
        <f>_xlfn.XLOOKUP(A1449,'Data Cleaning'!A1449:A2918,'Data Cleaning'!K1449:K2918)</f>
        <v>0</v>
      </c>
      <c r="D1449" t="str">
        <f>_xlfn.XLOOKUP(A1449,'Data Cleaning'!A1449:A2918, 'Data Cleaning'!D1449:D2918)</f>
        <v>Master</v>
      </c>
      <c r="E1449" s="3" t="str">
        <f>_xlfn.XLOOKUP(A1449,'Data Cleaning'!A1449:A2918, 'Data Cleaning'!E1449:E2918)</f>
        <v>Married</v>
      </c>
      <c r="F1449" t="str">
        <f>_xlfn.XLOOKUP(A1449,'Data Cleaning'!A1449:A2918, 'Data Cleaning'!F1449:F2918)</f>
        <v>Low</v>
      </c>
      <c r="G1449" s="3" t="str">
        <f>_xlfn.XLOOKUP(A1449,'Data Cleaning'!A1449:A2918, 'Data Cleaning'!J1449:J2918)</f>
        <v>Promoted in 1-3 years</v>
      </c>
    </row>
    <row r="1450" spans="1:7" x14ac:dyDescent="0.25">
      <c r="A1450" s="3">
        <v>455</v>
      </c>
      <c r="B1450" s="3" t="str">
        <f>_xlfn.XLOOKUP(A1450,'Data Cleaning'!A1450:A2919, 'Data Cleaning'!I1450:I2919)</f>
        <v>25-34</v>
      </c>
      <c r="C1450">
        <f>_xlfn.XLOOKUP(A1450,'Data Cleaning'!A1450:A2919,'Data Cleaning'!K1450:K2919)</f>
        <v>0</v>
      </c>
      <c r="D1450" t="str">
        <f>_xlfn.XLOOKUP(A1450,'Data Cleaning'!A1450:A2919, 'Data Cleaning'!D1450:D2919)</f>
        <v>Doctor</v>
      </c>
      <c r="E1450" s="3" t="str">
        <f>_xlfn.XLOOKUP(A1450,'Data Cleaning'!A1450:A2919, 'Data Cleaning'!E1450:E2919)</f>
        <v>Single</v>
      </c>
      <c r="F1450" t="str">
        <f>_xlfn.XLOOKUP(A1450,'Data Cleaning'!A1450:A2919, 'Data Cleaning'!F1450:F2919)</f>
        <v>None</v>
      </c>
      <c r="G1450" s="3" t="str">
        <f>_xlfn.XLOOKUP(A1450,'Data Cleaning'!A1450:A2919, 'Data Cleaning'!J1450:J2919)</f>
        <v>Promoted in 1-3 years</v>
      </c>
    </row>
    <row r="1451" spans="1:7" x14ac:dyDescent="0.25">
      <c r="A1451" s="3">
        <v>1291</v>
      </c>
      <c r="B1451" s="3" t="str">
        <f>_xlfn.XLOOKUP(A1451,'Data Cleaning'!A1451:A2920, 'Data Cleaning'!I1451:I2920)</f>
        <v>35-44</v>
      </c>
      <c r="C1451">
        <f>_xlfn.XLOOKUP(A1451,'Data Cleaning'!A1451:A2920,'Data Cleaning'!K1451:K2920)</f>
        <v>0</v>
      </c>
      <c r="D1451" t="str">
        <f>_xlfn.XLOOKUP(A1451,'Data Cleaning'!A1451:A2920, 'Data Cleaning'!D1451:D2920)</f>
        <v>Below College</v>
      </c>
      <c r="E1451" s="3" t="str">
        <f>_xlfn.XLOOKUP(A1451,'Data Cleaning'!A1451:A2920, 'Data Cleaning'!E1451:E2920)</f>
        <v>Married</v>
      </c>
      <c r="F1451" t="str">
        <f>_xlfn.XLOOKUP(A1451,'Data Cleaning'!A1451:A2920, 'Data Cleaning'!F1451:F2920)</f>
        <v>None</v>
      </c>
      <c r="G1451" s="3" t="str">
        <f>_xlfn.XLOOKUP(A1451,'Data Cleaning'!A1451:A2920, 'Data Cleaning'!J1451:J2920)</f>
        <v>Promoted in 1-3 years</v>
      </c>
    </row>
    <row r="1452" spans="1:7" x14ac:dyDescent="0.25">
      <c r="A1452" s="3">
        <v>1786</v>
      </c>
      <c r="B1452" s="3" t="str">
        <f>_xlfn.XLOOKUP(A1452,'Data Cleaning'!A1452:A2921, 'Data Cleaning'!I1452:I2921)</f>
        <v>45-54</v>
      </c>
      <c r="C1452">
        <f>_xlfn.XLOOKUP(A1452,'Data Cleaning'!A1452:A2921,'Data Cleaning'!K1452:K2921)</f>
        <v>0</v>
      </c>
      <c r="D1452" t="str">
        <f>_xlfn.XLOOKUP(A1452,'Data Cleaning'!A1452:A2921, 'Data Cleaning'!D1452:D2921)</f>
        <v>Bachelor</v>
      </c>
      <c r="E1452" s="3" t="str">
        <f>_xlfn.XLOOKUP(A1452,'Data Cleaning'!A1452:A2921, 'Data Cleaning'!E1452:E2921)</f>
        <v>Married</v>
      </c>
      <c r="F1452" t="str">
        <f>_xlfn.XLOOKUP(A1452,'Data Cleaning'!A1452:A2921, 'Data Cleaning'!F1452:F2921)</f>
        <v>None</v>
      </c>
      <c r="G1452" s="3" t="str">
        <f>_xlfn.XLOOKUP(A1452,'Data Cleaning'!A1452:A2921, 'Data Cleaning'!J1452:J2921)</f>
        <v>Promoted in 1-3 years</v>
      </c>
    </row>
    <row r="1453" spans="1:7" x14ac:dyDescent="0.25">
      <c r="A1453" s="3">
        <v>501</v>
      </c>
      <c r="B1453" s="3" t="str">
        <f>_xlfn.XLOOKUP(A1453,'Data Cleaning'!A1453:A2922, 'Data Cleaning'!I1453:I2922)</f>
        <v>35-44</v>
      </c>
      <c r="C1453">
        <f>_xlfn.XLOOKUP(A1453,'Data Cleaning'!A1453:A2922,'Data Cleaning'!K1453:K2922)</f>
        <v>0</v>
      </c>
      <c r="D1453" t="str">
        <f>_xlfn.XLOOKUP(A1453,'Data Cleaning'!A1453:A2922, 'Data Cleaning'!D1453:D2922)</f>
        <v>Bachelor</v>
      </c>
      <c r="E1453" s="3" t="str">
        <f>_xlfn.XLOOKUP(A1453,'Data Cleaning'!A1453:A2922, 'Data Cleaning'!E1453:E2922)</f>
        <v>Married</v>
      </c>
      <c r="F1453" t="str">
        <f>_xlfn.XLOOKUP(A1453,'Data Cleaning'!A1453:A2922, 'Data Cleaning'!F1453:F2922)</f>
        <v>Low</v>
      </c>
      <c r="G1453" s="3" t="str">
        <f>_xlfn.XLOOKUP(A1453,'Data Cleaning'!A1453:A2922, 'Data Cleaning'!J1453:J2922)</f>
        <v>Promoted in 1-3 years</v>
      </c>
    </row>
    <row r="1454" spans="1:7" x14ac:dyDescent="0.25">
      <c r="A1454" s="3">
        <v>930</v>
      </c>
      <c r="B1454" s="3" t="str">
        <f>_xlfn.XLOOKUP(A1454,'Data Cleaning'!A1454:A2923, 'Data Cleaning'!I1454:I2923)</f>
        <v>25-34</v>
      </c>
      <c r="C1454">
        <f>_xlfn.XLOOKUP(A1454,'Data Cleaning'!A1454:A2923,'Data Cleaning'!K1454:K2923)</f>
        <v>0</v>
      </c>
      <c r="D1454" t="str">
        <f>_xlfn.XLOOKUP(A1454,'Data Cleaning'!A1454:A2923, 'Data Cleaning'!D1454:D2923)</f>
        <v>Bachelor</v>
      </c>
      <c r="E1454" s="3" t="str">
        <f>_xlfn.XLOOKUP(A1454,'Data Cleaning'!A1454:A2923, 'Data Cleaning'!E1454:E2923)</f>
        <v>Divorced</v>
      </c>
      <c r="F1454" t="str">
        <f>_xlfn.XLOOKUP(A1454,'Data Cleaning'!A1454:A2923, 'Data Cleaning'!F1454:F2923)</f>
        <v>Low</v>
      </c>
      <c r="G1454" s="3" t="str">
        <f>_xlfn.XLOOKUP(A1454,'Data Cleaning'!A1454:A2923, 'Data Cleaning'!J1454:J2923)</f>
        <v>Promoted in 1-3 years</v>
      </c>
    </row>
    <row r="1455" spans="1:7" x14ac:dyDescent="0.25">
      <c r="A1455" s="3">
        <v>1131</v>
      </c>
      <c r="B1455" s="3" t="str">
        <f>_xlfn.XLOOKUP(A1455,'Data Cleaning'!A1455:A2924, 'Data Cleaning'!I1455:I2924)</f>
        <v>18-24</v>
      </c>
      <c r="C1455">
        <f>_xlfn.XLOOKUP(A1455,'Data Cleaning'!A1455:A2924,'Data Cleaning'!K1455:K2924)</f>
        <v>0</v>
      </c>
      <c r="D1455" t="str">
        <f>_xlfn.XLOOKUP(A1455,'Data Cleaning'!A1455:A2924, 'Data Cleaning'!D1455:D2924)</f>
        <v>Below College</v>
      </c>
      <c r="E1455" s="3" t="str">
        <f>_xlfn.XLOOKUP(A1455,'Data Cleaning'!A1455:A2924, 'Data Cleaning'!E1455:E2924)</f>
        <v>Single</v>
      </c>
      <c r="F1455" t="str">
        <f>_xlfn.XLOOKUP(A1455,'Data Cleaning'!A1455:A2924, 'Data Cleaning'!F1455:F2924)</f>
        <v>None</v>
      </c>
      <c r="G1455" s="3" t="str">
        <f>_xlfn.XLOOKUP(A1455,'Data Cleaning'!A1455:A2924, 'Data Cleaning'!J1455:J2924)</f>
        <v>Promoted in 1-3 years</v>
      </c>
    </row>
    <row r="1456" spans="1:7" x14ac:dyDescent="0.25">
      <c r="A1456" s="3">
        <v>826</v>
      </c>
      <c r="B1456" s="3" t="str">
        <f>_xlfn.XLOOKUP(A1456,'Data Cleaning'!A1456:A2925, 'Data Cleaning'!I1456:I2925)</f>
        <v>35-44</v>
      </c>
      <c r="C1456">
        <f>_xlfn.XLOOKUP(A1456,'Data Cleaning'!A1456:A2925,'Data Cleaning'!K1456:K2925)</f>
        <v>0</v>
      </c>
      <c r="D1456" t="str">
        <f>_xlfn.XLOOKUP(A1456,'Data Cleaning'!A1456:A2925, 'Data Cleaning'!D1456:D2925)</f>
        <v>Master</v>
      </c>
      <c r="E1456" s="3" t="str">
        <f>_xlfn.XLOOKUP(A1456,'Data Cleaning'!A1456:A2925, 'Data Cleaning'!E1456:E2925)</f>
        <v>Single</v>
      </c>
      <c r="F1456" t="str">
        <f>_xlfn.XLOOKUP(A1456,'Data Cleaning'!A1456:A2925, 'Data Cleaning'!F1456:F2925)</f>
        <v>None</v>
      </c>
      <c r="G1456" s="3" t="str">
        <f>_xlfn.XLOOKUP(A1456,'Data Cleaning'!A1456:A2925, 'Data Cleaning'!J1456:J2925)</f>
        <v>Promoted in 1-3 years</v>
      </c>
    </row>
    <row r="1457" spans="1:7" x14ac:dyDescent="0.25">
      <c r="A1457" s="3">
        <v>1303</v>
      </c>
      <c r="B1457" s="3" t="str">
        <f>_xlfn.XLOOKUP(A1457,'Data Cleaning'!A1457:A2926, 'Data Cleaning'!I1457:I2926)</f>
        <v>25-34</v>
      </c>
      <c r="C1457">
        <f>_xlfn.XLOOKUP(A1457,'Data Cleaning'!A1457:A2926,'Data Cleaning'!K1457:K2926)</f>
        <v>0</v>
      </c>
      <c r="D1457" t="str">
        <f>_xlfn.XLOOKUP(A1457,'Data Cleaning'!A1457:A2926, 'Data Cleaning'!D1457:D2926)</f>
        <v>Bachelor</v>
      </c>
      <c r="E1457" s="3" t="str">
        <f>_xlfn.XLOOKUP(A1457,'Data Cleaning'!A1457:A2926, 'Data Cleaning'!E1457:E2926)</f>
        <v>Single</v>
      </c>
      <c r="F1457" t="str">
        <f>_xlfn.XLOOKUP(A1457,'Data Cleaning'!A1457:A2926, 'Data Cleaning'!F1457:F2926)</f>
        <v>None</v>
      </c>
      <c r="G1457" s="3" t="str">
        <f>_xlfn.XLOOKUP(A1457,'Data Cleaning'!A1457:A2926, 'Data Cleaning'!J1457:J2926)</f>
        <v>Promoted in 1-3 years</v>
      </c>
    </row>
    <row r="1458" spans="1:7" x14ac:dyDescent="0.25">
      <c r="A1458" s="3">
        <v>1525</v>
      </c>
      <c r="B1458" s="3" t="str">
        <f>_xlfn.XLOOKUP(A1458,'Data Cleaning'!A1458:A2927, 'Data Cleaning'!I1458:I2927)</f>
        <v>35-44</v>
      </c>
      <c r="C1458">
        <f>_xlfn.XLOOKUP(A1458,'Data Cleaning'!A1458:A2927,'Data Cleaning'!K1458:K2927)</f>
        <v>0</v>
      </c>
      <c r="D1458" t="str">
        <f>_xlfn.XLOOKUP(A1458,'Data Cleaning'!A1458:A2927, 'Data Cleaning'!D1458:D2927)</f>
        <v>Bachelor</v>
      </c>
      <c r="E1458" s="3" t="str">
        <f>_xlfn.XLOOKUP(A1458,'Data Cleaning'!A1458:A2927, 'Data Cleaning'!E1458:E2927)</f>
        <v>Single</v>
      </c>
      <c r="F1458" t="str">
        <f>_xlfn.XLOOKUP(A1458,'Data Cleaning'!A1458:A2927, 'Data Cleaning'!F1458:F2927)</f>
        <v>None</v>
      </c>
      <c r="G1458" s="3" t="str">
        <f>_xlfn.XLOOKUP(A1458,'Data Cleaning'!A1458:A2927, 'Data Cleaning'!J1458:J2927)</f>
        <v>Promoted in 1-3 years</v>
      </c>
    </row>
    <row r="1459" spans="1:7" x14ac:dyDescent="0.25">
      <c r="A1459" s="3">
        <v>1069</v>
      </c>
      <c r="B1459" s="3" t="str">
        <f>_xlfn.XLOOKUP(A1459,'Data Cleaning'!A1459:A2928, 'Data Cleaning'!I1459:I2928)</f>
        <v>45-54</v>
      </c>
      <c r="C1459">
        <f>_xlfn.XLOOKUP(A1459,'Data Cleaning'!A1459:A2928,'Data Cleaning'!K1459:K2928)</f>
        <v>0</v>
      </c>
      <c r="D1459" t="str">
        <f>_xlfn.XLOOKUP(A1459,'Data Cleaning'!A1459:A2928, 'Data Cleaning'!D1459:D2928)</f>
        <v>Master</v>
      </c>
      <c r="E1459" s="3" t="str">
        <f>_xlfn.XLOOKUP(A1459,'Data Cleaning'!A1459:A2928, 'Data Cleaning'!E1459:E2928)</f>
        <v>Divorced</v>
      </c>
      <c r="F1459" t="str">
        <f>_xlfn.XLOOKUP(A1459,'Data Cleaning'!A1459:A2928, 'Data Cleaning'!F1459:F2928)</f>
        <v>Mid</v>
      </c>
      <c r="G1459" s="3" t="str">
        <f>_xlfn.XLOOKUP(A1459,'Data Cleaning'!A1459:A2928, 'Data Cleaning'!J1459:J2928)</f>
        <v>Promoted in 1-3 years</v>
      </c>
    </row>
    <row r="1460" spans="1:7" x14ac:dyDescent="0.25">
      <c r="A1460" s="3">
        <v>1789</v>
      </c>
      <c r="B1460" s="3" t="str">
        <f>_xlfn.XLOOKUP(A1460,'Data Cleaning'!A1460:A2929, 'Data Cleaning'!I1460:I2929)</f>
        <v>45-54</v>
      </c>
      <c r="C1460">
        <f>_xlfn.XLOOKUP(A1460,'Data Cleaning'!A1460:A2929,'Data Cleaning'!K1460:K2929)</f>
        <v>0</v>
      </c>
      <c r="D1460" t="str">
        <f>_xlfn.XLOOKUP(A1460,'Data Cleaning'!A1460:A2929, 'Data Cleaning'!D1460:D2929)</f>
        <v>Master</v>
      </c>
      <c r="E1460" s="3" t="str">
        <f>_xlfn.XLOOKUP(A1460,'Data Cleaning'!A1460:A2929, 'Data Cleaning'!E1460:E2929)</f>
        <v>Divorced</v>
      </c>
      <c r="F1460" t="str">
        <f>_xlfn.XLOOKUP(A1460,'Data Cleaning'!A1460:A2929, 'Data Cleaning'!F1460:F2929)</f>
        <v>Low</v>
      </c>
      <c r="G1460" s="3" t="str">
        <f>_xlfn.XLOOKUP(A1460,'Data Cleaning'!A1460:A2929, 'Data Cleaning'!J1460:J2929)</f>
        <v>Promoted in 1-3 years</v>
      </c>
    </row>
    <row r="1461" spans="1:7" x14ac:dyDescent="0.25">
      <c r="A1461" s="3">
        <v>245</v>
      </c>
      <c r="B1461" s="3" t="str">
        <f>_xlfn.XLOOKUP(A1461,'Data Cleaning'!A1461:A2930, 'Data Cleaning'!I1461:I2930)</f>
        <v>35-44</v>
      </c>
      <c r="C1461">
        <f>_xlfn.XLOOKUP(A1461,'Data Cleaning'!A1461:A2930,'Data Cleaning'!K1461:K2930)</f>
        <v>0</v>
      </c>
      <c r="D1461" t="str">
        <f>_xlfn.XLOOKUP(A1461,'Data Cleaning'!A1461:A2930, 'Data Cleaning'!D1461:D2930)</f>
        <v>College</v>
      </c>
      <c r="E1461" s="3" t="str">
        <f>_xlfn.XLOOKUP(A1461,'Data Cleaning'!A1461:A2930, 'Data Cleaning'!E1461:E2930)</f>
        <v>Single</v>
      </c>
      <c r="F1461" t="str">
        <f>_xlfn.XLOOKUP(A1461,'Data Cleaning'!A1461:A2930, 'Data Cleaning'!F1461:F2930)</f>
        <v>None</v>
      </c>
      <c r="G1461" s="3" t="str">
        <f>_xlfn.XLOOKUP(A1461,'Data Cleaning'!A1461:A2930, 'Data Cleaning'!J1461:J2930)</f>
        <v>Promoted in 1-3 years</v>
      </c>
    </row>
    <row r="1462" spans="1:7" x14ac:dyDescent="0.25">
      <c r="A1462" s="3">
        <v>1592</v>
      </c>
      <c r="B1462" s="3" t="str">
        <f>_xlfn.XLOOKUP(A1462,'Data Cleaning'!A1462:A2931, 'Data Cleaning'!I1462:I2931)</f>
        <v>18-24</v>
      </c>
      <c r="C1462">
        <f>_xlfn.XLOOKUP(A1462,'Data Cleaning'!A1462:A2931,'Data Cleaning'!K1462:K2931)</f>
        <v>0</v>
      </c>
      <c r="D1462" t="str">
        <f>_xlfn.XLOOKUP(A1462,'Data Cleaning'!A1462:A2931, 'Data Cleaning'!D1462:D2931)</f>
        <v>Bachelor</v>
      </c>
      <c r="E1462" s="3" t="str">
        <f>_xlfn.XLOOKUP(A1462,'Data Cleaning'!A1462:A2931, 'Data Cleaning'!E1462:E2931)</f>
        <v>Married</v>
      </c>
      <c r="F1462" t="str">
        <f>_xlfn.XLOOKUP(A1462,'Data Cleaning'!A1462:A2931, 'Data Cleaning'!F1462:F2931)</f>
        <v>Low</v>
      </c>
      <c r="G1462" s="3" t="str">
        <f>_xlfn.XLOOKUP(A1462,'Data Cleaning'!A1462:A2931, 'Data Cleaning'!J1462:J2931)</f>
        <v>Promoted in 1-3 years</v>
      </c>
    </row>
    <row r="1463" spans="1:7" x14ac:dyDescent="0.25">
      <c r="A1463" s="3">
        <v>2048</v>
      </c>
      <c r="B1463" s="3" t="str">
        <f>_xlfn.XLOOKUP(A1463,'Data Cleaning'!A1463:A2932, 'Data Cleaning'!I1463:I2932)</f>
        <v>35-44</v>
      </c>
      <c r="C1463">
        <f>_xlfn.XLOOKUP(A1463,'Data Cleaning'!A1463:A2932,'Data Cleaning'!K1463:K2932)</f>
        <v>0</v>
      </c>
      <c r="D1463" t="str">
        <f>_xlfn.XLOOKUP(A1463,'Data Cleaning'!A1463:A2932, 'Data Cleaning'!D1463:D2932)</f>
        <v>Master</v>
      </c>
      <c r="E1463" s="3" t="str">
        <f>_xlfn.XLOOKUP(A1463,'Data Cleaning'!A1463:A2932, 'Data Cleaning'!E1463:E2932)</f>
        <v>Single</v>
      </c>
      <c r="F1463" t="str">
        <f>_xlfn.XLOOKUP(A1463,'Data Cleaning'!A1463:A2932, 'Data Cleaning'!F1463:F2932)</f>
        <v>None</v>
      </c>
      <c r="G1463" s="3" t="str">
        <f>_xlfn.XLOOKUP(A1463,'Data Cleaning'!A1463:A2932, 'Data Cleaning'!J1463:J2932)</f>
        <v>Promoted in 1-3 years</v>
      </c>
    </row>
    <row r="1464" spans="1:7" x14ac:dyDescent="0.25">
      <c r="A1464" s="3">
        <v>2003</v>
      </c>
      <c r="B1464" s="3" t="str">
        <f>_xlfn.XLOOKUP(A1464,'Data Cleaning'!A1464:A2933, 'Data Cleaning'!I1464:I2933)</f>
        <v>35-44</v>
      </c>
      <c r="C1464">
        <f>_xlfn.XLOOKUP(A1464,'Data Cleaning'!A1464:A2933,'Data Cleaning'!K1464:K2933)</f>
        <v>0</v>
      </c>
      <c r="D1464" t="str">
        <f>_xlfn.XLOOKUP(A1464,'Data Cleaning'!A1464:A2933, 'Data Cleaning'!D1464:D2933)</f>
        <v>Master</v>
      </c>
      <c r="E1464" s="3" t="str">
        <f>_xlfn.XLOOKUP(A1464,'Data Cleaning'!A1464:A2933, 'Data Cleaning'!E1464:E2933)</f>
        <v>Married</v>
      </c>
      <c r="F1464" t="str">
        <f>_xlfn.XLOOKUP(A1464,'Data Cleaning'!A1464:A2933, 'Data Cleaning'!F1464:F2933)</f>
        <v>Low</v>
      </c>
      <c r="G1464" s="3" t="str">
        <f>_xlfn.XLOOKUP(A1464,'Data Cleaning'!A1464:A2933, 'Data Cleaning'!J1464:J2933)</f>
        <v>Promoted in 1-3 years</v>
      </c>
    </row>
    <row r="1465" spans="1:7" x14ac:dyDescent="0.25">
      <c r="A1465" s="3">
        <v>316</v>
      </c>
      <c r="B1465" s="3" t="str">
        <f>_xlfn.XLOOKUP(A1465,'Data Cleaning'!A1465:A2934, 'Data Cleaning'!I1465:I2934)</f>
        <v>45-54</v>
      </c>
      <c r="C1465">
        <f>_xlfn.XLOOKUP(A1465,'Data Cleaning'!A1465:A2934,'Data Cleaning'!K1465:K2934)</f>
        <v>0</v>
      </c>
      <c r="D1465" t="str">
        <f>_xlfn.XLOOKUP(A1465,'Data Cleaning'!A1465:A2934, 'Data Cleaning'!D1465:D2934)</f>
        <v>Bachelor</v>
      </c>
      <c r="E1465" s="3" t="str">
        <f>_xlfn.XLOOKUP(A1465,'Data Cleaning'!A1465:A2934, 'Data Cleaning'!E1465:E2934)</f>
        <v>Single</v>
      </c>
      <c r="F1465" t="str">
        <f>_xlfn.XLOOKUP(A1465,'Data Cleaning'!A1465:A2934, 'Data Cleaning'!F1465:F2934)</f>
        <v>None</v>
      </c>
      <c r="G1465" s="3" t="str">
        <f>_xlfn.XLOOKUP(A1465,'Data Cleaning'!A1465:A2934, 'Data Cleaning'!J1465:J2934)</f>
        <v>Promoted in 1-3 years</v>
      </c>
    </row>
    <row r="1466" spans="1:7" x14ac:dyDescent="0.25">
      <c r="A1466" s="3">
        <v>169</v>
      </c>
      <c r="B1466" s="3" t="str">
        <f>_xlfn.XLOOKUP(A1466,'Data Cleaning'!A1466:A2935, 'Data Cleaning'!I1466:I2935)</f>
        <v>18-24</v>
      </c>
      <c r="C1466">
        <f>_xlfn.XLOOKUP(A1466,'Data Cleaning'!A1466:A2935,'Data Cleaning'!K1466:K2935)</f>
        <v>0</v>
      </c>
      <c r="D1466" t="str">
        <f>_xlfn.XLOOKUP(A1466,'Data Cleaning'!A1466:A2935, 'Data Cleaning'!D1466:D2935)</f>
        <v>Below College</v>
      </c>
      <c r="E1466" s="3" t="str">
        <f>_xlfn.XLOOKUP(A1466,'Data Cleaning'!A1466:A2935, 'Data Cleaning'!E1466:E2935)</f>
        <v>Married</v>
      </c>
      <c r="F1466" t="str">
        <f>_xlfn.XLOOKUP(A1466,'Data Cleaning'!A1466:A2935, 'Data Cleaning'!F1466:F2935)</f>
        <v>Low</v>
      </c>
      <c r="G1466" s="3" t="str">
        <f>_xlfn.XLOOKUP(A1466,'Data Cleaning'!A1466:A2935, 'Data Cleaning'!J1466:J2935)</f>
        <v>Promoted in 1-3 years</v>
      </c>
    </row>
    <row r="1467" spans="1:7" x14ac:dyDescent="0.25">
      <c r="A1467" s="3">
        <v>1916</v>
      </c>
      <c r="B1467" s="3" t="str">
        <f>_xlfn.XLOOKUP(A1467,'Data Cleaning'!A1467:A2936, 'Data Cleaning'!I1467:I2936)</f>
        <v>25-34</v>
      </c>
      <c r="C1467">
        <f>_xlfn.XLOOKUP(A1467,'Data Cleaning'!A1467:A2936,'Data Cleaning'!K1467:K2936)</f>
        <v>0</v>
      </c>
      <c r="D1467" t="str">
        <f>_xlfn.XLOOKUP(A1467,'Data Cleaning'!A1467:A2936, 'Data Cleaning'!D1467:D2936)</f>
        <v>Bachelor</v>
      </c>
      <c r="E1467" s="3" t="str">
        <f>_xlfn.XLOOKUP(A1467,'Data Cleaning'!A1467:A2936, 'Data Cleaning'!E1467:E2936)</f>
        <v>Divorced</v>
      </c>
      <c r="F1467" t="str">
        <f>_xlfn.XLOOKUP(A1467,'Data Cleaning'!A1467:A2936, 'Data Cleaning'!F1467:F2936)</f>
        <v>Low</v>
      </c>
      <c r="G1467" s="3" t="str">
        <f>_xlfn.XLOOKUP(A1467,'Data Cleaning'!A1467:A2936, 'Data Cleaning'!J1467:J2936)</f>
        <v>Promoted in 1-3 years</v>
      </c>
    </row>
    <row r="1468" spans="1:7" x14ac:dyDescent="0.25">
      <c r="A1468" s="3">
        <v>493</v>
      </c>
      <c r="B1468" s="3" t="str">
        <f>_xlfn.XLOOKUP(A1468,'Data Cleaning'!A1468:A2937, 'Data Cleaning'!I1468:I2937)</f>
        <v>25-34</v>
      </c>
      <c r="C1468">
        <f>_xlfn.XLOOKUP(A1468,'Data Cleaning'!A1468:A2937,'Data Cleaning'!K1468:K2937)</f>
        <v>0</v>
      </c>
      <c r="D1468" t="str">
        <f>_xlfn.XLOOKUP(A1468,'Data Cleaning'!A1468:A2937, 'Data Cleaning'!D1468:D2937)</f>
        <v>Master</v>
      </c>
      <c r="E1468" s="3" t="str">
        <f>_xlfn.XLOOKUP(A1468,'Data Cleaning'!A1468:A2937, 'Data Cleaning'!E1468:E2937)</f>
        <v>Single</v>
      </c>
      <c r="F1468" t="str">
        <f>_xlfn.XLOOKUP(A1468,'Data Cleaning'!A1468:A2937, 'Data Cleaning'!F1468:F2937)</f>
        <v>None</v>
      </c>
      <c r="G1468" s="3" t="str">
        <f>_xlfn.XLOOKUP(A1468,'Data Cleaning'!A1468:A2937, 'Data Cleaning'!J1468:J2937)</f>
        <v>Promoted in 1-3 years</v>
      </c>
    </row>
    <row r="1469" spans="1:7" x14ac:dyDescent="0.25">
      <c r="A1469" s="3">
        <v>1001</v>
      </c>
      <c r="B1469" s="3" t="str">
        <f>_xlfn.XLOOKUP(A1469,'Data Cleaning'!A1469:A2938, 'Data Cleaning'!I1469:I2938)</f>
        <v>25-34</v>
      </c>
      <c r="C1469">
        <f>_xlfn.XLOOKUP(A1469,'Data Cleaning'!A1469:A2938,'Data Cleaning'!K1469:K2938)</f>
        <v>0</v>
      </c>
      <c r="D1469" t="str">
        <f>_xlfn.XLOOKUP(A1469,'Data Cleaning'!A1469:A2938, 'Data Cleaning'!D1469:D2938)</f>
        <v>Master</v>
      </c>
      <c r="E1469" s="3" t="str">
        <f>_xlfn.XLOOKUP(A1469,'Data Cleaning'!A1469:A2938, 'Data Cleaning'!E1469:E2938)</f>
        <v>Married</v>
      </c>
      <c r="F1469" t="str">
        <f>_xlfn.XLOOKUP(A1469,'Data Cleaning'!A1469:A2938, 'Data Cleaning'!F1469:F2938)</f>
        <v>Low</v>
      </c>
      <c r="G1469" s="3" t="str">
        <f>_xlfn.XLOOKUP(A1469,'Data Cleaning'!A1469:A2938, 'Data Cleaning'!J1469:J2938)</f>
        <v>Promoted in 1-3 years</v>
      </c>
    </row>
    <row r="1470" spans="1:7" x14ac:dyDescent="0.25">
      <c r="A1470" s="3">
        <v>75</v>
      </c>
      <c r="B1470" s="3" t="str">
        <f>_xlfn.XLOOKUP(A1470,'Data Cleaning'!A1470:A2939, 'Data Cleaning'!I1470:I2939)</f>
        <v>35-44</v>
      </c>
      <c r="C1470">
        <f>_xlfn.XLOOKUP(A1470,'Data Cleaning'!A1470:A2939,'Data Cleaning'!K1470:K2939)</f>
        <v>0</v>
      </c>
      <c r="D1470" t="str">
        <f>_xlfn.XLOOKUP(A1470,'Data Cleaning'!A1470:A2939, 'Data Cleaning'!D1470:D2939)</f>
        <v>Master</v>
      </c>
      <c r="E1470" s="3" t="str">
        <f>_xlfn.XLOOKUP(A1470,'Data Cleaning'!A1470:A2939, 'Data Cleaning'!E1470:E2939)</f>
        <v>Married</v>
      </c>
      <c r="F1470" t="str">
        <f>_xlfn.XLOOKUP(A1470,'Data Cleaning'!A1470:A2939, 'Data Cleaning'!F1470:F2939)</f>
        <v>Low</v>
      </c>
      <c r="G1470" s="3" t="str">
        <f>_xlfn.XLOOKUP(A1470,'Data Cleaning'!A1470:A2939, 'Data Cleaning'!J1470:J2939)</f>
        <v>Promoted in 1-3 years</v>
      </c>
    </row>
    <row r="1471" spans="1:7" x14ac:dyDescent="0.25">
      <c r="A1471" s="3">
        <v>1871</v>
      </c>
      <c r="B1471" s="3" t="str">
        <f>_xlfn.XLOOKUP(A1471,'Data Cleaning'!A1471:A2940, 'Data Cleaning'!I1471:I2940)</f>
        <v>35-44</v>
      </c>
      <c r="C1471">
        <f>_xlfn.XLOOKUP(A1471,'Data Cleaning'!A1471:A2940,'Data Cleaning'!K1471:K2940)</f>
        <v>0</v>
      </c>
      <c r="D1471" t="str">
        <f>_xlfn.XLOOKUP(A1471,'Data Cleaning'!A1471:A2940, 'Data Cleaning'!D1471:D2940)</f>
        <v>Master</v>
      </c>
      <c r="E1471" s="3" t="str">
        <f>_xlfn.XLOOKUP(A1471,'Data Cleaning'!A1471:A2940, 'Data Cleaning'!E1471:E2940)</f>
        <v>Divorced</v>
      </c>
      <c r="F1471" t="str">
        <f>_xlfn.XLOOKUP(A1471,'Data Cleaning'!A1471:A2940, 'Data Cleaning'!F1471:F2940)</f>
        <v>High</v>
      </c>
      <c r="G1471" s="3" t="str">
        <f>_xlfn.XLOOKUP(A1471,'Data Cleaning'!A1471:A2940, 'Data Cleaning'!J1471:J2940)</f>
        <v>Promoted in 1-3 years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EB81C-FF6A-43E0-A7E9-5685E46135BF}">
  <dimension ref="A1:E28"/>
  <sheetViews>
    <sheetView workbookViewId="0">
      <selection activeCell="H12" sqref="H12"/>
    </sheetView>
  </sheetViews>
  <sheetFormatPr defaultRowHeight="15" x14ac:dyDescent="0.25"/>
  <cols>
    <col min="1" max="1" width="13.42578125" bestFit="1" customWidth="1"/>
    <col min="2" max="2" width="19.42578125" bestFit="1" customWidth="1"/>
    <col min="3" max="3" width="23.5703125" bestFit="1" customWidth="1"/>
    <col min="4" max="4" width="20.28515625" bestFit="1" customWidth="1"/>
    <col min="5" max="5" width="19.42578125" style="6" bestFit="1" customWidth="1"/>
    <col min="6" max="6" width="22.5703125" bestFit="1" customWidth="1"/>
    <col min="7" max="7" width="13.140625" bestFit="1" customWidth="1"/>
    <col min="8" max="8" width="22.5703125" bestFit="1" customWidth="1"/>
  </cols>
  <sheetData>
    <row r="1" spans="1:5" x14ac:dyDescent="0.25">
      <c r="A1" t="s">
        <v>87</v>
      </c>
      <c r="B1" s="9" t="s">
        <v>88</v>
      </c>
      <c r="C1" s="6" t="s">
        <v>89</v>
      </c>
      <c r="D1" s="9"/>
      <c r="E1"/>
    </row>
    <row r="2" spans="1:5" x14ac:dyDescent="0.25">
      <c r="A2">
        <v>237</v>
      </c>
      <c r="B2" s="9">
        <v>1470</v>
      </c>
      <c r="C2" s="6">
        <v>0.16122448979591836</v>
      </c>
      <c r="D2" s="9">
        <v>237</v>
      </c>
      <c r="E2" s="8" t="s">
        <v>78</v>
      </c>
    </row>
    <row r="3" spans="1:5" x14ac:dyDescent="0.25">
      <c r="E3"/>
    </row>
    <row r="4" spans="1:5" x14ac:dyDescent="0.25">
      <c r="E4"/>
    </row>
    <row r="5" spans="1:5" x14ac:dyDescent="0.25">
      <c r="E5"/>
    </row>
    <row r="6" spans="1:5" x14ac:dyDescent="0.25">
      <c r="A6" s="7" t="s">
        <v>85</v>
      </c>
      <c r="B6" s="6" t="s">
        <v>87</v>
      </c>
      <c r="E6"/>
    </row>
    <row r="7" spans="1:5" x14ac:dyDescent="0.25">
      <c r="A7" s="8" t="s">
        <v>70</v>
      </c>
      <c r="B7" s="3">
        <v>5</v>
      </c>
      <c r="E7"/>
    </row>
    <row r="8" spans="1:5" x14ac:dyDescent="0.25">
      <c r="A8" s="8" t="s">
        <v>64</v>
      </c>
      <c r="B8" s="3">
        <v>31</v>
      </c>
    </row>
    <row r="9" spans="1:5" x14ac:dyDescent="0.25">
      <c r="A9" s="8" t="s">
        <v>67</v>
      </c>
      <c r="B9" s="3">
        <v>44</v>
      </c>
    </row>
    <row r="10" spans="1:5" x14ac:dyDescent="0.25">
      <c r="A10" s="8" t="s">
        <v>35</v>
      </c>
      <c r="B10" s="3">
        <v>58</v>
      </c>
      <c r="D10" s="7" t="s">
        <v>85</v>
      </c>
      <c r="E10" s="6" t="s">
        <v>87</v>
      </c>
    </row>
    <row r="11" spans="1:5" x14ac:dyDescent="0.25">
      <c r="A11" s="8" t="s">
        <v>49</v>
      </c>
      <c r="B11" s="3">
        <v>99</v>
      </c>
      <c r="D11" s="8" t="s">
        <v>50</v>
      </c>
      <c r="E11" s="3">
        <v>15</v>
      </c>
    </row>
    <row r="12" spans="1:5" x14ac:dyDescent="0.25">
      <c r="A12" s="8" t="s">
        <v>86</v>
      </c>
      <c r="B12" s="3">
        <v>237</v>
      </c>
      <c r="D12" s="8" t="s">
        <v>36</v>
      </c>
      <c r="E12" s="3">
        <v>56</v>
      </c>
    </row>
    <row r="13" spans="1:5" x14ac:dyDescent="0.25">
      <c r="D13" s="8" t="s">
        <v>53</v>
      </c>
      <c r="E13" s="3">
        <v>12</v>
      </c>
    </row>
    <row r="14" spans="1:5" x14ac:dyDescent="0.25">
      <c r="A14" s="7" t="s">
        <v>85</v>
      </c>
      <c r="B14" s="3" t="s">
        <v>87</v>
      </c>
      <c r="D14" s="8" t="s">
        <v>42</v>
      </c>
      <c r="E14" s="3">
        <v>154</v>
      </c>
    </row>
    <row r="15" spans="1:5" x14ac:dyDescent="0.25">
      <c r="A15" s="8" t="s">
        <v>41</v>
      </c>
      <c r="B15" s="3">
        <v>120</v>
      </c>
      <c r="D15" s="8" t="s">
        <v>86</v>
      </c>
      <c r="E15" s="3">
        <v>237</v>
      </c>
    </row>
    <row r="16" spans="1:5" x14ac:dyDescent="0.25">
      <c r="A16" s="8" t="s">
        <v>61</v>
      </c>
      <c r="B16" s="3">
        <v>84</v>
      </c>
    </row>
    <row r="17" spans="1:5" x14ac:dyDescent="0.25">
      <c r="A17" s="8" t="s">
        <v>52</v>
      </c>
      <c r="B17" s="3">
        <v>33</v>
      </c>
      <c r="D17" s="7" t="s">
        <v>85</v>
      </c>
      <c r="E17" s="6" t="s">
        <v>87</v>
      </c>
    </row>
    <row r="18" spans="1:5" x14ac:dyDescent="0.25">
      <c r="A18" s="8" t="s">
        <v>86</v>
      </c>
      <c r="B18" s="3">
        <v>237</v>
      </c>
      <c r="D18" s="8" t="s">
        <v>83</v>
      </c>
      <c r="E18" s="3">
        <v>41</v>
      </c>
    </row>
    <row r="19" spans="1:5" x14ac:dyDescent="0.25">
      <c r="D19" s="8" t="s">
        <v>84</v>
      </c>
      <c r="E19" s="3">
        <v>82</v>
      </c>
    </row>
    <row r="20" spans="1:5" x14ac:dyDescent="0.25">
      <c r="D20" s="8" t="s">
        <v>82</v>
      </c>
      <c r="E20" s="3">
        <v>114</v>
      </c>
    </row>
    <row r="21" spans="1:5" x14ac:dyDescent="0.25">
      <c r="D21" s="8" t="s">
        <v>86</v>
      </c>
      <c r="E21" s="3">
        <v>237</v>
      </c>
    </row>
    <row r="22" spans="1:5" x14ac:dyDescent="0.25">
      <c r="A22" s="7" t="s">
        <v>85</v>
      </c>
      <c r="B22" s="6" t="s">
        <v>87</v>
      </c>
    </row>
    <row r="23" spans="1:5" x14ac:dyDescent="0.25">
      <c r="A23" s="8" t="s">
        <v>78</v>
      </c>
      <c r="B23" s="3">
        <v>110</v>
      </c>
    </row>
    <row r="24" spans="1:5" x14ac:dyDescent="0.25">
      <c r="A24" s="8" t="s">
        <v>77</v>
      </c>
      <c r="B24" s="3">
        <v>54</v>
      </c>
    </row>
    <row r="25" spans="1:5" x14ac:dyDescent="0.25">
      <c r="A25" s="8" t="s">
        <v>80</v>
      </c>
      <c r="B25" s="3">
        <v>37</v>
      </c>
    </row>
    <row r="26" spans="1:5" x14ac:dyDescent="0.25">
      <c r="A26" s="8" t="s">
        <v>79</v>
      </c>
      <c r="B26" s="3">
        <v>25</v>
      </c>
    </row>
    <row r="27" spans="1:5" x14ac:dyDescent="0.25">
      <c r="A27" s="8" t="s">
        <v>81</v>
      </c>
      <c r="B27" s="3">
        <v>11</v>
      </c>
    </row>
    <row r="28" spans="1:5" x14ac:dyDescent="0.25">
      <c r="A28" s="8" t="s">
        <v>86</v>
      </c>
      <c r="B28" s="3">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FBDF-68CE-4AB3-83B4-8ED06AAE5FA0}">
  <dimension ref="A1"/>
  <sheetViews>
    <sheetView showGridLines="0" showRowColHeaders="0" tabSelected="1" topLeftCell="A2" zoomScale="70" zoomScaleNormal="70" workbookViewId="0">
      <selection activeCell="AA10" sqref="AA10"/>
    </sheetView>
  </sheetViews>
  <sheetFormatPr defaultRowHeight="15" x14ac:dyDescent="0.25"/>
  <sheetData/>
  <sheetProtection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Raw Data</vt:lpstr>
      <vt:lpstr>Data Cleaning</vt:lpstr>
      <vt:lpstr>Cleaned Data</vt:lpstr>
      <vt:lpstr>Pivot Tables</vt:lpstr>
      <vt:lpstr>Dashboard</vt:lpstr>
      <vt:lpstr>Attritionrate</vt:lpstr>
      <vt:lpstr>HighAttritionAge</vt:lpstr>
      <vt:lpstr>TotalEmployees</vt:lpstr>
      <vt:lpstr>TotalExits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Solomon Chime</dc:creator>
  <cp:lastModifiedBy>Solomon Chime</cp:lastModifiedBy>
  <dcterms:created xsi:type="dcterms:W3CDTF">2026-02-25T17:00:12Z</dcterms:created>
  <dcterms:modified xsi:type="dcterms:W3CDTF">2026-06-14T23:09:49Z</dcterms:modified>
</cp:coreProperties>
</file>